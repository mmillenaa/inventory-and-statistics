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 state="visible" name="Notas_e_Legenda" sheetId="2" r:id="rId6"/>
    <sheet state="visible" name="Vocabulário_controlado" sheetId="3" r:id="rId7"/>
    <sheet state="hidden" name="Organização" sheetId="4" r:id="rId8"/>
    <sheet state="hidden" name="Lista de movimentos" sheetId="5" r:id="rId9"/>
    <sheet state="hidden" name="Definições" sheetId="6" r:id="rId10"/>
    <sheet state="hidden" name="Acervo" sheetId="7" r:id="rId11"/>
  </sheets>
  <definedNames>
    <definedName hidden="1" localSheetId="0" name="_xlnm._FilterDatabase">Geral!$A$2:$S$259</definedName>
    <definedName hidden="1" localSheetId="4" name="_xlnm._FilterDatabase">'Lista de movimentos'!$A$2:$A$172</definedName>
    <definedName hidden="1" localSheetId="5" name="_xlnm._FilterDatabase">'Definições'!$A$1:$D$24</definedName>
    <definedName hidden="1" localSheetId="6" name="_xlnm._FilterDatabase">Acervo!$A$1:$E$12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tc={06840078-6000-4136-8d7c-ffcd0dac0135}</author>
    <author>tc={08352ec8-574b-4dfd-8777-3e2895af2a3a}</author>
    <author>tc={0c4ed6d9-005f-4d32-ae7d-26fc4a85e850}</author>
    <author>tc={18fe1b15-6d78-4ff5-b731-428254541dc7}</author>
    <author>tc={1b379376-a790-4f52-9caf-ca21611e2b5d}</author>
    <author>tc={289725f7-e6a8-4642-b79b-86a453fea8c4}</author>
    <author>tc={34be2997-f8f3-4ecd-9882-61fde01cccec}</author>
    <author>tc={5186ffea-5724-4f87-9483-5a4360e73353}</author>
    <author>tc={64272703-3671-4e4b-a0a0-0a3b7308ba6a}</author>
    <author>tc={6bb11391-2002-469f-9839-10a7f02d8887}</author>
    <author>tc={7b22ed0d-b958-4b79-b322-6ab69f5186eb}</author>
    <author>tc={8752ca91-5348-4561-a287-eb00a9a6e8ab}</author>
    <author>tc={8e95bbcb-a6de-4a40-ab75-5665f8e5690a}</author>
    <author>tc={9000f9d2-be8d-4bd6-bedf-c8ca18357a93}</author>
    <author>tc={98ae40ae-f86a-4f33-8a5c-31abd9633b8d}</author>
    <author>tc={a893f67b-013d-4ea9-b19e-0771bb8d55f0}</author>
    <author>tc={addb76f7-86c8-46f8-9855-9bfa5b961471}</author>
    <author>tc={b594c328-4752-4c78-afc7-f7b031dfd047}</author>
    <author>tc={fa39fcd4-048e-41b0-a45a-3ea9bf72bf50}</author>
    <author>tc={facd0155-f2d6-468a-a67f-68fb106b1807}</author>
  </authors>
  <commentList>
    <comment authorId="0" xr:uid="{06840078-6000-4136-8d7c-ffcd0dac0135}" ref="O2">
      <text>
        <t xml:space="preserve">[Threaded comment]
 Your version of Excel allows you to read this threaded comment; however, any edits to it will get removed if the file is opened in a newer version of Excel. Learn more: https://go.microsoft.com/fwlink/?linkid=870924
Comment:
	Aplicada na chave de busca do Google ou da base de dados em específico (como no caso do Estadão e da Folha)
</t>
      </text>
    </comment>
    <comment authorId="1" xr:uid="{08352ec8-574b-4dfd-8777-3e2895af2a3a}" ref="D2">
      <text>
        <t xml:space="preserve">[Threaded comment]
 Your version of Excel allows you to read this threaded comment; however, any edits to it will get removed if the file is opened in a newer version of Excel. Learn more: https://go.microsoft.com/fwlink/?linkid=870924
Comment:
	Público Imediato: com público
Público mediado: acesso público através de algum suporte midiático
</t>
      </text>
    </comment>
    <comment authorId="2" xr:uid="{0c4ed6d9-005f-4d32-ae7d-26fc4a85e850}" ref="A1">
      <text>
        <t xml:space="preserve">[Threaded comment]
 Your version of Excel allows you to read this threaded comment; however, any edits to it will get removed if the file is opened in a newer version of Excel. Learn more: https://go.microsoft.com/fwlink/?linkid=870924
Comment:
	### 📘 *Fontes Acadêmicas e Impressas*
- *Livros* (obra completa)
- *Capítulo de livro* (em coletâneas ou obras organizadas)
- *Artigos científicos* (em periódicos acadêmicos)
- *Teses e dissertações*
- *Anais de congresso* (trabalhos apresentados em eventos)
- *Enciclopédias e dicionários*
- *Normas técnicas* (ex: ABNT, ISO)
---
### 📰 *Fontes Jornalísticas e Informativas*
- *Artigos de jornal impresso*
- *Reportagens de revistas*
- *Colunas e editoriais*
- *Notícias online*
- *Entrevistas*
---
### 🌐 *Fontes Digitais e Web*
- *Sites institucionais*
- *Blogs pessoais*
- *Postagens em redes sociais* (Twitter/X, Instagram, Facebook, etc.)
- *Vídeos do YouTube*
- *Podcasts*
- *Webinars e lives*
- *Comentários ou fóruns online* (ex: Reddit, Quora)
- *Wikis* (ex: Wikipédia)
---
### 🎵 *Fontes Artísticas e Culturais*
- *Músicas e álbuns*
- *Filmes e documentários*
- *Séries de TV*
- *Peças teatrais*
- *Obras de arte* (pinturas, esculturas, instalações)
- *Fotografias*
- *Poemas e literatura*
- *Games e softwares*
---
### 📄 *Fontes Institucionais e Oficiais*
- *Leis e decretos*
- *Pareceres jurídicos*
- *Relatórios técnicos*
- *Publicações governamentais*
- *Dados estatísticos* (ex: IBGE, ONU, OMS)
- *Manuais e guias institucionais*
---
### 🗣️ *Fontes Pessoais e Não Publicadas*
- *Entrevistas realizadas por você*
- *Comunicações pessoais* (e-mails, cartas, mensagens)
- *Aulas e palestras assistidas*
- *Trabalhos não publicados*
- *Anotações de campo*
</t>
      </text>
    </comment>
    <comment authorId="3" xr:uid="{18fe1b15-6d78-4ff5-b731-428254541dc7}" ref="A1">
      <text>
        <t xml:space="preserve">[Threaded comment]
 Your version of Excel allows you to read this threaded comment; however, any edits to it will get removed if the file is opened in a newer version of Excel. Learn more: https://go.microsoft.com/fwlink/?linkid=870924
Comment:
	o que sou eu nomeando - o trecho o termo que aparece no veiculo - colocar entre aspas
Reply:
	Esse campo aqui carece de padronização 😿
</t>
      </text>
    </comment>
    <comment authorId="4" xr:uid="{1b379376-a790-4f52-9caf-ca21611e2b5d}" ref="B167">
      <text>
        <t xml:space="preserve">[Threaded comment]
 Your version of Excel allows you to read this threaded comment; however, any edits to it will get removed if the file is opened in a newer version of Excel. Learn more: https://go.microsoft.com/fwlink/?linkid=870924
Comment:
	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
</t>
      </text>
    </comment>
    <comment authorId="5" xr:uid="{289725f7-e6a8-4642-b79b-86a453fea8c4}" ref="S251">
      <text>
        <t xml:space="preserve">[Threaded comment]
 Your version of Excel allows you to read this threaded comment; however, any edits to it will get removed if the file is opened in a newer version of Excel. Learn more: https://go.microsoft.com/fwlink/?linkid=870924
Comment:
	extrair data de todos
</t>
      </text>
    </comment>
    <comment authorId="6" xr:uid="{34be2997-f8f3-4ecd-9882-61fde01cccec}" ref="M72">
      <text>
        <t xml:space="preserve">[Threaded comment]
 Your version of Excel allows you to read this threaded comment; however, any edits to it will get removed if the file is opened in a newer version of Excel. Learn more: https://go.microsoft.com/fwlink/?linkid=870924
Comment:
	Apareceu também em outros veículos. Foi uma manifestação bastante divulgada.
</t>
      </text>
    </comment>
    <comment authorId="7" xr:uid="{5186ffea-5724-4f87-9483-5a4360e73353}" ref="R190">
      <text>
        <t xml:space="preserve">[Threaded comment]
 Your version of Excel allows you to read this threaded comment; however, any edits to it will get removed if the file is opened in a newer version of Excel. Learn more: https://go.microsoft.com/fwlink/?linkid=870924
Comment:
	Problemas teóricos para a pesquisa empírica em direito e violência de estado1
Maíra Rocha Machado
</t>
      </text>
    </comment>
    <comment authorId="8" xr:uid="{64272703-3671-4e4b-a0a0-0a3b7308ba6a}" ref="J134">
      <text>
        <t xml:space="preserve">[Threaded comment]
 Your version of Excel allows you to read this threaded comment; however, any edits to it will get removed if the file is opened in a newer version of Excel. Learn more: https://go.microsoft.com/fwlink/?linkid=870924
Comment:
	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
</t>
      </text>
    </comment>
    <comment authorId="9" xr:uid="{6bb11391-2002-469f-9839-10a7f02d8887}" ref="I4">
      <text>
        <t xml:space="preserve">[Threaded comment]
 Your version of Excel allows you to read this threaded comment; however, any edits to it will get removed if the file is opened in a newer version of Excel. Learn more: https://go.microsoft.com/fwlink/?linkid=870924
Comment:
	Artes Plásticas - https://acervo.folha.com.br/digital/leitor.do?numero=11864&amp;keyword=%22nuno+ramos%22&amp;anchor=4762698&amp;origem=busca&amp;originURL=&amp;maxTouch=0&amp;pd=109c7a37f05aeeb25560ca0940e3bc3a
</t>
      </text>
    </comment>
    <comment authorId="10" xr:uid="{7b22ed0d-b958-4b79-b322-6ab69f5186eb}" ref="I2">
      <text>
        <t xml:space="preserve">[Threaded comment]
 Your version of Excel allows you to read this threaded comment; however, any edits to it will get removed if the file is opened in a newer version of Excel. Learn more: https://go.microsoft.com/fwlink/?linkid=870924
Comment:
	Proponente da iniciativa
Reply:
	Proponentes
</t>
      </text>
    </comment>
    <comment authorId="11" xr:uid="{8752ca91-5348-4561-a287-eb00a9a6e8ab}" ref="B2">
      <text>
        <t xml:space="preserve">[Threaded comment]
 Your version of Excel allows you to read this threaded comment; however, any edits to it will get removed if the file is opened in a newer version of Excel. Learn more: https://go.microsoft.com/fwlink/?linkid=870924
Comment:
	ex: produção midiática
</t>
      </text>
    </comment>
    <comment authorId="12" xr:uid="{8e95bbcb-a6de-4a40-ab75-5665f8e5690a}" ref="M190">
      <text>
        <t xml:space="preserve">[Threaded comment]
 Your version of Excel allows you to read this threaded comment; however, any edits to it will get removed if the file is opened in a newer version of Excel. Learn more: https://go.microsoft.com/fwlink/?linkid=870924
Comment:
	Problemas teóricos para a pesquisa empírica em direito e violência de estado1
Maíra Rocha Machado
</t>
      </text>
    </comment>
    <comment authorId="13" xr:uid="{9000f9d2-be8d-4bd6-bedf-c8ca18357a93}" ref="I21">
      <text>
        <t xml:space="preserve">[Threaded comment]
 Your version of Excel allows you to read this threaded comment; however, any edits to it will get removed if the file is opened in a newer version of Excel. Learn more: https://go.microsoft.com/fwlink/?linkid=870924
Comment:
	Esse foi um indicativo de greve dado pela Asbras, mas não temos vestígio de como e se ocorreu.
</t>
      </text>
    </comment>
    <comment authorId="14" xr:uid="{98ae40ae-f86a-4f33-8a5c-31abd9633b8d}" ref="P190">
      <text>
        <t xml:space="preserve">[Threaded comment]
 Your version of Excel allows you to read this threaded comment; however, any edits to it will get removed if the file is opened in a newer version of Excel. Learn more: https://go.microsoft.com/fwlink/?linkid=870924
Comment:
	Problemas teóricos para a pesquisa empírica em direito e violência de estado1
Maíra Rocha Machado
</t>
      </text>
    </comment>
    <comment authorId="15" xr:uid="{a893f67b-013d-4ea9-b19e-0771bb8d55f0}" ref="A1">
      <text>
        <t xml:space="preserve">[Threaded comment]
 Your version of Excel allows you to read this threaded comment; however, any edits to it will get removed if the file is opened in a newer version of Excel. Learn more: https://go.microsoft.com/fwlink/?linkid=870924
Comment:
	Melhor tentar buscar algum canal oficial da banda para citar?
</t>
      </text>
    </comment>
    <comment authorId="16" xr:uid="{addb76f7-86c8-46f8-9855-9bfa5b961471}" ref="M2">
      <text>
        <t xml:space="preserve">[Threaded comment]
 Your version of Excel allows you to read this threaded comment; however, any edits to it will get removed if the file is opened in a newer version of Excel. Learn more: https://go.microsoft.com/fwlink/?linkid=870924
Comment:
	corrigir todas as formas de busca
</t>
      </text>
    </comment>
    <comment authorId="17" xr:uid="{b594c328-4752-4c78-afc7-f7b031dfd047}" ref="C2">
      <text>
        <t xml:space="preserve">[Threaded comment]
 Your version of Excel allows you to read this threaded comment; however, any edits to it will get removed if the file is opened in a newer version of Excel. Learn more: https://go.microsoft.com/fwlink/?linkid=870924
Comment:
	Ensino, pesquisa, cultura e extensão, manif art, prod midiatic,
</t>
      </text>
    </comment>
    <comment authorId="18" xr:uid="{fa39fcd4-048e-41b0-a45a-3ea9bf72bf50}" ref="H173">
      <text>
        <t xml:space="preserve">[Threaded comment]
 Your version of Excel allows you to read this threaded comment; however, any edits to it will get removed if the file is opened in a newer version of Excel. Learn more: https://go.microsoft.com/fwlink/?linkid=870924
Comment:
	programa que oferece alimentação, banheiro, banho, água potável e lavanderia, para a população em situação de rua.
</t>
      </text>
    </comment>
    <comment authorId="19" xr:uid="{facd0155-f2d6-468a-a67f-68fb106b1807}" ref="A1">
      <text>
        <t xml:space="preserve">[Threaded comment]
 Your version of Excel allows you to read this threaded comment; however, any edits to it will get removed if the file is opened in a newer version of Excel. Learn more: https://go.microsoft.com/fwlink/?linkid=870924
Comment:
	consertar essa categoria aqui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tc={42f28347-63be-42bb-b241-6d565dbedb75}</author>
  </authors>
  <commentList>
    <comment authorId="0" xr:uid="{42f28347-63be-42bb-b241-6d565dbedb75}" ref="H6">
      <text>
        <t xml:space="preserve">[Threaded comment]
 Your version of Excel allows you to read this threaded comment; however, any edits to it will get removed if the file is opened in a newer version of Excel. Learn more: https://go.microsoft.com/fwlink/?linkid=870924
Comment:
	Então… entra como iniciativa de rememoração?
🟢 SIM, se:
O depoimento é coletado, publicado, exibido ou arquivado com o intuito de preservar a memória de um evento, trauma, violência, ou resistência.
Está vinculado a ações como:
Roteiros de memória
Documentários, podcasts, exposições com testemunhos
Arquivos de memória oral
Coletivos que resgatam histórias de pessoas afetadas
🔎 Nesse caso, o depoimento é uma iniciativa de rememoração — mesmo que simples, pois carrega valor memorial e político.
</t>
      </text>
    </comment>
  </commentList>
</comments>
</file>

<file path=xl/sharedStrings.xml><?xml version="1.0" encoding="utf-8"?>
<sst xmlns="http://schemas.openxmlformats.org/spreadsheetml/2006/main" count="3063" uniqueCount="1077">
  <si>
    <t>Dados da iniciativa</t>
  </si>
  <si>
    <t>Características documentais (fonte)</t>
  </si>
  <si>
    <t>Acesso</t>
  </si>
  <si>
    <t>Difusão (Citação)</t>
  </si>
  <si>
    <t>Nome da iniciativa [1]</t>
  </si>
  <si>
    <t>Intervenção [4]</t>
  </si>
  <si>
    <t>Abrangência</t>
  </si>
  <si>
    <t>Modalidade</t>
  </si>
  <si>
    <t>Data</t>
  </si>
  <si>
    <t>Ano</t>
  </si>
  <si>
    <t>Local</t>
  </si>
  <si>
    <t>Proponente da iniciativa [1]</t>
  </si>
  <si>
    <t>Título</t>
  </si>
  <si>
    <t>Gênero documental</t>
  </si>
  <si>
    <r>
      <rPr>
        <rFont val="DM Sans"/>
        <b/>
        <color rgb="FF013395"/>
        <sz val="14.0"/>
      </rPr>
      <t xml:space="preserve">Reprodução
</t>
    </r>
    <r>
      <rPr>
        <rFont val="DM Sans"/>
        <b/>
        <color rgb="FFFFFFFF"/>
        <sz val="14.0"/>
      </rPr>
      <t xml:space="preserve">Técnica de registro </t>
    </r>
  </si>
  <si>
    <r>
      <rPr>
        <rFont val="DM Sans"/>
        <b/>
        <color rgb="FF013395"/>
        <sz val="14.0"/>
      </rPr>
      <t xml:space="preserve">Fonte  
</t>
    </r>
    <r>
      <rPr>
        <rFont val="DM Sans"/>
        <b/>
        <color rgb="FFFFFFFF"/>
        <sz val="14.0"/>
      </rPr>
      <t>Origem</t>
    </r>
  </si>
  <si>
    <t>Idioma</t>
  </si>
  <si>
    <r>
      <rPr>
        <rFont val="DM Sans"/>
        <b/>
        <color rgb="FF013395"/>
        <sz val="14.0"/>
      </rPr>
      <t xml:space="preserve">Entrada
</t>
    </r>
    <r>
      <rPr>
        <rFont val="DM Sans"/>
        <b/>
        <color rgb="FFFFFFFF"/>
        <sz val="14.0"/>
      </rPr>
      <t>Chave de busca [2] [3]</t>
    </r>
  </si>
  <si>
    <t>Data de acesso</t>
  </si>
  <si>
    <r>
      <rPr>
        <rFont val="DM Sans"/>
        <b/>
        <color rgb="FF013395"/>
        <sz val="14.0"/>
      </rPr>
      <t xml:space="preserve">Disponibilidade
</t>
    </r>
    <r>
      <rPr>
        <rFont val="DM Sans"/>
        <b/>
        <color rgb="FFFFFFFF"/>
        <sz val="11.0"/>
      </rPr>
      <t>(última checagem: 17/10/2025)</t>
    </r>
  </si>
  <si>
    <t>Link</t>
  </si>
  <si>
    <r>
      <rPr>
        <rFont val="DM Sans"/>
        <b/>
        <color rgb="FF013395"/>
        <sz val="14.0"/>
      </rPr>
      <t xml:space="preserve">Associação Brasileira de Normas Técnicas
</t>
    </r>
    <r>
      <rPr>
        <rFont val="DM Sans"/>
        <b/>
        <color rgb="FFFFFFFF"/>
        <sz val="14.0"/>
      </rPr>
      <t>ABNT</t>
    </r>
  </si>
  <si>
    <t>Performance artística</t>
  </si>
  <si>
    <t>São Paulo</t>
  </si>
  <si>
    <t>Grupo teatral Kaos Trope</t>
  </si>
  <si>
    <t>Fotografia: "Integrantes do grupo Kaos Trope levam cruzes que lembram os 111 mortos no massacre do Carandiru, 1992"</t>
  </si>
  <si>
    <t>Hemerográfico</t>
  </si>
  <si>
    <t>Digitalizado</t>
  </si>
  <si>
    <t>Legenda</t>
  </si>
  <si>
    <t>Vocabulário controlado para o registro de dados da iniciativa</t>
  </si>
  <si>
    <t>Modalidade intervenção</t>
  </si>
  <si>
    <t>Espécie documental</t>
  </si>
  <si>
    <t>Termo preferido</t>
  </si>
  <si>
    <t>Técnica de registro</t>
  </si>
  <si>
    <t>Usar para</t>
  </si>
  <si>
    <t>Nota de escopo</t>
  </si>
  <si>
    <t>Forma do registro</t>
  </si>
  <si>
    <t>Nome da inciativa</t>
  </si>
  <si>
    <t>Formato de registro</t>
  </si>
  <si>
    <t>[Preenchimento livre, preferencialmente buscando utilizar a terminologia ao lado]</t>
  </si>
  <si>
    <t>Abaixo-assinado; Álbum; Ato; Audiotour; Aula; Cartaz; Cartaz/Faixa; Charge; Coletiva; Crônica; Curta; Dança; Debate; Desfile; Documentário; Entrevista; Episódio; Escracho; Espetáculo; Exposição; Faixa; Festival; Filme; Fotografia; Grafite; Instalação; Intervenção; Jornada; Leitura pública; Livro; Live; Manifestação; Manifesto; Marcha; Mesa; Memória; Música; Mobilização; Online; Palestra; Paralisação; Peça; Performance; Petição; Poema; Podcast; Protesto; Rádio; Recitação; Rebelião; Relatório; Reportagem; Roda; Roteiro; Seminário; Série; Teatral; Virtual; Visita; Vídeo; Webinário.</t>
  </si>
  <si>
    <t>SITE MEMO MASSACRE CARANDIRU</t>
  </si>
  <si>
    <t>Aplicado quando o registro assume caráter de evocação, registro, memória ou preservação simbólica de ações, eventos, vozes ou manifestações.</t>
  </si>
  <si>
    <t>Intervenção</t>
  </si>
  <si>
    <r>
      <t xml:space="preserve">Porções coloridas em azul claro simbolizam </t>
    </r>
    <r>
      <rPr>
        <rFont val="DM Sans"/>
        <b/>
        <color theme="1"/>
        <sz val="14.0"/>
      </rPr>
      <t>campos com fórmulas</t>
    </r>
    <r>
      <rPr>
        <rFont val="DM Sans"/>
        <color theme="1"/>
        <sz val="14.0"/>
      </rPr>
      <t xml:space="preserve"> e não devem ter texto inserido manualmente.</t>
    </r>
  </si>
  <si>
    <t>Manifestação artístico-cultural</t>
  </si>
  <si>
    <t>Performance; Instalação; Álbum; Música; Poema; Livro; Filme; Documentário; Recitação; Espetáculo; Peça; Intervenção; Desfile; Fotografia; Exposição; Charge; Grafite; Leitura pública; Fabricação de cachaça artesanal; dança; teatral; artístico; musical; artística</t>
  </si>
  <si>
    <t>Português, Brasil</t>
  </si>
  <si>
    <t>"Carandiru; manifestação" no acervo d'O Estado de S. Paulo</t>
  </si>
  <si>
    <t>Aplicado quando a ação ou o registro possui natureza estética, expressiva ou cultural, independentemente de formato ou suporte.</t>
  </si>
  <si>
    <t>Notas</t>
  </si>
  <si>
    <t>Produção midiática</t>
  </si>
  <si>
    <t>Crônica; Série; Reportagem; Podcast; Audiotour; Entrevista; Vídeo; Rádio; midiática</t>
  </si>
  <si>
    <t>Acesso restrito</t>
  </si>
  <si>
    <t>Aplicado a materiais ou ações produzidas para circulação em meios de comunicação, plataformas digitais ou formatos jornalísticos.</t>
  </si>
  <si>
    <r>
      <rPr>
        <rFont val="DM Sans"/>
        <b/>
        <color theme="1"/>
        <sz val="14.0"/>
      </rPr>
      <t>[1]</t>
    </r>
    <r>
      <rPr>
        <rFont val="DM Sans"/>
        <color theme="1"/>
        <sz val="14.0"/>
      </rPr>
      <t xml:space="preserve"> Expressão exata adotada pelo veículo, especialmente quando da ausência de título.</t>
    </r>
  </si>
  <si>
    <t>Público Imediato</t>
  </si>
  <si>
    <t>Protesto; Manifestação; Ato; Paralisação; Marcha; Mobilização; Coletiva; Visita; Roda; Debate; Seminário; Palestra; Aula; Mesa; Jornada; Festival; Escracho; Espetáculo; Intervenção; Performance; Instalação; Exposição; Recitação; dança; Peça; Desfile; Roteiro; Grafite; Cartaz; Cartaz/Faixa; Faixa; Rebelião; Fabricação de cachaça artesanal; público; Imediato; artística; teatral; memória</t>
  </si>
  <si>
    <t>Usado para ações e produções direcionadas a interação direta, no local, com participantes ou espectadores presenciais.</t>
  </si>
  <si>
    <t>Público Mediado</t>
  </si>
  <si>
    <t>Música; Álbum; Filme; Documentário; Série; Podcast; Rádio; Audiotour; Entrevista; Reportagem; Crônica; Relatório; Abaixo-assinado; Manifesto; Petição; Poema; Livro; Fotografia; Curta; Live; Webinário; Charge; Leitura pública; Vídeo</t>
  </si>
  <si>
    <t>Arquitetônico</t>
  </si>
  <si>
    <t>Usado quando a interação com o público depende de mediação tecnológica, editorial, institucional ou documental.</t>
  </si>
  <si>
    <t>Virtual</t>
  </si>
  <si>
    <t>Live; Webinário; Virtual; online</t>
  </si>
  <si>
    <r>
      <rPr>
        <rFont val="DM Sans"/>
        <b/>
        <color theme="1"/>
        <sz val="14.0"/>
      </rPr>
      <t>[2]</t>
    </r>
    <r>
      <rPr>
        <rFont val="DM Sans"/>
        <color theme="1"/>
        <sz val="14.0"/>
      </rPr>
      <t xml:space="preserve"> Adota-se "hiperlink", quando o documento for oriundo de outra fonte já referida.</t>
    </r>
  </si>
  <si>
    <t>Usado para ações ou registros cuja existência, transmissão ou interação ocorre prioritariamente em ambiente digital.</t>
  </si>
  <si>
    <t>Midiático</t>
  </si>
  <si>
    <t>Entrevista</t>
  </si>
  <si>
    <t>Música; Álbum; Filme; Documentário; Série; Podcast; Rádio; Audiotour; Episódio; Reportagem; Curta; Charge; Livro; Vídeo; Entrevista</t>
  </si>
  <si>
    <r>
      <rPr>
        <rFont val="DM Sans"/>
        <b/>
        <color theme="1"/>
        <sz val="14.0"/>
      </rPr>
      <t>[3]</t>
    </r>
    <r>
      <rPr>
        <rFont val="DM Sans"/>
        <color theme="1"/>
        <sz val="14.0"/>
      </rPr>
      <t xml:space="preserve"> Entrada textual/númerica aplicada à barra de busca do Google ou da base de dados em específico (como no caso de jornais e redes sociais)</t>
    </r>
  </si>
  <si>
    <t>Aplicado a materiais produzidos em meios de comunicação, suportes audiovisuais ou formatos editoriais.</t>
  </si>
  <si>
    <t>GODOY, Marcelo. Tensão marca início do júri do Carandiru. O Estado de S. Paulo, São Paulo, 21 jun. 2001, p. 41. Fotografia: Integrantes do grupo Kaos Trope levam cruzes que lembram os 111 mortos no massacre do Carandiru [sem autoria, 1992]. Disponível em: https://acervo.estadao.com.br/pagina/#!/20010621-39328-spo-41-cid-c4-not/busca/Carandiru. Acesso em: 15 jul. 2025.</t>
  </si>
  <si>
    <t>Presencial/Físico</t>
  </si>
  <si>
    <r>
      <rPr>
        <rFont val="DM Sans"/>
        <b/>
        <color theme="1"/>
        <sz val="14.0"/>
      </rPr>
      <t>[4]</t>
    </r>
    <r>
      <rPr>
        <rFont val="DM Sans"/>
        <color theme="1"/>
        <sz val="14.0"/>
      </rPr>
      <t xml:space="preserve"> A ausência de valor (campos vazios ou NA) nesta coluna não indica perda de informação ou erro de coleta. Trata-se de uma marcação deliberada para iniciativas de natureza estritamente política, cívica ou de protesto direto (como marchas, faixas, abaixo-assinados e atos públicos). O preenchimento da coluna 'Intervenção' foi reservado exclusivamente para ações que demandam um enquadramento estético, expressivo ou comunicacional (subdivididas no vocabulário controlado em Manifestação artístico-cultural e Produção midiática).</t>
    </r>
  </si>
  <si>
    <t>Ampliação (fotográfica)</t>
  </si>
  <si>
    <t>Instalação artística</t>
  </si>
  <si>
    <t>Performance; Instalação; Protesto; Manifestação; Ato; Paralisação; Marcha; Exposição; Mobilização; Recitação; Espetáculo; Coletiva; Visita; Roda; Debate; Seminário; Palestra; Aula; Mesa; Jornada; Festival; Escracho; Peça; Intervenção; Desfile; Poema; Fotografia; Relatório; Abaixo-assinado; Manifesto; Petição; Crônica; Roteiro; Grafite; Cartaz; Cartaz/Faixa; Faixa; Rebelião; Fabricação de cachaça artesanal; Leitura pública; Ação popular.</t>
  </si>
  <si>
    <t>Usado quando a ação, evento ou registro exige presença física ou ocorre materialmente no espaço.</t>
  </si>
  <si>
    <t>Derivada bruta (produção automática)</t>
  </si>
  <si>
    <t xml:space="preserve">CSV (text/csv) </t>
  </si>
  <si>
    <t>MATERIAIS VISUAIS</t>
  </si>
  <si>
    <t>Atuação política</t>
  </si>
  <si>
    <t>Audiovisual</t>
  </si>
  <si>
    <t>São Paulo (Gabinete de Arte Raquel Arnaud)
Porto Alegre (Casa de Cultura Mário Quintana)
Paraguai (Centro de Esudos Brasileiros)</t>
  </si>
  <si>
    <t>Terminologia</t>
  </si>
  <si>
    <t xml:space="preserve">Folheto </t>
  </si>
  <si>
    <t>Nuno Ramos</t>
  </si>
  <si>
    <t xml:space="preserve">Apresentação (digital) </t>
  </si>
  <si>
    <t>Derivada bruta (produção manual)</t>
  </si>
  <si>
    <t xml:space="preserve">DOC (application/msword) </t>
  </si>
  <si>
    <t>Iconográfico</t>
  </si>
  <si>
    <t>Definição</t>
  </si>
  <si>
    <t>FOTOGRAFIA</t>
  </si>
  <si>
    <t>Imagem (digital)</t>
  </si>
  <si>
    <r>
      <rPr>
        <rFont val="DM Sans"/>
        <b/>
        <color rgb="FF013395"/>
        <sz val="12.0"/>
      </rPr>
      <t xml:space="preserve">Movimento social
</t>
    </r>
    <r>
      <rPr>
        <rFont val="DM Sans"/>
        <b/>
        <color rgb="FFFFFFFF"/>
        <sz val="12.0"/>
      </rPr>
      <t>Organização [2]</t>
    </r>
  </si>
  <si>
    <t>Fonte</t>
  </si>
  <si>
    <t>Roteiro histórico</t>
  </si>
  <si>
    <t>Classificação</t>
  </si>
  <si>
    <t>Citação</t>
  </si>
  <si>
    <t>individuo</t>
  </si>
  <si>
    <t>Acervo</t>
  </si>
  <si>
    <t>artista banda</t>
  </si>
  <si>
    <t>Bibliográfico</t>
  </si>
  <si>
    <t xml:space="preserve">Cada um dos conjuntos documentais de interesse da instituição, de acordo com sua política de aquisição. </t>
  </si>
  <si>
    <t>Filme</t>
  </si>
  <si>
    <t>Áudio (digital)</t>
  </si>
  <si>
    <t>Derivada tratada (tratamento conhecido)</t>
  </si>
  <si>
    <t>DOCX (application/vnd.openxmlformatsofficedocument.wordprocessingml.document)</t>
  </si>
  <si>
    <t>1ª Frente de Sobreviventes do Cárcere</t>
  </si>
  <si>
    <t>NOTÍCIAS</t>
  </si>
  <si>
    <t>pada</t>
  </si>
  <si>
    <t>Movimento de Familares e Sobreviventes</t>
  </si>
  <si>
    <t>“Entidades ligadas aos direitos humanos”.</t>
  </si>
  <si>
    <t>Ana Luiza Bandeira</t>
  </si>
  <si>
    <t>André du Rap e Bruno Zeni</t>
  </si>
  <si>
    <t>Totalidade de documentos coonservados num arquivo</t>
  </si>
  <si>
    <t>Familiares</t>
  </si>
  <si>
    <t>dicio arq fe</t>
  </si>
  <si>
    <t xml:space="preserve">Atividade de </t>
  </si>
  <si>
    <t>Cartográfico</t>
  </si>
  <si>
    <t xml:space="preserve">Agência Pavio </t>
  </si>
  <si>
    <t xml:space="preserve">Exposição (instalação) </t>
  </si>
  <si>
    <t>Agência de comunicação</t>
  </si>
  <si>
    <t>Arquivo</t>
  </si>
  <si>
    <t>Contato (fotográfico)</t>
  </si>
  <si>
    <t>Documentos que independentemente da natureza ou suporte são reunidos por acumulação, edifício, entidade administrativa</t>
  </si>
  <si>
    <t>"Movimentos sociais"</t>
  </si>
  <si>
    <t>Bizil (Artista plástico)</t>
  </si>
  <si>
    <t>Sobreviventes do cárcere</t>
  </si>
  <si>
    <t>p.30-31 cronograma de entregas</t>
  </si>
  <si>
    <t>Coleçao</t>
  </si>
  <si>
    <t>Reunião de documentos</t>
  </si>
  <si>
    <t>Americas Watch</t>
  </si>
  <si>
    <t>Observatório de Direitos Humanos</t>
  </si>
  <si>
    <t>https://www.hrw.org/our-history</t>
  </si>
  <si>
    <t>Derivada tratada (tratamento desconhecido)</t>
  </si>
  <si>
    <t>Documento</t>
  </si>
  <si>
    <t>GIF (image/gif)</t>
  </si>
  <si>
    <t>ARTIGOS ACADÊMICOS</t>
  </si>
  <si>
    <r>
      <rPr>
        <rFont val="Arial"/>
        <color theme="1"/>
        <sz val="12.0"/>
      </rPr>
      <t xml:space="preserve">Unidade constituída pela </t>
    </r>
    <r>
      <rPr>
        <rFont val="Arial"/>
        <b/>
        <color theme="1"/>
        <sz val="12.0"/>
      </rPr>
      <t xml:space="preserve">informação </t>
    </r>
    <r>
      <rPr>
        <rFont val="Arial"/>
        <color theme="1"/>
        <sz val="12.0"/>
      </rPr>
      <t xml:space="preserve">e seu </t>
    </r>
    <r>
      <rPr>
        <rFont val="Arial"/>
        <b/>
        <color theme="1"/>
        <sz val="12.0"/>
      </rPr>
      <t>suporte</t>
    </r>
    <r>
      <rPr>
        <rFont val="Arial"/>
        <color theme="1"/>
        <sz val="12.0"/>
      </rPr>
      <t>.</t>
    </r>
  </si>
  <si>
    <t>Entrada</t>
  </si>
  <si>
    <t xml:space="preserve">Termo pelo qual se dá acesso a uma unidade de descrição. Verbete. </t>
  </si>
  <si>
    <t>dicio arqui fe</t>
  </si>
  <si>
    <r>
      <rPr>
        <rFont val="Arial"/>
        <color theme="1"/>
        <sz val="12.0"/>
      </rPr>
      <t xml:space="preserve">Configuração que assume um documento de acordo com </t>
    </r>
    <r>
      <rPr>
        <rFont val="Arial"/>
        <b/>
        <color theme="1"/>
        <sz val="12.0"/>
      </rPr>
      <t>disposição e a natureza das informações nele contidas</t>
    </r>
    <r>
      <rPr>
        <rFont val="Arial"/>
        <color theme="1"/>
        <sz val="12.0"/>
      </rPr>
      <t>.</t>
    </r>
  </si>
  <si>
    <t>Atividade de  Universitária</t>
  </si>
  <si>
    <t>Fonte
Veículo</t>
  </si>
  <si>
    <t>Cinematográfico</t>
  </si>
  <si>
    <t>-</t>
  </si>
  <si>
    <t>Hiperlink</t>
  </si>
  <si>
    <t>Fotografia</t>
  </si>
  <si>
    <t>Formato</t>
  </si>
  <si>
    <t xml:space="preserve">Dados (digital) </t>
  </si>
  <si>
    <t>Confiuração física de um suporte, de acordo com sua natureza e o modo como foi confeccionado (caderno, cartão, cartaz, códice, diapositivo, in-fólio, livro, mapa, folha...)</t>
  </si>
  <si>
    <t>Aberto</t>
  </si>
  <si>
    <t>Matriz bruta (produção automática)</t>
  </si>
  <si>
    <t>HTML (text/html)</t>
  </si>
  <si>
    <t>Fundo</t>
  </si>
  <si>
    <t>DEPOIMENTOS</t>
  </si>
  <si>
    <t xml:space="preserve">Unidade constituída pelo conjunto de documentos acumulados por uma entidade que, no arquivo permanente, passa a conviver com arquivos de outras. </t>
  </si>
  <si>
    <t>Configuração que assume um documento de acordo com o sistema de signos utilizado na comunicação de seu conteúdo (audiovisual, fonográfica, iconográfica, multimeios, textual)</t>
  </si>
  <si>
    <t>RAMOS, Nuno. 111. Disponível em: https://www.nunoramos.com.br/trabalhos/111/. Acesso em: 18 jul. 2025.</t>
  </si>
  <si>
    <t>Informação</t>
  </si>
  <si>
    <t xml:space="preserve">Todo e qualquer elemento referencial contido num documento. </t>
  </si>
  <si>
    <t>Faixa/Cartaz</t>
  </si>
  <si>
    <t>NA</t>
  </si>
  <si>
    <t>Eletrônico</t>
  </si>
  <si>
    <t>Caetano Veloso</t>
  </si>
  <si>
    <t>Origem</t>
  </si>
  <si>
    <t xml:space="preserve">Jornal </t>
  </si>
  <si>
    <t>Datilografado</t>
  </si>
  <si>
    <t>Procedência do documento e, se possível, histórico de sua custódia antes de chegar à instituição 
(vem de acervo, repositório etc).</t>
  </si>
  <si>
    <t>Matriz bruta (produção manual)</t>
  </si>
  <si>
    <t>JPEG2000 (image/jp2)</t>
  </si>
  <si>
    <t>Palavra-chave</t>
  </si>
  <si>
    <t>Instagram Memorias</t>
  </si>
  <si>
    <t>Anistia Internacional</t>
  </si>
  <si>
    <t xml:space="preserve">Palavra ou grupo de palavras retiradas diretamente de um ou mais documentos, para indicar seu conteúdo e facilitar sua recuperação. Descritor, tesauro e vocabulário controlado. </t>
  </si>
  <si>
    <t>Organização não governamental</t>
  </si>
  <si>
    <t>Produtor</t>
  </si>
  <si>
    <t>https://anistia.org.br/?gad_source=1&amp;gad_campaignid=18900275437&amp;gbraid=0AAAAADmJPwAgusjdUedpFgxhJTAhR0Q2_&amp;gclid=Cj0KCQjwyvfDBhDYARIsAItzbZFWvfrBlG9HO8289bbqiispnlax9gq-LStUkhJc_x0nChotoC_3XcYaAqk-EALw_wcB</t>
  </si>
  <si>
    <t>Reprodução</t>
  </si>
  <si>
    <t xml:space="preserve">Cópia exata do documento no conteúdo e no aspecto formal, mas não necessariamente em suas domensões. </t>
  </si>
  <si>
    <t>Reprografia</t>
  </si>
  <si>
    <t xml:space="preserve">Conjunto de procedimentos de cópia ou microcópia feitos por energia radiante. </t>
  </si>
  <si>
    <t>Resumo</t>
  </si>
  <si>
    <t>Apresentação concisa do conteúdo de um documento.</t>
  </si>
  <si>
    <t>Suporte</t>
  </si>
  <si>
    <t>Material sobre o qual as informações são registradas (disco, papel, vídeo...)</t>
  </si>
  <si>
    <t>Documentação institucional</t>
  </si>
  <si>
    <t>Tipo documental</t>
  </si>
  <si>
    <r>
      <rPr>
        <rFont val="Arial"/>
        <color theme="1"/>
        <sz val="12.0"/>
      </rPr>
      <t xml:space="preserve">Configuração que assume uma </t>
    </r>
    <r>
      <rPr>
        <rFont val="Arial"/>
        <b/>
        <color theme="1"/>
        <sz val="12.0"/>
      </rPr>
      <t>espécie documental</t>
    </r>
    <r>
      <rPr>
        <rFont val="Arial"/>
        <color theme="1"/>
        <sz val="12.0"/>
      </rPr>
      <t xml:space="preserve">, de acordo com a atividade que a gerou. </t>
    </r>
  </si>
  <si>
    <t>Filmográfico</t>
  </si>
  <si>
    <t>Casa de Detenção, Carandiru.</t>
  </si>
  <si>
    <t>Laudo</t>
  </si>
  <si>
    <t>Título do documento</t>
  </si>
  <si>
    <t>Sobreviventes do Massacre do Carandiru (pessoas em situação de privação de liberdade da Casa de Detenção)</t>
  </si>
  <si>
    <t>Desenho à mão</t>
  </si>
  <si>
    <t>Protesto de detentos dentro do complexo</t>
  </si>
  <si>
    <t>Matriz tratada (tratamento conhecido)</t>
  </si>
  <si>
    <t>JPEG (image/jpg)</t>
  </si>
  <si>
    <t>Site FGV</t>
  </si>
  <si>
    <t>Fonográfico</t>
  </si>
  <si>
    <t>Livro</t>
  </si>
  <si>
    <t>Digital</t>
  </si>
  <si>
    <t xml:space="preserve">Matriz tratada (tratamento desconhecido) </t>
  </si>
  <si>
    <t>MP3 (audio/mpeg)</t>
  </si>
  <si>
    <t>Posts do whatsapp</t>
  </si>
  <si>
    <t>Associação Brasileira de Antropologia</t>
  </si>
  <si>
    <t>Associação científica</t>
  </si>
  <si>
    <t>https://portal.abant.org.br/quem-somos/</t>
  </si>
  <si>
    <t>Música</t>
  </si>
  <si>
    <t>MP4 (video/mp4)</t>
  </si>
  <si>
    <t>Ajustar categorias</t>
  </si>
  <si>
    <t>Notícia</t>
  </si>
  <si>
    <t>Exposição fotográfica</t>
  </si>
  <si>
    <t>MOV (video/quicktime)</t>
  </si>
  <si>
    <t>Eliminar o que não serve nesse momento</t>
  </si>
  <si>
    <t>Associação de Amigas/os e Familiares de Presas/os (Amparar)</t>
  </si>
  <si>
    <t xml:space="preserve">Associação </t>
  </si>
  <si>
    <t>https://www.fundobrasil.org.br/projeto/amparar-associacao-de-amigosas-e-familiares-de-presosas/</t>
  </si>
  <si>
    <t>"manifestação solidariedade ao Massacre do Carandiru" no Google</t>
  </si>
  <si>
    <t>Sonoro</t>
  </si>
  <si>
    <t>Periódico</t>
  </si>
  <si>
    <t>Filmagem (analógico)</t>
  </si>
  <si>
    <t>PDF (application/pdf)</t>
  </si>
  <si>
    <t>Quais os elementos do metadado? (ver se cabe adição de descrição via IA)</t>
  </si>
  <si>
    <t>CARANDIRU: 27 anos sem justiça e de desrespeito aos direitos humanos. Esquerda Web. Fotografia: Protesto de detentos dentro do complexo [sem autoria e data identificadas]. Disponível em: https://esquerdaweb.com/carandiru-27-anos-sem-justica-e-de-desrespeito-aos-direitos-humanos/. Acesso em: 16 jul. 2025.</t>
  </si>
  <si>
    <t>Protesto</t>
  </si>
  <si>
    <t>Táctil*</t>
  </si>
  <si>
    <t>Petição</t>
  </si>
  <si>
    <t xml:space="preserve">Filmagem (convencional) </t>
  </si>
  <si>
    <t>PNG (image/png)</t>
  </si>
  <si>
    <t>Textual</t>
  </si>
  <si>
    <t>Poema</t>
  </si>
  <si>
    <t xml:space="preserve">Filmagem (geral) </t>
  </si>
  <si>
    <t>Série/Documento</t>
  </si>
  <si>
    <t xml:space="preserve">(completar...) </t>
  </si>
  <si>
    <t>Presos nas janelas da Casa de Detenção de São Paulo, com faixa de protesto pela morte de 111 presos do Pavilhão 9, em 05/10/1992 (Andre Penner/VEJA)</t>
  </si>
  <si>
    <t>Espécie</t>
  </si>
  <si>
    <t>Instituição de origem</t>
  </si>
  <si>
    <t>Número total de páginas</t>
  </si>
  <si>
    <t>Procedimentos judiciais e administrativos</t>
  </si>
  <si>
    <t>CPI (1992)</t>
  </si>
  <si>
    <t>?</t>
  </si>
  <si>
    <t>Associação dos Sentenciados do Brasil (Asbras)</t>
  </si>
  <si>
    <t>ALESP</t>
  </si>
  <si>
    <t>Processo de tombamento</t>
  </si>
  <si>
    <t>Conselho Municipal de Preservação do Patrimônio Histórico, Cultural e Ambiental da Cidade de São Paulo</t>
  </si>
  <si>
    <t>Associação</t>
  </si>
  <si>
    <t>Não identificado</t>
  </si>
  <si>
    <t>Relatório final (1992)</t>
  </si>
  <si>
    <t xml:space="preserve">Tridimensional </t>
  </si>
  <si>
    <t>Textual, Bibliográfico</t>
  </si>
  <si>
    <t xml:space="preserve">Programa (rádio e TV) </t>
  </si>
  <si>
    <t>Conselho Nacional de Política Criminal e Penitenciária do Ministério da Justiça</t>
  </si>
  <si>
    <t xml:space="preserve">Fotografia (exposição fotográfica) </t>
  </si>
  <si>
    <t>Inquérito Civil Público (1992)</t>
  </si>
  <si>
    <t>MPSP</t>
  </si>
  <si>
    <t>Sindicância Justiça Militar (1992)</t>
  </si>
  <si>
    <t>Associação Juízes pela Democracia</t>
  </si>
  <si>
    <t>TJMSP</t>
  </si>
  <si>
    <t>Entidade civil sem fins lucrativos</t>
  </si>
  <si>
    <t>Prontuário</t>
  </si>
  <si>
    <t>Processo criminal contra 120 policiais militares</t>
  </si>
  <si>
    <t>https://www.ajd.org.br/sobre-nos/quem-somos</t>
  </si>
  <si>
    <t>Gravação (analógico)</t>
  </si>
  <si>
    <t>TJSP</t>
  </si>
  <si>
    <t>Sindicância da Corregedoria dos Presídios (1992)</t>
  </si>
  <si>
    <t>Processos cíveis de idenização por danos materiais e morais contra o estado</t>
  </si>
  <si>
    <t>Relato</t>
  </si>
  <si>
    <t xml:space="preserve">Textual </t>
  </si>
  <si>
    <t xml:space="preserve">Gravação (convencional) </t>
  </si>
  <si>
    <t>TOTAL</t>
  </si>
  <si>
    <t>Relatório</t>
  </si>
  <si>
    <t xml:space="preserve">Gravação (geral) </t>
  </si>
  <si>
    <t xml:space="preserve">Imagem (digital) </t>
  </si>
  <si>
    <t>Relatórios necropiciais</t>
  </si>
  <si>
    <t>Associação Nacional de Direitos Humanos</t>
  </si>
  <si>
    <t>Comemorações dos movimentos sociais</t>
  </si>
  <si>
    <t>https://www.dhnet.org.br/educar/academia/andhep/index.htm</t>
  </si>
  <si>
    <t xml:space="preserve">Imagem matricial (digital) </t>
  </si>
  <si>
    <t>CPS</t>
  </si>
  <si>
    <t>IMPUNE, massacre do Carandiru completa 25 anos. VEJA, São Paulo, 2 out. 2017. Fotografia: Presos nas janelas da Casa de Detenção de São Paulo, com faixa de protesto pela morte de 111 presos do Pavilhão 9, em 05/10/1992 (Andre Penner/VEJA). Disponível em: https://veja.abril.com.br/wp-content/uploads/2016/06/massacre-carandiru-1992-sao-paulo-19921005-81-original1.jpeg?quality=70&amp;strip=info&amp;w=928&amp;w=636. Acesso em: 16 jul. 2025.</t>
  </si>
  <si>
    <t>GPT</t>
  </si>
  <si>
    <t>Ana Maria Camargo</t>
  </si>
  <si>
    <t>Álbum musical</t>
  </si>
  <si>
    <t>Imagem vetorial (digital)</t>
  </si>
  <si>
    <t>https://www.youtube.com/watch?v=oexvgm2cTw8</t>
  </si>
  <si>
    <t xml:space="preserve">Impresso </t>
  </si>
  <si>
    <t xml:space="preserve">Manuscrito </t>
  </si>
  <si>
    <t xml:space="preserve">Microfilmagem </t>
  </si>
  <si>
    <t>Cardeal dom Paulo Evaristo Arns</t>
  </si>
  <si>
    <t>Representate da Igreja Católica</t>
  </si>
  <si>
    <t>Nato-digital</t>
  </si>
  <si>
    <t>Brasil de Fato</t>
  </si>
  <si>
    <t xml:space="preserve">Fundo </t>
  </si>
  <si>
    <t>Fundo, coleção, arquivo, acervo</t>
  </si>
  <si>
    <t>Série</t>
  </si>
  <si>
    <t>Genero textual</t>
  </si>
  <si>
    <t>Subserie ou dossie</t>
  </si>
  <si>
    <t>Casa da F.U.R.I.A</t>
  </si>
  <si>
    <t>Forma cópia</t>
  </si>
  <si>
    <t>Técnica não determinada</t>
  </si>
  <si>
    <t>Centro cultural</t>
  </si>
  <si>
    <t>Num doc sub</t>
  </si>
  <si>
    <t>https://www.instagram.com/casa_da_f.u.r.i.a/</t>
  </si>
  <si>
    <t>Suporte papel ou eletrônico?</t>
  </si>
  <si>
    <t>Num de pastas ou docs existententes</t>
  </si>
  <si>
    <t>Formato folha</t>
  </si>
  <si>
    <t>Pavilhão 9</t>
  </si>
  <si>
    <t>Num de pg ou folhas</t>
  </si>
  <si>
    <t>Primeiro Ato</t>
  </si>
  <si>
    <t>PADA</t>
  </si>
  <si>
    <t xml:space="preserve">Negativo (fotográfico) </t>
  </si>
  <si>
    <t>Coleção</t>
  </si>
  <si>
    <t>Texto (digital), Vídeo (digital)</t>
  </si>
  <si>
    <t xml:space="preserve">Grupo </t>
  </si>
  <si>
    <t>Subgrupo</t>
  </si>
  <si>
    <t>Subserie</t>
  </si>
  <si>
    <t>Dossie/Processo</t>
  </si>
  <si>
    <t xml:space="preserve">Unidade documental </t>
  </si>
  <si>
    <t>Unidade de armazenamento</t>
  </si>
  <si>
    <t xml:space="preserve">Parte, pg </t>
  </si>
  <si>
    <t>Técnica varia</t>
  </si>
  <si>
    <t>Texto (digital)</t>
  </si>
  <si>
    <t>Canal da Ação Negra na TV Fórum</t>
  </si>
  <si>
    <t>Casa Flores</t>
  </si>
  <si>
    <t>https://www.instagram.com/casaflores.org.br/</t>
  </si>
  <si>
    <t>Vídeo (digital)</t>
  </si>
  <si>
    <t>Centro de Justiça Global</t>
  </si>
  <si>
    <t>https://www.global.org.br/quem-somos/</t>
  </si>
  <si>
    <t>6 músicas sobre o massacre do Carandiru: do rap ao rock. Sala Secreta (WordPress), 2 set. 2020. Disponível em: https://salasecreta3s.wordpress.com/2020/10/02/seis-musicas-sobre-o-massacre-do-carandiru/. Acesso em: 18 jul. 2025.</t>
  </si>
  <si>
    <t>Reportagem</t>
  </si>
  <si>
    <t>Centro pela Justiça e o Direito Internacional (CEJIL)</t>
  </si>
  <si>
    <t>https://cejil.org/pt-br/</t>
  </si>
  <si>
    <t>Rio de Janeiro</t>
  </si>
  <si>
    <t>Rede Globo</t>
  </si>
  <si>
    <t>Centro Santo Dias de Direitos Humanos da Arquidiocese de São Paulo</t>
  </si>
  <si>
    <t>Associação civil sem fins políticos e lucrativos</t>
  </si>
  <si>
    <t>https://ocandeeiro.org/parcerias/csddh-centro-santo-dias-de-direitos-humanos/</t>
  </si>
  <si>
    <t>Globo Play</t>
  </si>
  <si>
    <t xml:space="preserve">"Massacre do Carandiru" no Youtube
</t>
  </si>
  <si>
    <t>ASSUMPÇÃO, Isabela. Massacre no Carandiru. [Reportagem exibida originalmente pelo Jornal Nacional em 3 out. 1992]. GloboPlay. Disponível em: https://globoplay.globo.com/v/2268225/. Acesso em: 29 out. 2025.</t>
  </si>
  <si>
    <t>Cia Dxs Terroristxs</t>
  </si>
  <si>
    <t xml:space="preserve">Organização </t>
  </si>
  <si>
    <t>https://www.ciadxsterroristas.com/cia-dxs-terroristas</t>
  </si>
  <si>
    <t>Não especificado</t>
  </si>
  <si>
    <t>CIA. DOS PROFANOS</t>
  </si>
  <si>
    <t>Teatro</t>
  </si>
  <si>
    <t>https://www.instagram.com/cia.profanos/</t>
  </si>
  <si>
    <t>Cineblack</t>
  </si>
  <si>
    <t>Mídia</t>
  </si>
  <si>
    <t>https://www.instagram.com/cineblacktv/</t>
  </si>
  <si>
    <t>CLUBE DAS CRIMINALISTAS</t>
  </si>
  <si>
    <t>Coletivo</t>
  </si>
  <si>
    <t>https://www.instagram.com/clubedascriminalistas/</t>
  </si>
  <si>
    <t>STRACKER. Massacre no Carandiru – Reportagem: Outubro de 1992. [Reportagem originalmente exibida pela Rede Globo]. YouTube, 19 set. 2015. Disponível em: https://www.youtube.com/watch?v=A29fQMiFKyg. Acesso em: 15 out. 2025.</t>
  </si>
  <si>
    <t>Coletivo Independente 'Mães de Maio"</t>
  </si>
  <si>
    <t>https://www.instagram.com/movimentomaesdemaio/</t>
  </si>
  <si>
    <t>Coletivo Juntas SP</t>
  </si>
  <si>
    <t>Canal "Memórias Brasil"</t>
  </si>
  <si>
    <t>Coletivo Kriadaki</t>
  </si>
  <si>
    <t xml:space="preserve">Coletivo Por Nós </t>
  </si>
  <si>
    <t>Comissão de Direitos Humanos da Câmara de Vereadores da capital</t>
  </si>
  <si>
    <t>Comissão política</t>
  </si>
  <si>
    <t>Movimentos sociais</t>
  </si>
  <si>
    <t>Comissão de Direitos Humanos da Câmara dos Deputados</t>
  </si>
  <si>
    <t>Comissão de Direitos Humanos da OAB/SP</t>
  </si>
  <si>
    <t>Comissão Interamericana de Direitos Humanos (CIDH)</t>
  </si>
  <si>
    <t>Organismo Internacional</t>
  </si>
  <si>
    <t>Parentes de vítimas</t>
  </si>
  <si>
    <t>Comissão Justiça e Paz</t>
  </si>
  <si>
    <t>https://www.justicapaz.org/portal/</t>
  </si>
  <si>
    <t>"Massacre do Carandiru" no Youtube</t>
  </si>
  <si>
    <t>MEMÓRIAS BRASIL. Massacre no Carandiru 1992. Reportagem original da Rede Globo. YouTube, 1 min 43 s, 15 mar. 2023. Disponível em: https://www.youtube.com/watch?v=a6Kr0tTSf6s. Acesso em: 19 jul. 2025.</t>
  </si>
  <si>
    <t>Parlamentares</t>
  </si>
  <si>
    <t>Comissão Teotônio Vilela</t>
  </si>
  <si>
    <t>Comissões de Direitos Humanos da Assembléia Legislativa e da Câmara Municipal</t>
  </si>
  <si>
    <t>Comissões de Direitos Humanos da Câmara Municipal e da Assembleia Legislativa</t>
  </si>
  <si>
    <t>Haiti</t>
  </si>
  <si>
    <t>Comitê Cidadania</t>
  </si>
  <si>
    <t>Comitê Migrações e Deslocamentos</t>
  </si>
  <si>
    <t>Comunidade carcerária (Kric, WO e FW, formada em 1996)</t>
  </si>
  <si>
    <t>Cooperativa Libertas</t>
  </si>
  <si>
    <t>Entidades de direitos humanos</t>
  </si>
  <si>
    <t>Frente Estadual Pelo Desencarceramento de São Paulo</t>
  </si>
  <si>
    <t>VELOSO, Caetano. Haiti. YouTube, 1993. Vídeo: 4 min 59 s. Publicado em: 15 ago. 2012. Disponível em: https://www.youtube.com/watch?v=MfAxBoxdlb0. Acesso em: 18 jul. 2025.</t>
  </si>
  <si>
    <t>Frente Negra Contra o Genocídio</t>
  </si>
  <si>
    <t>Fundo Brasil</t>
  </si>
  <si>
    <t>GRUPO ANTÔNIA</t>
  </si>
  <si>
    <t>Grupo Comunidade Carcerária</t>
  </si>
  <si>
    <t>Sepultura</t>
  </si>
  <si>
    <t>Manifest</t>
  </si>
  <si>
    <t>Grupo de Mulheres Pão e Rosas</t>
  </si>
  <si>
    <t>Grupo teatral Fuga Coletiva</t>
  </si>
  <si>
    <t>Danny Murillo</t>
  </si>
  <si>
    <t>Detentos do Rap</t>
  </si>
  <si>
    <t>Grupo Tortura Nunca Mais</t>
  </si>
  <si>
    <t xml:space="preserve">Instituto Çarê </t>
  </si>
  <si>
    <t>Instituto Resgata Cidadão (IREC)</t>
  </si>
  <si>
    <t xml:space="preserve">Kilombagem </t>
  </si>
  <si>
    <t>Mães do Cárcere</t>
  </si>
  <si>
    <t>Dr. Baz Dreisinger</t>
  </si>
  <si>
    <t>Manas e Manhã Especial</t>
  </si>
  <si>
    <t>Dr. Paulo Rogério</t>
  </si>
  <si>
    <t>SEPULTURA. Manifest. YouTube, 1993. Vídeo: 4 min 30 s. Disponível em: https://www.youtube.com/watch?v=PE0Y3yZSvks&amp;list=RDPE0Y3yZSvks&amp;start_radio=1. Acesso em: 17 jul. 2025.</t>
  </si>
  <si>
    <t>Memórias Carandiru</t>
  </si>
  <si>
    <t>Movimento dos Sem Universidade</t>
  </si>
  <si>
    <t>Drauzio Varella</t>
  </si>
  <si>
    <t xml:space="preserve">Instituto de Filosofia e Ciências Humanas da Universidade Estadual de Campinas </t>
  </si>
  <si>
    <t>Movimento Independente Mães de Maio</t>
  </si>
  <si>
    <t>Drauzio Varella, Walter Carvalho e outros.</t>
  </si>
  <si>
    <t xml:space="preserve">Edson Souza (Professor da UFRGS) </t>
  </si>
  <si>
    <t>Movimento Nacional de Direitos Humanos</t>
  </si>
  <si>
    <t>Fatos Reais</t>
  </si>
  <si>
    <t>Terror no Carandiru</t>
  </si>
  <si>
    <t>Facção Central</t>
  </si>
  <si>
    <t>Movimento Passe Livre</t>
  </si>
  <si>
    <t>Movimento Revolucionário de Trabalhadores (MRT)</t>
  </si>
  <si>
    <t>ONG Pacto Social e Carcerário</t>
  </si>
  <si>
    <t>Ordem dos Advogados do Brasil, São Paulo</t>
  </si>
  <si>
    <t>Pastoral Carcerária</t>
  </si>
  <si>
    <t>Projeto Mãos do Quilombo</t>
  </si>
  <si>
    <t xml:space="preserve">Rede 02 de Outubro </t>
  </si>
  <si>
    <t>Rede Amalgamar</t>
  </si>
  <si>
    <t>Rede de Proteção e Resistência ao Genocídio</t>
  </si>
  <si>
    <t>FATOS REAIS – Topic. Terror no Carandiru. YouTube, [1993]. Vídeo: 4 min 36 s. Publicado em: 14 ago. 2020. Disponível em: https://www.youtube.com/watch?v=_XqvYGBVyr8&amp;list=OLAK5uy_mWbLFS3_Xr1Ec2nboNoLkbh6kfBrUXXKQ&amp;index=4. Acesso em: 18 jul. 2025.</t>
  </si>
  <si>
    <t xml:space="preserve">Rede Nacional de Feministas Antiproibicionistas </t>
  </si>
  <si>
    <t>Rede Social de Justiça e Direitos Humanos</t>
  </si>
  <si>
    <t>Representantes da Igreja Católica</t>
  </si>
  <si>
    <t xml:space="preserve">Secretaria Municipal de Direitos Humanos </t>
  </si>
  <si>
    <t>“Chegou a morte”: Massacre na casa de detenção São Paulo</t>
  </si>
  <si>
    <t>Secretaria Municipal de Direitos Humanos e Cidadania (SMDHC)</t>
  </si>
  <si>
    <t>Sindicato dos Procuradores do Estado de São Paulo</t>
  </si>
  <si>
    <t>Sistema Estadual de Museus da Secretaria de Cultura e Economia Criativa do Estado de São Paulo</t>
  </si>
  <si>
    <t>Teatro da Vertigem</t>
  </si>
  <si>
    <t>Guilherme de Almeida</t>
  </si>
  <si>
    <t>Heróis do G.u.e.t.o., Mc Don King e R!CCO</t>
  </si>
  <si>
    <t>Instituto de Estudos Brasileiros da Universidade de São Paulo (IEB-USP)</t>
  </si>
  <si>
    <t>Humberto Rodrigues</t>
  </si>
  <si>
    <t>ANISTIA INTERNACIONAL. “Chegou a Morte”: Massacre na Casa de Detenção de São Paulo. [S.l.]: AI Index, 1993. Disponível em: https://www.amnesty.org/en/documents/amr19/008/1993/pt/. Acesso em: 18 nov. 2025.</t>
  </si>
  <si>
    <t>Crônica</t>
  </si>
  <si>
    <t>Invasores de Cérebros</t>
  </si>
  <si>
    <t>Sérgio de Carvalho</t>
  </si>
  <si>
    <t>No país do massacre, luto não tem sentido</t>
  </si>
  <si>
    <t>Jocenir</t>
  </si>
  <si>
    <t>Jota Carvalho Junior</t>
  </si>
  <si>
    <t>Katherine A. Martins</t>
  </si>
  <si>
    <t>Lygia Pepe</t>
  </si>
  <si>
    <t>"111 mortos 1993" no acervo d'O Estado de S. Paulo</t>
  </si>
  <si>
    <t>Mandando Bronca feat. Igor e Max Cavallera (Sepultura)</t>
  </si>
  <si>
    <t>Maíra Machado - FGV</t>
  </si>
  <si>
    <t>CARVALHO, Sérgio de. No país do massacre, luto não tem sentido. O Estado de S. Paulo, São Paulo, 3 set. 1993. Disponível em: https://acervo.estadao.com.br/pagina/#!/19930903-36479-nac-0047-cd2-5-not/busca/1993. Acesso em: 17 jul. 2025.</t>
  </si>
  <si>
    <t>Abaixo-assinado</t>
  </si>
  <si>
    <t>Marta Machado - FGV</t>
  </si>
  <si>
    <t>Maureen Bisiliat</t>
  </si>
  <si>
    <t>Tribunal decide hoje se indica Pedro Franco</t>
  </si>
  <si>
    <t>Maureen Bisiliiat, Sophia Bisilliat, André Caramante
e João Wainer</t>
  </si>
  <si>
    <t>Maurício Monteiro</t>
  </si>
  <si>
    <t>"Massacre do Carandiru" no acervo da Folha de S. Paulo</t>
  </si>
  <si>
    <t>FOLHA DE S. PAULO. Tribunal decide hoje se indica Pedro Franco. Folha de S. Paulo, São Paulo, 13 out. 1993. Disponível em: https://acervo.folha.com.br/digital/leitor.do?numero=12210&amp;keyword=%22massacre+do+carandiru%22&amp;anchor=4831804&amp;origem=busca&amp;originURL=&amp;maxTouch=0&amp;pd=1feaed63bbf6ad29ea7ea9ff50a9bd58. Acesso em: 17 jul. 2025.</t>
  </si>
  <si>
    <t>Manifesto</t>
  </si>
  <si>
    <t>Núcleo de Estudos da Violência da USP</t>
  </si>
  <si>
    <t>Associação Juízes pela Democracia, OAB/SP Comissão de Direitos Humanos da OAB/SP, Associaçao Juizes para a Democracia, Pastoral Carcerária, Núcleo de Estudos da Violência da USP, Comissão Teotônio Vilela, Comissão Justiça e Paz, grupo Tortura Nunca Mais, entre outros.</t>
  </si>
  <si>
    <t>Pastor Zé Roberto</t>
  </si>
  <si>
    <t>Pedro Tierra</t>
  </si>
  <si>
    <t xml:space="preserve">Pessoas engajadas no tema da segurança pública </t>
  </si>
  <si>
    <t>Pontifícia Universidade Católica de São Paulo</t>
  </si>
  <si>
    <t>Pesquisa e Pós-Graduação (ANDHEP)</t>
  </si>
  <si>
    <t>Professor Cristiano</t>
  </si>
  <si>
    <t>Professor Emerson</t>
  </si>
  <si>
    <t>Elói Pietá e Justino Pereira</t>
  </si>
  <si>
    <t>Racionais MC's</t>
  </si>
  <si>
    <t>Pavilhão 9: O Massacre do Carandiru</t>
  </si>
  <si>
    <t>Impresso</t>
  </si>
  <si>
    <t>Sabotage</t>
  </si>
  <si>
    <t>"Massacre do Carandiru" no Dedalus USP</t>
  </si>
  <si>
    <t>Aqui</t>
  </si>
  <si>
    <t>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t>
  </si>
  <si>
    <t>Sérgio Salomão Shecaira</t>
  </si>
  <si>
    <t>Walter Luiz (Diretor do IREC).</t>
  </si>
  <si>
    <t>Americas Watch, o CEJIL e a Comissão Teotônio Vilela</t>
  </si>
  <si>
    <t>Relatório nº34/00</t>
  </si>
  <si>
    <t xml:space="preserve">COMISSÃO INTERAMERICANA DE DIREITOS HUMANOS (CIDH). Relatório nº 34/00. 2000. Disponível em: https://cidh.oas.org/annualrep/99port/brasil11291.htm. Acesso em: 18 jul. 2025.
</t>
  </si>
  <si>
    <t>Exposição</t>
  </si>
  <si>
    <t>Em frente à Casa de Detenção</t>
  </si>
  <si>
    <t>Indeterminado</t>
  </si>
  <si>
    <t>Bancada 111' usa massacre para se eleger</t>
  </si>
  <si>
    <t>Texto (digital), Imagem (digital)</t>
  </si>
  <si>
    <t>"manifestação solidariedade ao Massacre do Carandiru" no acervo da Folha de S. Paulo</t>
  </si>
  <si>
    <t xml:space="preserve">CASTRO, Daniel. “Bancada 111” usa massacre para se eleger. Folha de S. Paulo, São Paulo, 2 out. 1994. Disponível em: https://www1.folha.uol.com.br/fsp/1994/10/02/cotidiano/15.html. Acesso em: 16 jul. 2025.
</t>
  </si>
  <si>
    <t>Paralisação</t>
  </si>
  <si>
    <t>Todos os presídios de São Paulo</t>
  </si>
  <si>
    <t>Asbras (Associação dos Sentenciados do Brasil)</t>
  </si>
  <si>
    <t xml:space="preserve">CASTRO, Daniel. “Bancada 111” usa massacre para se eleger. Folha de S. Paulo, São Paulo, 2 out. 1994. Disponível em: https://www1.folha.uol.com.br/fsp/1994/10/02/cotidiano/15.html. Acesso em: 16 jul. 2025.
</t>
  </si>
  <si>
    <t>Ato</t>
  </si>
  <si>
    <t>Largo São Francisco (centro de São Paulo)</t>
  </si>
  <si>
    <t>Autoria desconhecida</t>
  </si>
  <si>
    <t>CASTRO, Daniel. “Bancada 111” usa massacre para se eleger. Folha de S. Paulo, São Paulo, 2 out. 1994. Disponível em: https://www1.folha.uol.com.br/fsp/1994/10/02/cotidiano/15.html. Acesso em: 16 jul. 2025.</t>
  </si>
  <si>
    <t xml:space="preserve">Música </t>
  </si>
  <si>
    <t xml:space="preserve">São Paulo </t>
  </si>
  <si>
    <t>Dominando sua área</t>
  </si>
  <si>
    <t xml:space="preserve">PAVILHÃO 9. Dominando sua área. Pavilhão 9 TV, YouTube, [1997]. Vídeo: 5 min 22 s. Publicado em: 20 set. 2018. Disponível em: https://www.youtube.com/watch?v=rN0aIdahIk8. Acesso em: 18 jul. 2025.
</t>
  </si>
  <si>
    <t>A Pedagogia dos aços</t>
  </si>
  <si>
    <t>TIERRA, Pedro. “A pedagogia dos aços”. O Estado de S. Paulo, São Paulo, 29 jun. 1996, p. 83. Disponível em: https://acervo.estadao.com.br/pagina/#!/19960629-37509-nac-0083-cd2-d11-not/busca/carandiru. Acesso em: 15 jul. 2025.</t>
  </si>
  <si>
    <t>Racionais - Sobrevivendo no Inferno - Diário de um Detento</t>
  </si>
  <si>
    <t xml:space="preserve">RACIONAIS MCs. Diário de um detento. Racionais TV, YouTube, [1997]. Vídeo: 7 min 32 s. Disponível em: https://www.youtube.com/watch?v=pK1viMNdYp0. Acesso em: 12 abr. 2008.
</t>
  </si>
  <si>
    <t>Mandando Bronca</t>
  </si>
  <si>
    <t xml:space="preserve">PAVILHÃO 9. Mandando Bronca feat. Max e Igor Cavalera. YouTube, [1997]. Vídeo: 4 min 32 s. Publicado em: 25 jul. 2017. Disponível em: https://www.youtube.com/watch?v=jxNYhTQUz0k&amp;t=168s. Acesso em: 18 jul. 2025.
</t>
  </si>
  <si>
    <t>Detentos do Rap - Casa Cheia</t>
  </si>
  <si>
    <t xml:space="preserve">DETENTOS DO RAP. Casa Cheia. YouTube, [1997]. Vídeo: 5 min 10 s. Publicado em: 25 abr. 2020. Disponível em: https://www.youtube.com/watch?v=WN0XejXEiCs&amp;list=RDWN0XejXEiCs&amp;start_radio=1. Acesso em: 18 jul. 2025
</t>
  </si>
  <si>
    <t>Estação Carandiru</t>
  </si>
  <si>
    <t xml:space="preserve">VARELLA, Drauzio. Estação Carandiru. São Paulo: Companhia das Letras, 1999.
</t>
  </si>
  <si>
    <t>Manifestação artístico-cultural, Atividade de  Universitária</t>
  </si>
  <si>
    <t>Diário de um detento, o livro</t>
  </si>
  <si>
    <t>JOCENIR. Diário de um detento: o livro. São Paulo: Labortexto Editorial, 2001.</t>
  </si>
  <si>
    <t xml:space="preserve">Instalação artística </t>
  </si>
  <si>
    <t>Centro de Arte Hélio Oiticica</t>
  </si>
  <si>
    <t>Lygia Pape</t>
  </si>
  <si>
    <t>Carandiru</t>
  </si>
  <si>
    <t>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t>
  </si>
  <si>
    <t>Sabotage - O Retorno AC DC A Prisão</t>
  </si>
  <si>
    <t>SABOTAGE. O Retorno AC DC A Prisão. RapMusicBrasil, YouTube, 2001. Vídeo: 9 min 13 s. Disponível em: https://www.youtube.com/watch?v=9sipJNxJbtQ. Acesso em: 18 jul. 2025.</t>
  </si>
  <si>
    <t xml:space="preserve">Manifestação </t>
  </si>
  <si>
    <t>Fórum da Barra Funda</t>
  </si>
  <si>
    <t>Entidades de direitos humanos, Representantes do Centro de Justiça Global, Movimento Nacional de Direitos Humanos, Pastoral Carcerária, entre outros, além de parentes de vítimas e sobreviventes do massacre.</t>
  </si>
  <si>
    <t>Julgamento de coronel que comandou massacre começa hoje</t>
  </si>
  <si>
    <t>BUOSI, Milena. Julgamento de coronel que comandou massacre começa hoje. Folha Online, São Paulo, 20 jun. 2001. Disponível em: https://www1.folha.uol.com.br/folha/cotidiano/ult95u31424.shtml. Acesso em: 16 jul. 2025.</t>
  </si>
  <si>
    <t>Fórum Criminal Ministro Mário Guimarães, na Barra Funda, SP</t>
  </si>
  <si>
    <t>Familiares, Pastoral Carcerária, Comissões de Direitos Humanos da Câmara Municipal e da Assembleia Legislativa; Comissão de Direitos Humanos da Câmara dos Deputados</t>
  </si>
  <si>
    <t>Tensão marca início do júri do Carandiru</t>
  </si>
  <si>
    <t xml:space="preserve">GODOY, Marcelo. Tensão marca início do júri do Carandiru. O Estado de S. Paulo, São Paulo, 21 jun. 2001, p. 41. Disponível em: https://acervo.estadao.com.br/pagina/#!/20010621-39328-spo-41-cid-c4-not/busca/Carandiru. Acesso em: 15 jul. 2025.
</t>
  </si>
  <si>
    <t>Familiares e “entidades ligadas aos direitos humanos”.</t>
  </si>
  <si>
    <t>Sentença sobre o Massacre do Carandiru sai hoje</t>
  </si>
  <si>
    <t xml:space="preserve">GODOY, Marcelo; PITTA, Iuri. Sentença sobre o Massacre do Carandiru sai hoje. O Estado de S. Paulo, São Paulo, 29 jun. 2001, p. 32. Disponível em: https://acervo.estadao.com.br/pagina/#!/20010629-39336-nac-32-cid-c5-not/busca/Carandiru. Acesso em: 15 jul. 2025.
</t>
  </si>
  <si>
    <t>Hosmany Ramos</t>
  </si>
  <si>
    <t>Pavilhão 9: Paixão e Morte no Carandiru</t>
  </si>
  <si>
    <r>
      <rPr>
        <rFont val="DM Sans"/>
        <sz val="14.0"/>
      </rPr>
      <t>RODRIGUES, Adriana Mariana de Araujo. Carandiru: formas de lembrar, maneiras de esquecer. Informação, memória e esquecimento. 2021. Dissertação (Mestrado em Cultura e Informação) - Escola de Comunicações e Artes, Universidade de São Paulo, São Paulo, 2021. Disponível em: &lt;</t>
    </r>
    <r>
      <rPr>
        <rFont val="DM Sans"/>
        <color rgb="FF1155CC"/>
        <sz val="14.0"/>
        <u/>
      </rPr>
      <t>https://teses.usp.br/teses/disponiveis/27/27151/tde-24082021-234649/pt-br.html</t>
    </r>
    <r>
      <rPr>
        <rFont val="DM Sans"/>
        <sz val="14.0"/>
      </rPr>
      <t>&gt;. Acesso em: 2025-10-15.</t>
    </r>
  </si>
  <si>
    <t>Sâo Paulo</t>
  </si>
  <si>
    <t>Luiz Alberto Mendes</t>
  </si>
  <si>
    <t>Memórias de um sobrevivente</t>
  </si>
  <si>
    <t>Companhia das Letras</t>
  </si>
  <si>
    <t>MENDES, Luiz Alberto. Memórias de um sobrevivente. São Paulo: Companhia das Letras, 2001.</t>
  </si>
  <si>
    <t>Rebelião</t>
  </si>
  <si>
    <t>Sobreviventes do Massacre do Carandiru (pessoas em situação de privação de liberdade da Penitenciária do Estado)</t>
  </si>
  <si>
    <t>"Prisioneiro 84.901" no Youtube</t>
  </si>
  <si>
    <t>PRISIONEIRO 84.901. Mega rebelião 2001: vista da Penitenciária do Estado (Mercadão) – Parte 1. YouTube, 15 abr. 2024. Disponível em: https://www.youtube.com/watch?v=lCgKKMo3bvU. Acesso em: 19 jul. 2025.</t>
  </si>
  <si>
    <t>Bruno Zeni</t>
  </si>
  <si>
    <t>Sobrevivente André du Rap (do Massacre do Carandiru)</t>
  </si>
  <si>
    <t xml:space="preserve">ZENI, Bruno. Sobrevivente André du Rap (do massacre do Carandiru) / coordenação editorial: Bruno Zeni. São Paulo: Labortexto Editorial, 2002.
</t>
  </si>
  <si>
    <t xml:space="preserve">Ato </t>
  </si>
  <si>
    <t>Faculdade de Direito do Largo São Francisco, no centro de São Paulo</t>
  </si>
  <si>
    <t>Comissões de Direitos Humanos da Assembléia Legislativa e da Câmara Municipal, Rede Social de Justiça e Direitos Humanos, Centro Santo Dias de Direitos Humanos, Sindicato dos Procuradores do Estado de São Paulo, Grupo Tortura Nunca Mais, Movimento dos Sem Universidade, cardeal dom Paulo Evaristo Arns, Comissão Justiça e Paz, Pastoral Carcerária e Comissão de Direitos Humanos da OAB/SP.</t>
  </si>
  <si>
    <t>Atividades marcam dez anos do massacre do Carandiru</t>
  </si>
  <si>
    <t>FOLHA DE S. PAULO. Atividades marcam dez anos do massacre do Carandiru. Folha de S. Paulo, São Paulo, 2 out. 2002. Disponível em: https://www1.folha.uol.com.br/folha/cotidiano/ult95u60186.shtml. Acesso em: 17 jul. 2025.</t>
  </si>
  <si>
    <t>Vidas do Carandiru: histórias reais</t>
  </si>
  <si>
    <t xml:space="preserve">RODRIGUES, Humberto. Vidas do Carandiru: histórias reais. São Paulo: Geração Editorial, 2002.
</t>
  </si>
  <si>
    <t>Siron Franco</t>
  </si>
  <si>
    <t>Portas</t>
  </si>
  <si>
    <t>Vidas do Carandiru</t>
  </si>
  <si>
    <t>Direção: Hector Babenco. Roteiro: Victor Navas, Fernando Bonassi e Hector Babenco. Elenco: Rodrigo Santoro, Milton Gonçalves, Luiz Carlos Vasconcelos, Maria Luiza Mendonça e Caio Blat. Brasil. HB Filmes e Globo Filmes.</t>
  </si>
  <si>
    <t>CARANDIRU. 47ª Mostra Internacional de Cinema em São Paulo, 2023. Disponível em: https://47.mostra.org/filmes/carandiru-47a. Acesso em: 18 jul. 2025.</t>
  </si>
  <si>
    <t>Maureen Bisilliat, Sophia Bisilliat, André Caramante e João Wainer</t>
  </si>
  <si>
    <t xml:space="preserve">Aqui dentro - páginas de uma memória: Carandiru. </t>
  </si>
  <si>
    <t>BISILLIAT, Maureen. Aqui dentro - páginas de uma memória: Carandiru. São Paulo: Imprensa Oficial, 2003.</t>
  </si>
  <si>
    <t>Documentário</t>
  </si>
  <si>
    <t>Paulo Sacramento</t>
  </si>
  <si>
    <t>O prisioneiro da grade de ferro (Auto-retratos)</t>
  </si>
  <si>
    <t>PRISIONEIRO DA GRADE DE FERRO (Auto-retratos). Direção: Paulo Sacramento. Itaú Cultural. São Paulo, 2003. 123 min. Trecho do documentário. Publicado em: 31 mar. 2009. Disponível em: https://www.youtube.com/watch?v=EnJN0emCYas. Acesso em: 18 jul. 2025</t>
  </si>
  <si>
    <t>Reino Unido</t>
  </si>
  <si>
    <t>Asian Dub Foundation</t>
  </si>
  <si>
    <t>19 Rebellions</t>
  </si>
  <si>
    <t>Carandiru, Outras Histórias</t>
  </si>
  <si>
    <t>WIKIPÉDIA. Carandiru, Outras Histórias. Wikipédia: a enciclopédia livre. Disponível em: https://pt.wikipedia.org/wiki/Carandiru,_Outras_Hist%C3%B3rias. Acesso em: 18 jul. 2025.</t>
  </si>
  <si>
    <t>Aonde o Filho Chora e a Mãe Não Vê</t>
  </si>
  <si>
    <t xml:space="preserve">FACÇÃO CENTRAL. Aonde o Filho Chora e a Mãe Não Vê – O Espetáculo do Circo dos Horrores – Faixa 14. YouTube, [2006]. Publicado em: 9 ago. 2020. Disponível em: https://www.youtube.com/watch?v=ScrbQ-rVJ3A. Acesso em: 18 jul. 2025
</t>
  </si>
  <si>
    <t>Facção Central - Roleta Macabra - O Espetáculo do Circo dos Horrores - Faixa 16</t>
  </si>
  <si>
    <t>FACÇÃO CENTRAL. Roleta Macabra – O Espetáculo do Circo dos Horrores – Faixa 16. YouTube, [2006]. Vídeo: 5 min 17 s. Disponível em: https://www.youtube.com/watch?v=HPtq2LE246o. Acesso em: 18 jul. 2025.</t>
  </si>
  <si>
    <t>Facção Central - Homenagem Póstuma - O Espetáculo do Circo dos Horrores - Faixa 10</t>
  </si>
  <si>
    <t xml:space="preserve">FACÇÃO CENTRAL. Homenagem Póstuma – O Espetáculo do Circo dos Horrores – Faixa 10. YouTube, [2006]. Vídeo: 5 min 17 s. Disponível em: https://www.youtube.com/watch?v=Na3khdNxYUs. Acesso em: 18 jul. 2025.
</t>
  </si>
  <si>
    <t>Catedral da Sé</t>
  </si>
  <si>
    <t>Comissão de Direitos Humanos da Câmara de Vereadores da capital.</t>
  </si>
  <si>
    <t>São Paulo protesta hoje contra impunidade no massacre do Carandiru</t>
  </si>
  <si>
    <t xml:space="preserve">SINTRAJUSC. São Paulo protesta hoje contra impunidade no massacre do Carandiru. SINTRAJUSC, 20 fev. 2006. Disponível em: https://www.sintrajusc.org.br/sao-paulo-protesta-hoje-contra-impunidade-no-massacre-do-carandiru/. Acesso em: 17 jul. 2025.
</t>
  </si>
  <si>
    <t>Doug Casarin</t>
  </si>
  <si>
    <t>Carandiru 111</t>
  </si>
  <si>
    <t>Estranho Sorriso</t>
  </si>
  <si>
    <r>
      <rPr>
        <rFont val="DM Sans"/>
        <sz val="14.0"/>
      </rPr>
      <t xml:space="preserve">HEROIS DO G.U.E.T.O, MC DON KING &amp; R!CCO. Estranho Sorriso. Playlist criada por Elias Santos. Spotify. Disponível em: </t>
    </r>
    <r>
      <rPr>
        <rFont val="DM Sans"/>
        <color rgb="FF1155CC"/>
        <sz val="14.0"/>
        <u/>
      </rPr>
      <t>https://open.spotify.com/intl-pt/track/3yJKAg8QXpAyQ1TC2hca1i.</t>
    </r>
    <r>
      <rPr>
        <rFont val="DM Sans"/>
        <sz val="14.0"/>
      </rPr>
      <t xml:space="preserve"> Acesso em: 18 jul. 2025.
</t>
    </r>
  </si>
  <si>
    <t>Sem local</t>
  </si>
  <si>
    <t>Hélvio Borelli e Karina Florido Rodrigues</t>
  </si>
  <si>
    <t>Vozes do Carandiru</t>
  </si>
  <si>
    <t>Site Memória Massacre Carandiru</t>
  </si>
  <si>
    <t>VASCO, Henrique. Carandiru: Dois lados de um só lugar (Parte 1): Introdução. [Documentário]. YouTube, 5 jul. 2009. Disponível em: https://www.youtube.com/watch?v=Hz411P7w_mo&amp;t=1s. Acesso em: 10 out. 2025.</t>
  </si>
  <si>
    <t>VASCO, Henrique. Carandiru: Dois lados de um só lugar (Parte 2): A rotina no presídio. [Documentário]. YouTube, 5 jul. 2009. Disponível em: https://www.youtube.com/watch?v=KYGktugXJhg. Acesso em: 10 out. 2025</t>
  </si>
  <si>
    <t>VASCO, Henrique. Carandiru: Dois lados de um só lugar (Parte 3:) O "massacre" no Pavilhão 9. [Documentário]. YouTube, 5 jul. 2009. Disponível em: https://www.youtube.com/watch?v=FPDmERJO1D4. Acesso em: 10 out. 2025.</t>
  </si>
  <si>
    <t>VASCO, Henrique. Carandiru: Dois lados de um só lugar (Parte 4): Histórias Parte 1. [Documentário]. YouTube, 5 jul. 2009. Disponível em: https://www.youtube.com/watch?v=W1YWe6jdjl4. Acesso em: 10 out. 2025.</t>
  </si>
  <si>
    <t>VASCO, Henrique. Carandiru: Dois lados de um só lugar (Parte 5): Histórias Parte 2. [Documentário]. YouTube, 5 jul. 2009. Disponível em: https://www.youtube.com/watch?v=eHjkdHXXjR8. Acesso em: 10 out. 2025.</t>
  </si>
  <si>
    <t>VASCO, Henrique. Carandiru: Dois lados de um só lugar (Parte Final): Lei própria. [Documentário]. YouTube, 5 jul. 2009. Disponível em: https://www.youtube.com/watch?v=CST4WPVUJz07. Acesso em: 10 out. 2025.</t>
  </si>
  <si>
    <t>IX Turma da FGV Direito SP</t>
  </si>
  <si>
    <t>DOUER, Zack. Relatos do Carandiru – Documentário com Entrevistas. Produção: IX Turma da FGV Direito SP. [Documentário]. YouTube, 11 maio 2015. Duração: 19 min 49 s. Disponível em: https://www.youtube.com/watch?v=oMYieRwBz-8. Acesso em: 10 out. 2025.</t>
  </si>
  <si>
    <t>MARICARRERA. Massacre do Carandiru. [Entrevista]. YouTube, 30 nov. 2009. Disponível em: https://www.youtube.com/watch?v=wylxwOy25Y8. Acesso em: 10 out. 2025</t>
  </si>
  <si>
    <t>Mobilização</t>
  </si>
  <si>
    <t>Avenida Cruzeiro do Sul, 2630 - Carandiru (Entrada do Parque da Juventude)</t>
  </si>
  <si>
    <t>Convocada por diversas organizações como as Mães de Maio e representantes da Igreja Católica, essa mobilização deu origem a Rede 02 de Outubro que existiu de 2011 até 2016</t>
  </si>
  <si>
    <t>28 anos do massacre do Carandiru: álbum da luta por memória e justiça</t>
  </si>
  <si>
    <t>Texto (digital), Vídeo (digital), Imagem (digital)</t>
  </si>
  <si>
    <t xml:space="preserve">QUILOMBO INVISÍVEL. 28 anos do massacre do Carandiru: álbum da luta por memória e justiça. Quilombo Invisível, 1 out. 2020. Disponível em: https://quilomboinvisivel.com/2020/10/01/28-anos-do-massacre-carandiru-album-da-luta-por-memoria-e-justica/. Acesso em: 17 jul. 2025.
</t>
  </si>
  <si>
    <t>Recitação de poema</t>
  </si>
  <si>
    <t>Periferia</t>
  </si>
  <si>
    <t>ANDRADE, Renan. Periferia. YouTube, publicado em: 9 out. 2011. Disponível em: https://www.youtube.com/watch?v=gyyYug6PUGo. Acesso em: 18 jul. 2025.</t>
  </si>
  <si>
    <t>Espetáculo de dança</t>
  </si>
  <si>
    <t>Convocada por diversas organizações como as Mães de Maio e representantes da Igreja Católica, essa mobilização deu origem a Rede 02 de Outubro que existiu de 2011 até 2017</t>
  </si>
  <si>
    <t>A opinião do internauta sobre o caso Carandiru</t>
  </si>
  <si>
    <t>RIBEIRO, Thaíssa Bernhardt. A opinião do internauta sobre o caso Carandiru: análise de dados colhidos no YouTube. In: MACHADO, Maíra Rocha; MACHADO, Marta Rodriguez de Assis Machado (coord.). Carandiru não é coisa do passado [recurso eletrônico]: um balanço sobre os processos, as instituições e as narrativas 23 anos após o massacre. São Paulo: FGV Direito SP, 2015. Disponível em: https://www.santoandre.sp.gov.br/PESQUISA/ebooks/419563.pdf. Acesso em: 20 jul. 2025.</t>
  </si>
  <si>
    <t>Pça. da Sé</t>
  </si>
  <si>
    <t>Movimentos sociais (ex. citado Rede 02 de outubro) e a Pastoral Carcerária</t>
  </si>
  <si>
    <t>ONU elogia punição a policiais militares envolvidos no massacre do Carandiru</t>
  </si>
  <si>
    <t>ONU BRASIL. ONU elogia punição a policiais militares envolvidos no massacre do Carandiru. ONU Brasil, 23 abr. 2013. Disponível em: https://brasil.un.org/pt-br/62390-onu-elogia-puni%C3%A7%C3%A3o-policiais-militares-envolvidos-no-massacre-do-carandiru. Acesso em: 17 jul. 2025.</t>
  </si>
  <si>
    <t>Favela do Moinho</t>
  </si>
  <si>
    <t>Mães de Maio no Moinho</t>
  </si>
  <si>
    <t>CINESCADÃO. Mães de Maio no Moinho. YouTube, publicado em: 24 jan. 2012. Vídeo: 9 min 55 s. Disponível em: https://www.youtube.com/watch?v=Q9MpEVJgF_Y. Acesso em: 18 jul. 2025.</t>
  </si>
  <si>
    <t>Leitura pública</t>
  </si>
  <si>
    <t>30ª edição da Bienal de São Paulo</t>
  </si>
  <si>
    <t>Massacre do Carandiru + 23: inação, descontinuidade e resistências.</t>
  </si>
  <si>
    <t xml:space="preserve">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
</t>
  </si>
  <si>
    <t>Peça teatral</t>
  </si>
  <si>
    <t>Teatro Molière, Av. 7 de Setembro, 401 – Ladeira da Barra, BA</t>
  </si>
  <si>
    <t>Dib Carneiro e grupo teatral Teatro da Vertigem</t>
  </si>
  <si>
    <t xml:space="preserve">Salmo 91 </t>
  </si>
  <si>
    <t xml:space="preserve">REVISTA CONTEMPORARTES. Salmo 91 – estreia. Revista Contemporartes (Blogspot), publicado em: 10 mar. 2012. Disponível em: https://revistacontemporartes.blogspot.com/2012/03/salmo-91-estreia.html. Acesso em: 18 jul. 2025.
</t>
  </si>
  <si>
    <t>Rede 02 de outubro</t>
  </si>
  <si>
    <t>Carandiru - O Massacre ainda não terminou</t>
  </si>
  <si>
    <t xml:space="preserve">REDE 02 DE OUTUBRO. Carandiru – O massacre ainda não acabou. Passa Palavra [Vimeo], publicado em: 5 abr. 2012. Vídeo: 14 min. Disponível em: https://vimeo.com/39846281?p=1t. Acesso em: 17 out. 2025.
</t>
  </si>
  <si>
    <t>Rede Bandeirantes</t>
  </si>
  <si>
    <t>ROEPKE, Vitor. Documento da Semana: 20 anos do Carandiru – CQC (Rede Bandeirantes). [Reportagem]. YouTube, 16 out. 2012. Disponível em: https://www.youtube.com/watch?v=mIlEhGqmHDQ. Acesso em: 10 out. 2025.</t>
  </si>
  <si>
    <t>Marcos Lauro</t>
  </si>
  <si>
    <r>
      <rPr>
        <rFont val="DM Sans"/>
        <color theme="1"/>
        <sz val="14.0"/>
      </rPr>
      <t xml:space="preserve">FRANCO, Filipe. Massacre do Carandiru – 20 anos. Direção: Marcos Lauro. [Curta-metragem]. YouTube, 2 out. 2012. Duração: 7 min 49 s. Disponível em: </t>
    </r>
    <r>
      <rPr>
        <rFont val="DM Sans"/>
        <color rgb="FF000000"/>
        <sz val="14.0"/>
      </rPr>
      <t>https://www.youtube.com/watch?v=TS61qUZKsec.</t>
    </r>
    <r>
      <rPr>
        <rFont val="DM Sans"/>
        <color theme="1"/>
        <sz val="14.0"/>
      </rPr>
      <t xml:space="preserve"> Acesso em: 10 out. 2025.</t>
    </r>
  </si>
  <si>
    <t>Forense Latina</t>
  </si>
  <si>
    <t>FORENSE LATINA. Carandirú Masacre: InformeForeneLatina. [Documentário]. YouTube, 27 nov. 2012. Disponível em: https://www.youtube.com/watch?v=Mnt0V4keRQc. Acesso em: 10 out. 2025.</t>
  </si>
  <si>
    <t xml:space="preserve">Exposição </t>
  </si>
  <si>
    <t>RAMOS, Nuno. Fotografia registrada na Bienal de 2012. Fotografia. Acervo: Núcleo de Estudos sobre o Crime e a Pena FGV Direito SP [Fotografia]. Memória Massacre Carandiru, 2012. Disponível em: https://www.massacrecarandiru.org.br/documento/ustebBtczs8n9v7g9. Acesso em: 10 out. 2025.</t>
  </si>
  <si>
    <t>RAMOS, Nuno. Fotografia registrada na Bienal de 2012. Fotografia. Acervo: Núcleo de Estudos sobre o Crime e a Pena FGV Direito SP. [Fotografia]. Memória Massacre Carandiru, 2012. Disponível em: https://www.massacrecarandiru.org.br/documento/WbuNeghc3Fe4HNHH2. Acesso em: 10 out. 2025.</t>
  </si>
  <si>
    <t>RAMOS, Nuno. Fotografia da exposição na Bienal de 2012. [Fotografia]. Acervo: Núcleo de Estudos do Crime e da Pena da FGV SP. Memória Massacre Carandiru, 2012. Disponível em: https://www.massacrecarandiru.org.br/documento/JhjmMxt6HJJuwniJu. Acesso em: 10 out. 2025.</t>
  </si>
  <si>
    <t>Escracho</t>
  </si>
  <si>
    <t>Caio Castor</t>
  </si>
  <si>
    <t>CASTOR, Caio. Fotografia do escracho a Fleury, 20 anos do massacre (1). [Fotografia]. Acervo: Núcleo de Estudos sobre o Crime e a Pena da FGV Direito SP. Memória Massacre Carandiru, 2012. Disponível em: https://www.massacrecarandiru.org.br/documento/yELgxtgdYFY9Crhr2. Acesso em: 10 out. 2025.</t>
  </si>
  <si>
    <t>CASTOR, Caio. Fotografia do escracho a Fleury, 20 anos do massacre (2). [Fotografia]. Acervo: Núcleo de Estudos sobre o Crime e a Pena da FGV Direito SP. Memória Massacre Carandiru, 2012. Disponível em: https://www.massacrecarandiru.org.br/documento/cpBKehKCZdCiR5cCG. Acesso em: 10 out. 2025.</t>
  </si>
  <si>
    <t>Lgo. São Francisco - Faculdade de Direito da USP</t>
  </si>
  <si>
    <t>Protesto lembra as vítimas do massacre durante um dos julgamentos do caso em 2013 Foto: NELSON ALMEIDA/AFP/Getty Images</t>
  </si>
  <si>
    <t>STRUCK, Jean-Philip. Massacre do Carandiru: 25 anos de impunidade. Deutsche Welle, 2 out. 2017. Fotografia de Nelson Almeida para AFP/Getty Images. Disponível em: https://www.dw.com/pt-br/massacre-do-carandiru-25-anos-de-impunidade/a-40778556. Acesso em: 16 jul. 2025.</t>
  </si>
  <si>
    <t>Memória de 21 anos do Massacre do Carandiru: dia pelo fim dos massacres!</t>
  </si>
  <si>
    <t xml:space="preserve">REDE 02 DE OUTUBRO. Memória de 21 anos do Massacre do Carandiru: dia pelo fim dos massacres! Rede 02 de Outubro, [2013]. Disponível em: https://rede2deoutubro.blogspot.com/2013/10/. Acesso em: 17 jul. 2025.
</t>
  </si>
  <si>
    <t>Maíra Machado</t>
  </si>
  <si>
    <t>MACHADO, Maíra. Fotografia de manifestação em 2 de outubro de 2013. [Fotografia]. Acervo: Núcleo de Estudos sobre o Crime e a Pena da FGV Direito SP. Memória Massacre Carandiru, 2013. Disponível em: https://www.massacrecarandiru.org.br/documento/mY2FdncPcN6vSia8f. Acesso em: 10 out. 2025.</t>
  </si>
  <si>
    <t>Charge</t>
  </si>
  <si>
    <t>Rafael Campos Rocha</t>
  </si>
  <si>
    <t>Charge por Rafael Campos Rocha</t>
  </si>
  <si>
    <t>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t>
  </si>
  <si>
    <t xml:space="preserve">Rio de Janeiro </t>
  </si>
  <si>
    <t>Julgamento do massacre do Carandiru chega à sua reta final.</t>
  </si>
  <si>
    <t>Hiperlink (via Site Memória Massacre Carandiru)</t>
  </si>
  <si>
    <t>REDE GLOBO. Julgamento do massacre do Carandiru chega à sua reta final. Jornal Nacional, 20 abr. 2013. Disponível em: https://globoplay.globo.com/v/2529069/. Acesso em: 17 out. 2025.</t>
  </si>
  <si>
    <t>Praça da Luz</t>
  </si>
  <si>
    <t>Mães de Maio e outros.</t>
  </si>
  <si>
    <t>Manifestação</t>
  </si>
  <si>
    <t>Em frente à Estação da Luz</t>
  </si>
  <si>
    <t>Mães de Maio, Rede 2 de Outubro e familiares</t>
  </si>
  <si>
    <t>Manifestação lembra 22 anos do Massacre do Carandiru (1)</t>
  </si>
  <si>
    <t xml:space="preserve">MELLO, Daniel. Manifestação lembra 22 anos do Massacre do Carandiru (1). Agência Brasil, 3 out. 2014. Disponível em: https://agenciabrasil.ebc.com.br/direitos-humanos/noticia/2014-10/manifestacao-lembra-22-anos-do-massacre-do-carandiru. Acesso em: 17 jul. 2025.
</t>
  </si>
  <si>
    <t xml:space="preserve">Mães de Maio e outras 16 organizações confirmaram a participação no ato, entre eles o Movimento Passe Livre e a Rede 2 de Outubro. </t>
  </si>
  <si>
    <t>Em ato no Centro, grupo relembra massacre do Carandiru</t>
  </si>
  <si>
    <t xml:space="preserve">G1. Em ato no Centro, grupo relembra massacre do Carandiru. G1, 2 out. 2014. Disponível em: https://g1.globo.com/sao-paulo/noticia/2014/10/em-ato-no-centro-grupo-relembra-massacre-do-carandiru.html. Acesso em: 16 jul. 2025.
</t>
  </si>
  <si>
    <t>Percorreram o centro de São Paulo e sede da Fundação Casa (antiga Febem)</t>
  </si>
  <si>
    <t xml:space="preserve">Movimentos sociais e de direitos humanos; Diretamente citados: Movimento Mães de Maio, Coletivo Perifatividade, Pastoral Carcerária do Estado de São Paulo. </t>
  </si>
  <si>
    <t>Manifestação lembra 22 anos do massacre do Carandiru (2)</t>
  </si>
  <si>
    <t xml:space="preserve">MIYAGUI, Jô. Manifestação lembra 22 anos do massacre do Carandiru (2). Rede TVT [YouTube], publicado em: 3 out. 2014. Disponível em: https://www.youtube.com/watch?v=TqJgTHxTHp8. Acesso em: 16 jul. 2025.
</t>
  </si>
  <si>
    <t>EMC Espaço Memória Carandiru e Maureen Bisilliat</t>
  </si>
  <si>
    <t>Exposição Temporária: Casas do Brasil 2014 – SOBREVIVÊNCIAS/ uma exposição Sobre Vivências: Carandiru</t>
  </si>
  <si>
    <t>CASAS DO BRASIL 2014 – SOBREVIVÊNCIAS: uma exposição sobre vivências: Carandiru. MCB, 05 jan. 2015. ArchDaily. Disponível em: &lt;https://www.archdaily.com.br/br/759831/casas-do-brasil-2014-nil-sobrevivencias-uma-exposicao-sobre-vivencias-carandiru&gt;. Acesso em: 04 jul. 2026.</t>
  </si>
  <si>
    <t>Rede Record</t>
  </si>
  <si>
    <t>LUIZ, José. Gil Gomes conta fatos inéditos do massacre no Carandiru. [Documentário]. Corte do programa Domingo Espetacular, Rede Record. YouTube, 24 mar. 2014. Disponível em: https://www.youtube.com/watch?v=7P54HXQ4ITQ. Acesso em: 10 out. 2025.</t>
  </si>
  <si>
    <t>AUTORIA DESCONHECIDA. Nome das 111 vítimas. Fotografia. Acervo: Núcleo de Estudos do Crime e da Pena da FGV SP. [Documento] Memória Massacre Carandiru, 2014. Disponível em: https://www.massacrecarandiru.org.br/documento/LN3ySv8JTvZakHsY4. Acesso em: 10 out. 2025.</t>
  </si>
  <si>
    <t>Coletiva de imprensa</t>
  </si>
  <si>
    <t xml:space="preserve">Faculdade de Direito da Universidade de São Paulo, Secretária Estadual de Segurança Pública, Praça da Sé, Fórum João Mendes, Páteo do Colégio, Praça do Correio e DOPS.
</t>
  </si>
  <si>
    <t xml:space="preserve">Imprensa: Rede Gazeta e TV Brasil. Movimentos sociais: Mães de Maio, Mães do Cárcere, Pastoral Carcerária, Movimento Passe Livre, Frente Negra Contra o Genocídio, Movimento Revolucionário de Trabalhadores (MRT), Grupo de Mulheres Pão e Rosas, Kilombagem e outros. </t>
  </si>
  <si>
    <t>Violência Policial 23 anos do Massacre do Carandiru: luto e luta contra a impunidade</t>
  </si>
  <si>
    <t>EMC ESPAÇO MEMÓRIA CARANDIRU. Exposição Temporária: Casas do Brasil 2014 – SOBREVIVÊNCIAS / uma exposição Sobre Vivências: Carandiru. EMC Espaço Memória Carandiru, 9 dez. 2014. Disponível em: https://memoriacarandiru.wordpress.com/exposicoes-intinerantes/. Acesso em: 16 jul. 2025.</t>
  </si>
  <si>
    <t>Canal "Drauzio Varella"</t>
  </si>
  <si>
    <t>DRAUZIO VARELLA. Deus e o Diabo em Cima da Muralha. Drauzio Varella. YouTube, 54 min 32 s, 2015. Disponível em: https://www.youtube.com/watch?v=VbTMV1-0BTk. Acesso em: 19 jul. 2025.</t>
  </si>
  <si>
    <t>Massacre do Carandiru completa 29 anos sem nenhum agente de segurança responsabilizado</t>
  </si>
  <si>
    <t>BRASIL DE FATO. Movimentos sociais promovem ato para relembrar, vinte e quatro anos depois, o massacre do Carandiru – Sérgio Silva/Ponte Jornalismo. In: Massacre do Carandiru completa 29 anos sem nenhum agente de segurança responsabilizado. Brasil de Fato, 2 out. 2021. Disponível em: https://www.brasildefato.com.br/2021/10/02/massacre-do-carandiru-completa-29-anos-sem-nenhum-agente-de-seguranca-responsabilizado/. Acesso em: 16 jul. 2025.</t>
  </si>
  <si>
    <t xml:space="preserve">Protesto </t>
  </si>
  <si>
    <t>Casa do Povo, Bom Retiro, SP</t>
  </si>
  <si>
    <t>Mães de Maio, Rede 02 de outubro</t>
  </si>
  <si>
    <t>24 anos do Massacre do Carandiru é lembrado em ato</t>
  </si>
  <si>
    <t>Textual, Iconográfico</t>
  </si>
  <si>
    <t>PASTORAL CARCERÁRIA (CNBB). 24 anos do Massacre do Carandiru é lembrado em ato. Pastoral Carcerária, 7 out. 2016. Disponível em: https://carceraria.org.br/combate-e-prevencao-a-tortura/24-anos-do-massacre-do-carandiru-e-lembrado-em-ato. Acesso em: 17 jul. 2025.</t>
  </si>
  <si>
    <t>Praça da Alfândega, SP</t>
  </si>
  <si>
    <t xml:space="preserve">Edson Souza (Professor da UFRGS), Nuno Ramos e outros 23 artistas </t>
  </si>
  <si>
    <t>Manifestantes fazem ato na Praça da Alfândega em memória das vítimas do massacre do Carandiru</t>
  </si>
  <si>
    <t>GZH. Manifestantes fazem ato na Praça da Alfândega em memória das vítimas do massacre do Carandiru. GZH, 2 nov. 2016. Disponível em: https://gauchazh.clicrbs.com.br/cultura-e-lazer/livros/noticia/2016/11/manifestantes-fazem-ato-na-praca-da-alfandega-em-memoria-das-vitimas-do-massacre-do-carandiru-8127355.html. Acesso em: 17 jul. 2025.</t>
  </si>
  <si>
    <t>Agência Pavio e Brasil de Fato</t>
  </si>
  <si>
    <t>Vídeo</t>
  </si>
  <si>
    <t>Canal "Você Sabia?"</t>
  </si>
  <si>
    <t>VOCÊ SABIA?. Veja como foi o Massacre do Carandiru. YouTube, 15 dez. 2016. Disponível em: https://www.youtube.com/watch?v=99st4G_vcgE. Acesso em: 15 out. 2025.</t>
  </si>
  <si>
    <t>Seminário</t>
  </si>
  <si>
    <t>TUCA - Teatro da Pontifícia Universidade Católica. Rua Monte Alegre, 1024 - Perdizes, São Paulo - SP</t>
  </si>
  <si>
    <t>Seminário 25 anos do massacre do Carandiru</t>
  </si>
  <si>
    <t xml:space="preserve">TVPUC. Seminário 25 anos do massacre do Carandiru. TVPUC [YouTube], publicado em: 26 out. 2017. Vídeo: 109 min 57 s. Disponível em: https://www.youtube.com/watch?v=zZX3OETLf4c. Acesso em: 16 jul. 2025.
</t>
  </si>
  <si>
    <t>Simanca</t>
  </si>
  <si>
    <t>Charge sobre a anulação dos julgamentos, por Simanca (2017)</t>
  </si>
  <si>
    <t>Canal "TV Brasil"</t>
  </si>
  <si>
    <t>TV BRASIL. O massacre do Carandiru completa 25 anos, nenhum dos envolvidos responderam pelos crimes. YouTube, 2 min 11 s, 3 out. 2017. Disponível em: https://www.youtube.com/watch?v=IxUt8-piN7k. Acesso em: 19 jul. 2025.</t>
  </si>
  <si>
    <t>Lançamento</t>
  </si>
  <si>
    <t>Viaduto Alcântara Machado, SP</t>
  </si>
  <si>
    <t>Frente Estadual Pelo Desencarceramento de São Paulo, representantes de diversas organizações e show do grupo Comunidade Carcerária</t>
  </si>
  <si>
    <t>Maureen Bisilliat</t>
  </si>
  <si>
    <t>Sobre Vivências - Os Últimos anos do Carandiru</t>
  </si>
  <si>
    <t>Grafite</t>
  </si>
  <si>
    <t>Estudantes da Escola Técnica Estadual das Artes</t>
  </si>
  <si>
    <t>Grafite “111 pássaros”, por alunos da ETEC de Artes (2018)</t>
  </si>
  <si>
    <t>Ato saiu da praça da Sé e seguiu pela região central, passando por sedes de órgãos do aparato policial e judiciário de São Paulo</t>
  </si>
  <si>
    <t xml:space="preserve">Nos 27 anos do Massacre do Carandiru, protesto em SP denuncia impunidade de agentes. </t>
  </si>
  <si>
    <t xml:space="preserve">CARVALHO, Igor. Nos 27 anos do Massacre do Carandiru, protesto em SP denuncia impunidade de agentes. Brasil de Fato, 2 out. 2019. Disponível em: https://www.brasildefato.com.br/2019/10/02/nos-27-anos-do-massacre-do-carandiru-protesto-em-sp-denuncia-impunidade-de-agentes/. Acesso em: 16 jul. 2025.
</t>
  </si>
  <si>
    <t>Marcha</t>
  </si>
  <si>
    <t>Centro de São Paulo</t>
  </si>
  <si>
    <t>Não esqueceremos. 27 anos do Massacre do Carandiru.</t>
  </si>
  <si>
    <t>MÍDIA NINJA. Não esqueceremos. 27 anos do massacre do Carandiru. Mídia Ninja [Facebook], 3 out. 2019. Disponível em: https://www.facebook.com/photo/?fbid=1611558852335587&amp;set=a.235526863272133. Acesso em: 16 jul. 2025.</t>
  </si>
  <si>
    <t>Roda de conversa</t>
  </si>
  <si>
    <t>Casa Cultural do Hip-Hop Jaçanã. Av. Maria Amália Lopes de Azevedo, 4180 - Jaçanã.</t>
  </si>
  <si>
    <t>Frente pelo desencarceramento SP e Comunidade carcerária (Kric, WO e FW, formada em 1996)</t>
  </si>
  <si>
    <t>Visita mediada</t>
  </si>
  <si>
    <t>Av. Cruzeiro do Sul, 2630 - Carandiru</t>
  </si>
  <si>
    <t xml:space="preserve">Memórias Carandiru, Secretaria Municipal de Direitos Humanos e Instituto Resgata Cidadão </t>
  </si>
  <si>
    <t>Recitando memórias: Carandiru pelo olhar de um ex-morador</t>
  </si>
  <si>
    <t>Iconográfico, Textual</t>
  </si>
  <si>
    <t>MEMÓRIAS CARANDIRU. Recitando memórias: Carandiru pelo olhar de um ex-morador. Memórias Carandiru [Instagram], 9 nov. 2019. Disponível em: https://www.instagram.com/p/B4nYnouABaf/?utm_source=ig_web_copy_link&amp;igsh=MzRlODBiNWFlZA==. Acesso em: 19 jul. 2025.</t>
  </si>
  <si>
    <t>Maurício Monteiro (Espaço Memória Carandiru), Sistema Estadual de Museus da Secretaria de Cultura e Economia Criativa</t>
  </si>
  <si>
    <t>Roda de conversa com Maurício Monteiro no âmbito da Campanha Sonhar o Mundo, organizada pelo Sistema Estadual de Museus da Secretaria de Cultura e Economia Criativa, que mobiliza os museus paulistas a se unirem pelos Direitos Humanos</t>
  </si>
  <si>
    <t>MEMÓRIAS CARANDIRU. Roda de conversa com Maurício Monteiro no âmbito da Campanha Sonhar o Mundo, organizada pelo Sistema Estadual de Museus da Secretaria de Cultura e Economia Criativa, que mobiliza os museus paulistas a se unirem pelos Direitos Humanos. Memórias Carandiru [Instagram], 9 dez. 2019. Disponível em: https://www.instagram.com/p/B55zeKMgt0m/?utm_source=ig_web_copy_link&amp;igsh=MzRlODBiNWFlZA==. Acesso em: 19 jul. 2025.</t>
  </si>
  <si>
    <t xml:space="preserve">1ª Frente de Sobreviventes do Cárcere, Memórias Carandiru, Secretaria Municipal de Direitos Humanos e Instituto Resgata Cidadão </t>
  </si>
  <si>
    <t>Memórias poéticas: o Carandiru pelo olhar de Claudinho da Cidade. poeta e ex-detento</t>
  </si>
  <si>
    <t xml:space="preserve">MEMÓRIAS CARANDIRU. Memórias poéticas: o Carandiru pelo olhar de Claudinho da Cidade, poeta e ex-detento. Memórias Carandiru [Instagram], 7 mar. 2020. Disponível em: https://www.instagram.com/p/B9Zid3ontXQ/?utm_source=ig_web_copy_link&amp;igsh=MzRlODBiNWFlZA==. Acesso em: 19 jul. 2025.
</t>
  </si>
  <si>
    <t xml:space="preserve">1ª Frente de Sobreviventes do Cárcere, Memórias Carandiru, Secretaria Municipal de Direitos Humanos e Instituto Resgata Cidadão. Com curadoria de Maureen Bisilliat. </t>
  </si>
  <si>
    <t xml:space="preserve">Exposição Sobre Vivências </t>
  </si>
  <si>
    <t xml:space="preserve">MEMÓRIAS CARANDIRU. Exposição Sobre Vivências. Memórias Carandiru [Instagram], 25 jun. 2020. Disponível em: https://www.instagram.com/p/CB3vqFcnRax/?utm_source=ig_web_copy_link&amp;igsh=MzRlODBiNWFlZA==. Acesso em: 19 jul. 2025.
</t>
  </si>
  <si>
    <t>Avenida Cruzeiro do Sul, 2630 - Carandiru (Metrô Carandiru)</t>
  </si>
  <si>
    <t>Live</t>
  </si>
  <si>
    <t>Frente pelo desencarceramento SP</t>
  </si>
  <si>
    <t>LIVE-ATO: Em memória das vítimas do massacre do Carandiru e de toda a política de morte do estado!</t>
  </si>
  <si>
    <t>FRENTE PELO DESENCARCERAMENTO SP. LIVE-ATO: Em memória das vítimas do massacre do Carandiru e de toda a política de morte do estado! Frente pelo Desencarceramento SP [YouTube], 2020. Vídeo: 205 min 14 s. Disponível em: https://www.youtube.com/watch?v=Yvp1eJCPJSM. Acesso em: 16 jul. 2025.</t>
  </si>
  <si>
    <t>Webinário</t>
  </si>
  <si>
    <t>Associação Brasileira de Antropologia, Comitê Migrações e Deslocamentos, Comitê Cidadania, Violência e Gestão Estatal, Coletivo Por Nós e sobrevivente do Massacre (Maurício Monteiro)</t>
  </si>
  <si>
    <t>29 anos do massacre do Carandiru e a vida que pulsa</t>
  </si>
  <si>
    <t>"Massacre do Carandiru homenagem 29 anos 2021" no Google</t>
  </si>
  <si>
    <t xml:space="preserve">TV ABA. 29 anos do massacre do Carandiru e a vida que pulsa. TV ABA [YouTube], publicado em: 5 out. 2021. Vídeo: 121 min. Disponível em: https://www.youtube.com/watch?v=JPZyvHuQW2w. Acesso em: 17 jul. 2025.
</t>
  </si>
  <si>
    <t>Canal "Prisioneiro 84.901"</t>
  </si>
  <si>
    <t>PRISIONEIRO 84.901. Dia 3 de outubro de 1992. YouTube, 3 out. 2021. Disponível em: https://www.youtube.com/watch?v=K48uW_0CEFA. Acesso em: 19 jul. 2025.</t>
  </si>
  <si>
    <t>111 escombros</t>
  </si>
  <si>
    <t xml:space="preserve">INVASORES DE CÉREBROS. 111 Escombros. Letras, 2022. Disponível em: https://www.letras.mus.br/invasores-de-cerebros/1871807/. Acesso em: 18 jul. 2025.
Se quiser, posso reunir todas as suas referências em uma lista única e ordenada conforme a ABNT. Posso fazer isso agora mesmo se desejar.
</t>
  </si>
  <si>
    <t>Jornada</t>
  </si>
  <si>
    <t>Jornada do Patrimônio 2022: Caminhos do Carandiru</t>
  </si>
  <si>
    <t xml:space="preserve">MEMÓRIAS CARANDIRU. Jornada do Patrimônio 2022: Caminhos do Carandiru. Memórias Carandiru [Instagram], 20 ago. 2022. Disponível em: https://www.instagram.com/p/ChaNPE6Pdhj/?utm_source=ig_web_copy_link&amp;igsh=MzRlODBiNWFlZA==. Acesso em: 19 jul. 2025.
</t>
  </si>
  <si>
    <t>Pça. Franklin Roosevelt, Bela Vista , SP</t>
  </si>
  <si>
    <t>Era uma vez no... Carandiru</t>
  </si>
  <si>
    <t xml:space="preserve">SP ESCOLA DE TEATRO. Espetáculo Era Uma Vez No… Carandiru estreia dia 6/09 na sede Roosevelt da SP e rememora massacre trágico de 1992. SP Escola de Teatro, 24 ago. 2022. Disponível em: https://www.spescoladeteatro.org.br/noticia/espetaculo-era-uma-vez-no-carandiru-estreia-dia-6-09-na-sede-roosevelt-da-sp-e-rememora-massacre-tragico-de-1992. Acesso em: 18 jul. 2025.
</t>
  </si>
  <si>
    <t>Campinas, SP</t>
  </si>
  <si>
    <t>Massacres e(m) Democracias: 30 anos do massacre do Carandiru</t>
  </si>
  <si>
    <t xml:space="preserve">INSTITUTO DE FILOSOFIA, LETRAS E CIÊNCIAS HUMANAS DA UNIVERSIDADE ESTADUAL DE CAMPINAS. Massacres e(m) Democracias: 30 anos do massacre do Carandiru. Divulgação publicada em 26 set. 2022. Disponível em: https://www.ifch.unicamp.br/eventos/57044. Acesso em: 16 jul. 2025.
</t>
  </si>
  <si>
    <t>Debate</t>
  </si>
  <si>
    <t xml:space="preserve">Camara Municipal de Sao Paulo </t>
  </si>
  <si>
    <t xml:space="preserve"> 7 comissões da OAB SP em parceria com mais de 25 organizações de direitos humanos e coletivos</t>
  </si>
  <si>
    <t xml:space="preserve">Inventário do Massacre do Carandiru: evento debate chacina que aconteceu há 30 anos em São Paulo TV Senado  </t>
  </si>
  <si>
    <t>TV SENADO. INVENTÁRIO do Massacre do Carandiru: evento debate chacina que aconteceu há 30 anos em São Paulo. 27 out. 2022. Duração: 25 min 4 s. Disponível em: https://www.youtube.com/watch?v=LjH9PMlXS1k. Acesso em: 16 jul. 2025.</t>
  </si>
  <si>
    <t>Intervenção artística</t>
  </si>
  <si>
    <t>Movimento Independente Mães de Maio, Cia Dxs Terroristxs, Amparar (Associação de Amigas/os e Familiares de Presas/os); Cooperativa Libertas; Frente Estadual pelo Desencarceramento de SP; ONG Pacto Social e Carcerário; Rede de Proteção e Resistência ao Genocídio; Por Nós; Direção de Cena Brasil; Coletivo Kriadaki; Grupo teatral Fuga Coletiva; Rede Amalgamar; Casa da F.U.R.I.A; Casa Flores.</t>
  </si>
  <si>
    <t>111 baldes de vermelho sangue na bandeira: intervenção marca 30 anos do massacre do Carandiru</t>
  </si>
  <si>
    <t xml:space="preserve">MONCAU, Gabriela. 111 baldes de vermelho sangue na bandeira: intervenção marca 30 anos do massacre do Carandiru. Brasil de Fato, 6 nov. 2022. Disponível em: https://www.brasildefato.com.br/2022/11/06/111-baldes-de-vermelho-sangue-na-bandeira-intervencao-marca-30-anos-do-massacre-do-carandiru/. Acesso em: 17 jul. 2025.
</t>
  </si>
  <si>
    <t>Canal "Vogalizando a História"</t>
  </si>
  <si>
    <t>VOGALIZANDO A HISTÓRIA. O que aconteceu no Carandiru? YouTube, 29 set. 2022. Disponível em: https://www.youtube.com/watch?v=C1YGYyEQip0. Acesso em: 15 out. 2025.</t>
  </si>
  <si>
    <t>VARELLA, Drauzio. Massacre do Carandiru: o que aconteceu horas antes da rebelião. YouTube, 12 dez. 2022. Disponível em: https://www.youtube.com/watch?v=9E8BpLo1D7g. Acesso em: 15 out. 2025.</t>
  </si>
  <si>
    <t>Canal "Ponte Jornalismo"</t>
  </si>
  <si>
    <t>PONTE JORNALISMO. Massacre do Carandiru: 30 anos de impunidade. YouTube, 25 min 18 s, 1 out. 2022. Disponível em: https://www.youtube.com/watch?v=7XnmO3eFUrU. Acesso em: 19 jul. 2025.</t>
  </si>
  <si>
    <t>DRAUZIO VARELLA. As consequências do massacre do Carandiru. YouTube, 19 dez. 2022. Disponível em: https://www.youtube.com/watch?v=K5oJ3pfOG1Q. Acesso em: 19 jul. 2025.</t>
  </si>
  <si>
    <t>Canal "Jornal da Gazeta"</t>
  </si>
  <si>
    <t>JORNAL DA GAZETA. Conteúdo exclusivo: 30 anos do massacre do Carandiru. YouTube, 11 min 16 s, 7 nov. 2022. Disponível em: https://www.youtube.com/watch?v=xcEQoFEKd0Y. Acesso em: 19 jul. 2025.</t>
  </si>
  <si>
    <t>Canal "RedeTV"</t>
  </si>
  <si>
    <t>REDETV. ‘Casos de polícia’: massacre do Carandiru completa trinta anos domingo (02). YouTube, 6 min 47 s, 29 set. 2022. Disponível em: https://www.youtube.com/watch?v=7f5HsiRiSl0. Acesso em: 19 jul. 2025.</t>
  </si>
  <si>
    <t>PRISIONEIRO 84.901. Malandro: fake news no Pav. 9 (29 anos e 364 dias atrás). YouTube, 1 out. 2022. Disponível em: https://www.youtube.com/watch?v=WqDvZKGj_nU. Acesso em: 19 jul. 2025.</t>
  </si>
  <si>
    <t>Fabricação de cachaça artesanal</t>
  </si>
  <si>
    <t>PRISIONEIRO 84.901. Passo a passo da “Maria Loka” – Parte 1. YouTube, 18 dez. 2022. Disponível em: https://www.youtube.com/watch?v=c8NWVbb0jY0. Acesso em: 19 jul. 2025.</t>
  </si>
  <si>
    <t>PRISIONEIRO 84.901. Cachaça na cadeia – Parte 2. YouTube, 18 dez. 2022. Disponível em: https://www.youtube.com/watch?v=VGfHsHqa914. Acesso em: 19 jul. 2025.</t>
  </si>
  <si>
    <t>PRISIONEIRO 84.901. Denúncias contra esse Estado mentiroso. YouTube, 7 abr. 2022. Disponível em: https://www.youtube.com/watch?v=AIYXs2LrRy8. Acesso em: 19 jul. 2025.</t>
  </si>
  <si>
    <t>PRISIONEIRO 84.901. O dia depois: 03/10/92. YouTube, 2 jun. 2022. Disponível em: https://www.youtube.com/watch?v=RBd41MfgtOY. Acesso em: 19 jul. 2025.</t>
  </si>
  <si>
    <t>PRISIONEIRO 84.901. Vários sobreviventes. YouTube, 8 ago. 2022. Disponível em: https://www.youtube.com/watch?v=MAgXUoFE3Os. Acesso em: 19 jul. 2025.</t>
  </si>
  <si>
    <t>PRISIONEIRO 84.901. 30 anos. YouTube, 17 set. 2022. Disponível em: https://www.youtube.com/watch?v=dqzjo1GUSyA. Acesso em: 19 jul. 2025.</t>
  </si>
  <si>
    <t>As deficiências no cárcere</t>
  </si>
  <si>
    <t xml:space="preserve">MEMÓRIAS CARANDIRU. As deficiências no cárcere. Instagram, 13 abr. 2023. Disponível em: https://www.instagram.com/p/Cqq40KAP83x/?utm_source=ig_web_copy_link&amp;igsh=MzRlODBiNWFlZA==. Acesso em: 19 jul. 2025.
</t>
  </si>
  <si>
    <t>Roteiro de memória</t>
  </si>
  <si>
    <t>Pessoas com deficiência no sistema Carcerário e Arquitetura Excludente</t>
  </si>
  <si>
    <t xml:space="preserve">MEMÓRIAS CARANDIRU. Pessoas com deficiência no sistema carcerário e arquitetura excludente. Instagram, 22 abr. 2023. Disponível em: https://www.instagram.com/p/CrBVg8JrgRs/?utm_source=ig_web_copy_link&amp;igsh=MzRlODBiNWFlZA==. Acesso em: 19 jul. 2025.
</t>
  </si>
  <si>
    <t>Sobrevivendo depois do cárcere</t>
  </si>
  <si>
    <t xml:space="preserve">MEMÓRIAS CARANDIRU. Sobrevivendo depois do cárcere. Instagram, 13 mai. 2023. Disponível em: https://www.instagram.com/tv/CsMeOi5hhiw/?utm_source=ig_web_copy_link&amp;igsh=MzRlODBiNWFlZA==. Acesso em: 19 jul. 2025.
</t>
  </si>
  <si>
    <t>O complexo prisional e a relação com a saúde</t>
  </si>
  <si>
    <t xml:space="preserve">MEMÓRIAS CARANDIRU. O complexo prisional e a relação com a saúde. Instagram, 27 mai. 2023. Disponível em: https://www.instagram.com/p/CsrjhUuvTX1/?utm_source=ig_web_copy_link&amp;igsh=MzRlODBiNWFlZA==. Acesso em: 19 jul. 2025.
</t>
  </si>
  <si>
    <t>Arte dentro e fora do Carandiru</t>
  </si>
  <si>
    <t xml:space="preserve">MEMÓRIAS CARANDIRU. Arte dentro e fora do Carandiru. Instagram, 8 jun. 2023. Disponível em: https://www.instagram.com/reel/CuPtKK3N35y/?utm_source=ig_web_copy_link&amp;igsh=MzRlODBiNWFlZA==. Acesso em: 19 jul. 2025.
</t>
  </si>
  <si>
    <t>Identidade de gênero dentro do cárcere</t>
  </si>
  <si>
    <t xml:space="preserve">MEMÓRIAS CARANDIRU. Identidade de gênero dentro do cárcere. Instagram, 10 jun. 2023. Disponível em: https://www.instagram.com/tv/CtUl0ymBYD7/?utm_source=ig_web_copy_link&amp;igsh=MzRlODBiNWFlZA==. Acesso em: 19 jul. 2025.
</t>
  </si>
  <si>
    <t>Direito à memória: O território e os processos de apagamento</t>
  </si>
  <si>
    <t xml:space="preserve">MEMÓRIAS CARANDIRU. Direito à memória: o território e os processos de apagamento. Instagram, 24 jun. 2023. Disponível em: https://www.instagram.com/reel/CtzR8rQtxqi/?utm_source=ig_web_copy_link&amp;igsh=MzRlODBiNWFlZA==. Acesso em: 19 jul. 2025.
</t>
  </si>
  <si>
    <t>Palestra</t>
  </si>
  <si>
    <t>Mercado trabalho após o cárcere</t>
  </si>
  <si>
    <t xml:space="preserve">MEMÓRIAS CARANDIRU. Mercado de trabalho após o cárcere. Instagram, 15 jul. 2023. Disponível em: https://www.instagram.com/p/CuFGUCPL3cG/?utm_source=ig_web_copy_link&amp;igsh=MzRlODBiNWFlZA==. Acesso em: 19 jul. 2025.
</t>
  </si>
  <si>
    <t>Roteiro de Memória</t>
  </si>
  <si>
    <t>As manifestações artísticas no território</t>
  </si>
  <si>
    <t xml:space="preserve">MEMÓRIAS CARANDIRU. As manifestações artísticas no território. Instagram, 22 jul. 2023. Disponível em: https://www.instagram.com/reel/Cu2IyTRLQZw/?utm_source=ig_web_copy_link&amp;igsh=MzRlODBiNWFlZA==. Acesso em: 19 jul. 2025.
</t>
  </si>
  <si>
    <t>Relatos de um familiar</t>
  </si>
  <si>
    <t xml:space="preserve">MEMÓRIAS CARANDIRU. Relatos de um familiar. Instagram, 17 ago. 2023. Disponível em: https://www.instagram.com/p/CvzzsDbu-v_/?utm_source=ig_web_copy_link&amp;igsh=MzRlODBiNWFlZA==. Acesso em: 19 jul. 2025.
</t>
  </si>
  <si>
    <t>Espaço Memória Carandiru. - Avenida Cruzeiro do Sul, 2630 Prédio I - Santana, São Paulo</t>
  </si>
  <si>
    <t>Se a cidade fosse um sobrevivente do Carandiru?</t>
  </si>
  <si>
    <t xml:space="preserve">MEMÓRIAS CARANDIRU. Se a cidade fosse um sobrevivente do Carandiru?. Instagram, 19 ago. 2023. Disponível em: https://www.instagram.com/reel/CwF_PgDBBrX/?utm_source=ig_web_copy_link&amp;igsh=MzRlODBiNWFlZA==. Acesso em: 19 jul. 2025.
</t>
  </si>
  <si>
    <t>Jornada do Patrimônio 2023</t>
  </si>
  <si>
    <t xml:space="preserve">MEMÓRIAS CARANDIRU. Jornada do Patrimônio 2023. Instagram, 20 ago. 2023. Disponível em: https://www.instagram.com/p/Cv76EbLvXLA/?utm_source=ig_web_copy_link&amp;igsh=MzRlODBiNWFlZA==. Acesso em: 19 jul. 2025.
</t>
  </si>
  <si>
    <t>O dia a dia na Casa de Detenção</t>
  </si>
  <si>
    <t xml:space="preserve">MEMÓRIAS CARANDIRU. O dia a dia na Casa de Detenção. Instagram, 23 ago. 2023. Disponível em: https://www.instagram.com/reel/CxdHvQurTFp/?utm_source=ig_web_copy_link&amp;igsh=MzRlODBiNWFlZA==. Acesso em: 19 jul. 2025.
</t>
  </si>
  <si>
    <t>Dia de Visita: A Perspectiva do Familiar</t>
  </si>
  <si>
    <t xml:space="preserve">MEMÓRIAS CARANDIRU. Dia de Visita: a perspectiva do familiar. Instagram, 26 ago. 2023. Disponível em: https://www.instagram.com/reel/CwS78LUBl6o/?utm_source=ig_web_copy_link&amp;igsh=MzRlODBiNWFlZA==. Acesso em: 19 jul. 2025.
</t>
  </si>
  <si>
    <t>31 Anos de impunidade</t>
  </si>
  <si>
    <t xml:space="preserve">MEMÓRIAS CARANDIRU. 31 anos de impunidade. Instagram, 25 set. 2023. Disponível em: https://www.instagram.com/p/Cxn7kl2u2ky/?utm_source=ig_web_copy_link&amp;igsh=MzRlODBiNWFlZA==. Acesso em: 19 jul. 2025.
</t>
  </si>
  <si>
    <t>Sobreviventes do cárcere: Maurício Monteiro (Prisioneiro 84.901); Professor Cristiano; Dr. Paulo Rogério; Pastor Zé Roberto; Bizil (Artista plástico); Professor Emerson; Walter (Luiz Diretor do IREC). Mediação de: Helen Baum e Nádia Lima.</t>
  </si>
  <si>
    <t>Bate-papo oline: a negritude dentro da cadeia</t>
  </si>
  <si>
    <t xml:space="preserve">MEMÓRIAS CARANDIRU. Bate-papo online: a negritude dentro da cadeia. Instagram, 25 set. 2023. Disponível em: https://www.instagram.com/p/CxbSPsEva2m/?utm_source=ig_web_copy_link&amp;igsh=MzRlODBiNWFlZA==. Acesso em: 19 jul. 2025.
</t>
  </si>
  <si>
    <t>1º roteiro de memória independente no território</t>
  </si>
  <si>
    <t xml:space="preserve">MEMÓRIAS CARANDIRU. 1º roteiro de memória independente no território. Instagram, 19 out. 2023. Disponível em: https://www.instagram.com/p/CymV1yHt8_o/?utm_source=ig_web_copy_link&amp;igsh=MzRlODBiNWFlZA==. Acesso em: 19 jul. 2025.
</t>
  </si>
  <si>
    <t>Ato parlamentar</t>
  </si>
  <si>
    <t>Assembleia Legislativa do Estado de São Paulo</t>
  </si>
  <si>
    <t>Parlamentares, 1ª Frente de Sobreviventes do Cárcere, Coletivo Por nós, Coletivo Juntas SP, Paula Santos da Secretaria Municipal de Direitos Humanos e Cidadania (SMDHC), Rede Nacional de Feministas Antiproibicionistas e outras.</t>
  </si>
  <si>
    <t>"Haverá justiça": sobreviventes do massacre ao Carandiru preservam memórias 31 anos depois</t>
  </si>
  <si>
    <t>OREB, Gustavo. "Haverá justiça": sobreviventes do massacre ao Carandiru preservam memórias 31 anos depois. Assembleia Legislativa do Estado de São Paulo, 25 out. 2023. Disponível em: https://www.al.sp.gov.br/noticia/?id=463223. Acesso em: 17 jul. 2025.</t>
  </si>
  <si>
    <t>Festival</t>
  </si>
  <si>
    <t>Auditório da Biblioteca de São Paulo</t>
  </si>
  <si>
    <t>11º Festival de Direitos Humanos - Carandiru gênero, aprisionamento e apagamento histórico</t>
  </si>
  <si>
    <t xml:space="preserve">MEMÓRIAS CARANDIRU. 11º Festival de Direitos Humanos – Carandiru: gênero, aprisionamento e apagamento histórico. Instagram, 5 dez. 2023. Disponível em: https://www.instagram.com/p/C0aFc9ovkk9/?utm_source=ig_web_copy_link&amp;igsh=MzRlODBiNWFlZA==. Acesso em: 19 jul. 2025.
</t>
  </si>
  <si>
    <t>Unidade Feminina da Fundação Casa Chiquinha Gonzaga</t>
  </si>
  <si>
    <t xml:space="preserve">1ª Frente de Sobreviventes do Cárcere, Instituto Resgata Cidadão e Papel de Menino &amp; Menina </t>
  </si>
  <si>
    <t>Duas rodas de conversa junto com o Projeto Papel de Menino &amp; Menina e com as crianças e adolescentes que lá estavam.</t>
  </si>
  <si>
    <t xml:space="preserve">MEMÓRIAS CARANDIRU. Duas rodas de conversa junto com o Projeto Papel de Menino &amp; Menina e com as crianças e adolescentes que lá estavam. Instagram, 22 dez. 2023. Disponível em: https://www.instagram.com/p/C1aAFA2um2t/?utm_source=ig_web_copy_link&amp;igsh=MzRlODBiNWFlZA==. Acesso em: 19 jul. 2025.
</t>
  </si>
  <si>
    <t>Canal "Planeta Novo"</t>
  </si>
  <si>
    <t>PLANETA NOVO. Sobreviventes do Carandiru. YouTube, 19 min 13 s, 2023. Disponível em: https://www.youtube.com/watch?v=-j9G8aB3nic. Acesso em: 19 jul. 2025.</t>
  </si>
  <si>
    <t>Canal "AchismosTV"</t>
  </si>
  <si>
    <t>ACHISMOSTV. Qual a verdade sobre o Carandiru? | #Achismos Podcast #243. YouTube, 78 min 5 s, 20 jul. 2023. Disponível em: https://www.youtube.com/watch?v=eQkkq4fLNGE. Acesso em: 19 jul. 2025.</t>
  </si>
  <si>
    <t>PRISIONEIRO 84.901. Dia 03 de outubro de 1992. YouTube, 3 out. 2023. Disponível em: https://www.youtube.com/watch?v=X3Ema3FmIBs. Acesso em: 19 jul. 2025.</t>
  </si>
  <si>
    <t>PRISIONEIRO 84.901. Após morte dos 111, agora morte da memória. YouTube, 15 out. 2023. Disponível em: https://www.youtube.com/watch?v=18GUsA2izoA. Acesso em: 19 jul. 2025.</t>
  </si>
  <si>
    <t>PRISIONEIRO 84.901. Torturado e torturador. YouTube, 23 nov. 2023. Disponível em: https://www.youtube.com/watch?v=m_CEv3w4B4s. Acesso em: 19 jul. 2025.</t>
  </si>
  <si>
    <t>PRISIONEIRO 84.901. Torturados, torturadores e coniventes. YouTube, 26 nov. 2023. Disponível em: https://www.youtube.com/watch?v=PEg3V-c3hGw. Acesso em: 19 jul. 2025.</t>
  </si>
  <si>
    <t>PRISIONEIRO 84.901. 02 de outubro de 1992 (outra versão). YouTube, 14 dez. 2023. Disponível em: https://www.youtube.com/watch?v=7RHqg6kvEr0. Acesso em: 19 jul. 2025.</t>
  </si>
  <si>
    <t>PRISIONEIRO 84.901. Como é a “Maria Loka”. YouTube, 4 jan. 2023. Disponível em: https://www.youtube.com/watch?v=5v2ZjZERJVk. Acesso em: 19 jul. 2025.</t>
  </si>
  <si>
    <t>PRISIONEIRO 84.901. Massacre no Pav. 9. YouTube, 16 maio 2021. Disponível em: https://www.youtube.com/watch?v=zA61atJ0-3E. Acesso em: 19 jul. 2025.</t>
  </si>
  <si>
    <t>1º Roteiro de Memória de 2024</t>
  </si>
  <si>
    <t xml:space="preserve">MEMÓRIAS CARANDIRU. 1º Roteiro de Memória de 2024. Instagram, 5 jan. 2024. Disponível em: https://www.instagram.com/p/C1nVpk2PMDo/?utm_source=ig_web_copy_link&amp;igsh=MzRlODBiNWFlZA==. Acesso em: 19 jul. 2025.
</t>
  </si>
  <si>
    <t>Na sede o IREC</t>
  </si>
  <si>
    <t>Discussão sobre os 10 pontos da Agenda Nacional pelo Desencarceramento</t>
  </si>
  <si>
    <t xml:space="preserve">MEMÓRIAS CARANDIRU. Discussão sobre os 10 pontos da Agenda Nacional pelo Desencarceramento. Instagram, 14 jan. 2024. Disponível em: https://www.instagram.com/p/C2Z2qc9rb-6/?utm_source=ig_web_copy_link&amp;igsh=MzRlODBiNWFlZA==. Acesso em: 19 jul. 2025.
</t>
  </si>
  <si>
    <t>Artista plástico e integrante da 1° Frente, Luiz Paulino, com curadoria de Natalia Negretti.</t>
  </si>
  <si>
    <t>INVENTÁRIO: O massacre do Carandiru numa pintura múltipla de Memória</t>
  </si>
  <si>
    <t xml:space="preserve">MEMÓRIAS CARANDIRU. INVENTÁRIO: o massacre do Carandiru numa pintura múltipla de memória. Instagram, 16 jan. 2024. Disponível em: https://www.instagram.com/p/C2Z2qc9rb-6/?utm_source=ig_web_copy_link&amp;igsh=MzRlODBiNWFlZA==. Acesso em: 19 jul. 2025.
</t>
  </si>
  <si>
    <t>Fundação Casa do Brás</t>
  </si>
  <si>
    <t>Arte, liberdade, desafios e aspirações, criando com jovens um espaço onde as vozes ecoam e são ouvidas</t>
  </si>
  <si>
    <t xml:space="preserve">MEMÓRIAS CARANDIRU. Arte, liberdade, desafios e aspirações, criando com jovens um espaço onde as vozes ecoam e são ouvidas. Instagram, 17 jan. 2024. Disponível em: https://www.instagram.com/p/C2Z2qc9rb-6/?utm_source=ig_web_copy_link&amp;igsh=MzRlODBiNWFlZA==. Acesso em: 19 jul. 2025.
</t>
  </si>
  <si>
    <t>Estação Cidadania - Sé</t>
  </si>
  <si>
    <t>Carandiru e processos de apagamento</t>
  </si>
  <si>
    <t xml:space="preserve">MEMÓRIAS CARANDIRU. Carandiru e processos de apagamento. Instagram, 20 jan. 2024. Disponível em: https://www.instagram.com/p/C2Z2qc9rb-6/?utm_source=ig_web_copy_link&amp;igsh=MzRlODBiNWFlZA==. Acesso em: 19 jul. 2025.
</t>
  </si>
  <si>
    <t>Carandiru e o encarceramento em massa</t>
  </si>
  <si>
    <t xml:space="preserve">MEMÓRIAS CARANDIRU. Carandiru e o encarceramento em massa. Instagram, 3 fev. 2024. Disponivel em: https://www.instagram.com/p/C2hlF7CrFtX/?utm_source=ig_web_copy_link&amp;igsh=MzRlODBiNWFlZA%3D%3D. Acesso em: 19 jul. 2025.
</t>
  </si>
  <si>
    <t>Desfile de samba</t>
  </si>
  <si>
    <t xml:space="preserve">Vai-Vai (escola de samba) 
</t>
  </si>
  <si>
    <t>Quem faz escárnio da lei é policial que massacra no Carandiru, não Vai-Vai no Anhembi</t>
  </si>
  <si>
    <t>Texto (digital), Imagem (digital), Vídeo (digital)</t>
  </si>
  <si>
    <t xml:space="preserve">MARIN, Pedro. Quem faz escárnio da lei é policial que massacra no Carandiru, não Vai-Vai no Anhembi. Revista Opera, São Paulo, 13 fev. 2024. Disponível em: https://operamundi.uol.com.br/opiniao/quem-faz-escarnio-da-lei-e-policial-que-massacra-no-carandiru-nao-vai-vai-no-anhembi/. Acesso em: 16 jul. 2025.
</t>
  </si>
  <si>
    <t>Auditório da Biblioteca São Paulo</t>
  </si>
  <si>
    <t>Roda de conversa: aprisionamento e o encarceramento em massa</t>
  </si>
  <si>
    <r>
      <rPr>
        <rFont val="DM Sans"/>
        <color theme="1"/>
        <sz val="14.0"/>
      </rPr>
      <t xml:space="preserve">MEMÓRIAS CARANDIRU. Roda de conversa: aprisionamento e o encarceramento em massa. Instagram, 17 fev. 2024. Disponível em: </t>
    </r>
    <r>
      <rPr>
        <rFont val="DM Sans"/>
        <color rgb="FF000000"/>
        <sz val="14.0"/>
      </rPr>
      <t>https://www.instagram.com/p/C3Bi_NrPK2v/?utm_source=ig_web_copy_link&amp;igsh=MzRlODBiNWFlZA%3D%3D.</t>
    </r>
    <r>
      <rPr>
        <rFont val="DM Sans"/>
        <color theme="1"/>
        <sz val="14.0"/>
      </rPr>
      <t xml:space="preserve"> Acesso em: 19 jul. 2025.
</t>
    </r>
  </si>
  <si>
    <t>Baixada do Glicério</t>
  </si>
  <si>
    <t>Liberdade e Carandiru: apagamento e resistência</t>
  </si>
  <si>
    <t xml:space="preserve">MEMÓRIAS CARANDIRU. Liberdade e Carandiru: apagamento e resistência. Instagram, 22 fev. 2024. Disponível em: https://www.instagram.com/p/C3foJgaLwc5/?utm_source=ig_web_copy_link&amp;igsh=MzRlODBiNWFlZA==. Acesso em: 19 jul. 2025.
</t>
  </si>
  <si>
    <t>Pelo direito à memória, a verdade e a justiça</t>
  </si>
  <si>
    <t xml:space="preserve">MEMÓRIAS CARANDIRU. Pelo direito à memória, a verdade e a justiça. Instagram, 25 fev. 2024. Disponível em: https://www.instagram.com/p/C3nNNzeuqqT/?utm_source=ig_web_copy_link&amp;igsh=MzRlODBiNWFlZA==. Acesso em: 19 jul. 2025.
</t>
  </si>
  <si>
    <t>Carandiru: Lembrar para que nunca mais aconteça</t>
  </si>
  <si>
    <t xml:space="preserve">MEMÓRIAS CARANDIRU. Carandiru: lembrar para que nunca mais aconteça. Instagram, 9 mar. 2024. Disponível em: https://www.instagram.com/p/C4LTE7FrOsJ/?utm_source=ig_web_copy_link&amp;igsh=MzRlODBiNWFlZA==. Acesso em: 19 jul. 2025.
</t>
  </si>
  <si>
    <t>Letalidade policial e impunidade</t>
  </si>
  <si>
    <t xml:space="preserve">MEMÓRIAS CARANDIRU. Letalidade policial e impunidade. Instagram, 15 mar. 2024. Disponível em: https://www.instagram.com/p/C4YfouLv4Fn/?utm_source=ig_web_copy_link&amp;igsh=MzRlODBiNWFlZA==. Acesso em: 19 jul. 2025.
</t>
  </si>
  <si>
    <t>Justiça pra quem?</t>
  </si>
  <si>
    <t xml:space="preserve">MEMÓRIAS CARANDIRU. Justiça pra quem?. Instagram, 23 mar. 2024. Disponível em: https://www.instagram.com/p/C486qk8vqzJ/?utm_source=ig_web_copy_link&amp;igsh=MzRlODBiNWFlZA==. Acesso em: 19 jul. 2025.
</t>
  </si>
  <si>
    <t>1ª Frente de Sobrevivenetes do Cárcere e Instituto Resgata Cidadão. Mediação: Maurício Monteiro e Nádia Lima. Participação: Léo Monteiro. Intérprete de libras: Mirella Ferreira</t>
  </si>
  <si>
    <t>Carandiru: Cicatrizes de um massacre</t>
  </si>
  <si>
    <t xml:space="preserve">MEMÓRIAS CARANDIRU. Carandiru: cicatrizes de um massacre. Instagram, 18 abr. 2024. Disponível em: https://www.instagram.com/reel/C56iXXgvp-y/?utm_source=ig_web_copy_link&amp;igsh=MzRlODBiNWFlZA==. Acesso em: 19 jul. 2025.
</t>
  </si>
  <si>
    <t>Trilhando memórias: complexo do Carandiru</t>
  </si>
  <si>
    <t>MEMÓRIAS CARANDIRU. Trilhando memórias: complexo do Carandiru. Instagram, 27 abr. 2024. Disponível em: https://www.instagram.com/p/C6Gon0crQrr/?utm_source=ig_web_copy_link&amp;igsh=MzRlODBiNWFlZA==. Acesso em: 19 jul. 2025.</t>
  </si>
  <si>
    <t>Podcast</t>
  </si>
  <si>
    <t>IREC, Memorias Carandiru e Fundo Brasil</t>
  </si>
  <si>
    <t>Cola na grade</t>
  </si>
  <si>
    <t xml:space="preserve">COLA NA GRADE. Podcast. Spotify, 14 mai. 2024. Disponível em: https://open.spotify.com/show/1U5eiPEESlZzrAZvJIbjC3. Acesso em: 18 jul. 2025.
</t>
  </si>
  <si>
    <t>Segurança pública: na mira das câmeras</t>
  </si>
  <si>
    <t xml:space="preserve">MEMÓRIAS CARANDIRU. Segurança pública: na mira das câmeras. Instagram, 15 mai. 2024. Disponível em: https://www.instagram.com/p/C61EDzwN9KW/?utm_source=ig_web_copy_link&amp;igsh=MzRlODBiNWFlZA==. Acesso em: 19 jul. 2025.
</t>
  </si>
  <si>
    <t>Além dos Muros: Histórias e Resistência no Parque da Juventude</t>
  </si>
  <si>
    <t xml:space="preserve">MEMÓRIAS CARANDIRU. Além dos Muros: histórias e resistência no Parque da Juventude. Instagram, 20 mai. 2024. Disponível em: https://www.instagram.com/p/C7OxOz5OBlY/?utm_source=ig_web_copy_link&amp;igsh=MzRlODBiNWFlZA==. Acesso em: 19 jul. 2025.
</t>
  </si>
  <si>
    <t>Tragédia anunciada: repetição da história</t>
  </si>
  <si>
    <t xml:space="preserve">MEMÓRIAS CARANDIRU. Tragédia anunciada: repetição da história. Instagram, 14 jun. 2024. Disponível em: https://www.instagram.com/p/C7phpOgNhrJ/?utm_source=ig_web_copy_link&amp;igsh=MzRlODBiNWFlZA==. Acesso em: 19 jul. 2025.
</t>
  </si>
  <si>
    <t>Caminhos repetidos: tragédias e violências</t>
  </si>
  <si>
    <t xml:space="preserve">MEMÓRIAS CARANDIRU. Caminhos repetidos: tragédias e violências. Instagram, 22 jun. 2024. Disponível em: https://www.instagram.com/p/C8NYStMv5lv/?utm_source=ig_web_copy_link&amp;igsh=MzRlODBiNWFlZA==. Acesso em: 19 jul. 2025.
</t>
  </si>
  <si>
    <t>R. Araxá, 190 - Vila VirginiaItaquaquecetuba</t>
  </si>
  <si>
    <t>Uneafro Itaqua, Memórias Carandiru e 1ª Frente de Sobreviventes do Cárcere</t>
  </si>
  <si>
    <t>A superlotação negra e o racismo no sistema carcerário brasileiro</t>
  </si>
  <si>
    <t xml:space="preserve">MEMÓRIAS CARANDIRU. A superlotação negra e o racismo no sistema carcerário brasileiro. Instagram, 23 jun. 2024. Disponível em: https://www.instagram.com/p/C8kj-4pvlEy/?utm_source=ig_web_copy_link&amp;igsh=MzRlODBiNWFlZA==. Acesso em: 19 jul. 2025.
</t>
  </si>
  <si>
    <t>Ressignificação ou apagamento da história?</t>
  </si>
  <si>
    <t xml:space="preserve">MEMÓRIAS CARANDIRU. Ressignificação ou apagamento da história?. Instagram, 29 jun. 2024. Disponível em: https://www.instagram.com/p/C8p3dZLvc2m/?utm_source=ig_web_copy_link&amp;igsh=MzRlODBiNWFlZA==. Acesso em: 19 jul. 2025.
</t>
  </si>
  <si>
    <t>Rua Líbero Badaró, 137</t>
  </si>
  <si>
    <t>Pouco tempo na prisão: consequências para todo o sempre</t>
  </si>
  <si>
    <t xml:space="preserve">MEMÓRIAS CARANDIRU. Pouco tempo na prisão: consequências para todo o sempre. Instagram, 28 ago. 2024. Disponível em: https://www.instagram.com/p/C_JVFwxPFhg/?utm_source=ig_web_copy_link&amp;igsh=MzRlODBiNWFlZA==. Acesso em: 19 jul. 2025.
</t>
  </si>
  <si>
    <t>Largo São Francisco, 95 - Centro, São Paulo</t>
  </si>
  <si>
    <t>1ª Frente de Sobrevivenetes do Cárcere, Incarceration Nations Network,  Dr. Baz Dreisinger,  Sérgio Salomão Shecaira, Katherine A. Martins, Jota Carvalho Junior,  GRUPO ANTÔNIA, Fundo Brasil, CLUBE DAS CRIMINALISTAS, Danny Murillo</t>
  </si>
  <si>
    <t>Lançamento de um manifesto, constituído por egressos do sistema prisional, em nível internacional</t>
  </si>
  <si>
    <t xml:space="preserve">MAURICIO MONTEIRO. Lançamento de um manifesto, constituído por egressos do sistema prisional, em nível internacional. Instagram, 1 set. 2024. Disponível em: https://www.instagram.com/reel/C_ZMO7MvFcH/?utm_source=ig_web_copy_link&amp;igsh=MzRlODBiNWFlZA%3D%3D. Acesso em: 19 jul. 2025.
</t>
  </si>
  <si>
    <t>Biblioteca São Paulo</t>
  </si>
  <si>
    <t>Transparência ou controle? As câmeras corporais na vista de mães e ex-detentos</t>
  </si>
  <si>
    <t xml:space="preserve">MEMÓRIAS CARANDIRU. Transparência ou controle? As câmeras corporais na vista de mães e ex-detentos. Instagram, 14 set. 2024. Disponível em: https://www.instagram.com/p/C_q4rYEvGwr/?utm_source=ig_web_copy_link&amp;igsh=MzRlODBiNWFlZA==. Acesso em: 19 jul. 2025.
</t>
  </si>
  <si>
    <t>Relatos Apagados: Revelações do Antigo Carandiru</t>
  </si>
  <si>
    <t xml:space="preserve">MEMÓRIAS CARANDIRU. Relatos apagados: revelações do antigo Carandiru. Instagram, 22 set. 2024. Disponível em: https://www.instagram.com/p/DATL6w6ujBs/?utm_source=ig_web_copy_link&amp;igsh=MzRlODBiNWFlZA==. Acesso em: 19 jul. 2025.
</t>
  </si>
  <si>
    <t>Mesa</t>
  </si>
  <si>
    <t>FGV Direito - R. Dr. Plínio Barreto, 365 - Bela Vista, São Paulo</t>
  </si>
  <si>
    <t>Pesquisadoras (Grupo de Pesquisa em Direito e Violência de Estado) e sobreviventes</t>
  </si>
  <si>
    <t>Lugar de memória, lugar em disputa: 32 anos do Massacre do Carandiru</t>
  </si>
  <si>
    <t xml:space="preserve">FGV DIREITO SP. Lugar de memória, lugar em disputa: 32 anos do Massacre do Carandiru. FGV DIREITO SP, 1 out. 2024. Disponível em: https://direitosp.fgv.br/eventos/lugar-memoria-lugar-disputa-32-anos-massacre-carandiru. Acesso em: 17 jul. 2025.
</t>
  </si>
  <si>
    <t>Audiotour</t>
  </si>
  <si>
    <t>Casa da F.U.R.I.A, Cia. dxs Terroristas, Memórias Carandiru</t>
  </si>
  <si>
    <t>Audiotour TUDO GENTE</t>
  </si>
  <si>
    <t xml:space="preserve">MEMÓRIAS CARANDIRU. Audiotour TUDO GENTE. Instagram, 2 out. 2024. Disponível em: https://www.instagram.com/p/DABAzFqtrS2/?utm_source=ig_web_copy_link&amp;igsh=MzRlODBiNWFlZA==. Acesso em: 19 jul. 2025.
</t>
  </si>
  <si>
    <t>Podcast (episódio)</t>
  </si>
  <si>
    <t>Podcast do Gueto com participação do Mauricio Monteiro</t>
  </si>
  <si>
    <t>Maurício Monteiro no Podcast Do Gueto</t>
  </si>
  <si>
    <t xml:space="preserve">MEMÓRIAS CARANDIRU. Maurício Monteiro no Podcast Do Gueto. Instagram, 3 out. 2024. Disponível em: https://www.instagram.com/p/DAl5b79R8Gs/?utm_source=ig_web_copy_link&amp;igsh=MzRlODBiNWFlZA==. Acesso em: 19 jul. 2025.
</t>
  </si>
  <si>
    <t>Aula</t>
  </si>
  <si>
    <t>Cia dxs Terroristas, Mauricio Monteiro</t>
  </si>
  <si>
    <t>Aula de Sparring, boxe, sarau na BSP e abertura da Audiotour Tudo Gente no Parque da Juventude</t>
  </si>
  <si>
    <t xml:space="preserve">MEMÓRIAS CARANDIRU. Aula de Sparring, boxe, sarau na BSP e abertura da Audiotour Tudo Gente no Parque da Juventude. Instagram, 3 out. 2024. Disponível em: https://www.instagram.com/p/DAqXfEBPeSz/?utm_source=ig_web_copy_link&amp;igsh=MzRlODBiNWFlZA==. Acesso em: 19 jul. 2025.
</t>
  </si>
  <si>
    <t>Pq da Juventude</t>
  </si>
  <si>
    <t>IREC, Mauricio Monteiro, Memorias Carandiru</t>
  </si>
  <si>
    <t>Matéria especial no Repórter Brasil, jornal da TV Brasil</t>
  </si>
  <si>
    <t xml:space="preserve">MEMÓRIAS CARANDIRU. Matéria especial no Repórter Brasil, jornal da TV Brasil. Instagram, 3 out. 2024. Disponível em: https://www.instagram.com/reel/DArp4oFOSEF/?utm_source=ig_web_copy_link&amp;igsh=MzRlODBiNWFlZA==. Acesso em: 19 jul. 2025.
</t>
  </si>
  <si>
    <t>Iconografia da História</t>
  </si>
  <si>
    <t>Histórias do Carandiru</t>
  </si>
  <si>
    <t xml:space="preserve">MEMÓRIAS CARANDIRU. Histórias do Carandiru. Instagram, 15 out. 2024. Disponível em: https://www.instagram.com/p/DBJs7MlRAay/?utm_source=ig_web_copy_link&amp;igsh=MzRlODBiNWFlZA==. Acesso em: 19 jul. 2025.
</t>
  </si>
  <si>
    <t xml:space="preserve">Carandiru: resistência, memória e reparação </t>
  </si>
  <si>
    <t xml:space="preserve">MEMÓRIAS CARANDIRU. Carandiru: resistência, memória e reparação. Instagram, 19 out. 2024. Disponível em: https://www.instagram.com/p/DA9Tu1BP2lO/?utm_source=ig_web_copy_link&amp;igsh=MzRlODBiNWFlZA==. Acesso em: 19 jul. 2025.
</t>
  </si>
  <si>
    <t xml:space="preserve">Cia dxs Terroristas, 1ª Frente de Sobreviventes do Cárcere, Memórias Carandiru, Secretaria Municipal de Direitos Humanos e Instituto Resgata Cidadão </t>
  </si>
  <si>
    <t xml:space="preserve">Das ruínas do Carandiru à resistência negra: memórias de lluta </t>
  </si>
  <si>
    <t xml:space="preserve">MEMÓRIAS CARANDIRU. Das ruínas do Carandiru à resistência negra: memórias de luta. Instagram, 9 nov. 2024. Disponível em: https://www.instagram.com/p/DCB9EapuuWV/?utm_source=ig_web_copy_link&amp;igsh=MzRlODBiNWFlZA==. Acesso em: 19 jul. 2025.
</t>
  </si>
  <si>
    <t>Carandiru: memórias da impunidade</t>
  </si>
  <si>
    <r>
      <rPr>
        <rFont val="DM Sans"/>
        <color theme="1"/>
        <sz val="14.0"/>
      </rPr>
      <t xml:space="preserve">MEMÓRIAS CARANDIRU. Carandiru: memórias da impunidade. Instagram, 14 dez. 2024. Disponível em: </t>
    </r>
    <r>
      <rPr>
        <rFont val="DM Sans"/>
        <color rgb="FF000000"/>
        <sz val="14.0"/>
      </rPr>
      <t>https://www.instagram.com/p/DDSi6pUS3sE/?utm_source=ig_web_copy_link&amp;igsh=MzRlODBiNWFlZA==.</t>
    </r>
    <r>
      <rPr>
        <rFont val="DM Sans"/>
        <color theme="1"/>
        <sz val="14.0"/>
      </rPr>
      <t xml:space="preserve"> Acesso em: 19 jul. 2025.
</t>
    </r>
  </si>
  <si>
    <t xml:space="preserve"> NA</t>
  </si>
  <si>
    <t xml:space="preserve">Associação Nacional de Direitos Humanos, Pesquisa e Pós-Graduação (ANDHEP), Ana Luiza Bandeira, Guilherme de Almeida, Marta Machado, Maíra Machado e Ana Luiza Bandeira. </t>
  </si>
  <si>
    <t>Entre Grades e Grilhões: Cárcere Como Herança da Escravidão</t>
  </si>
  <si>
    <t>Iconográfico, Textual, Audiovisual</t>
  </si>
  <si>
    <t>Imagem (digital) , Texto (digital), Vídeo (digital)</t>
  </si>
  <si>
    <t xml:space="preserve">MEMÓRIAS CARANDIRU. Entre grades e grilhões: cárcere como herança da escravidão. Instagram, 28 jan. 2025. Disponível em: https://www.instagram.com/p/DFGarOZAHJm/?utm_source=ig_web_copy_link&amp;igsh=MzRlODBiNWFlZA==. Acesso em: 19 jul. 2025.
</t>
  </si>
  <si>
    <t>Canal "Iconografia da História"</t>
  </si>
  <si>
    <t>ICONOGRAFIA DA HISTÓRIA. Raio X: o massacre do Carandiru como você nunca viu. YouTube, 29 min 28 s, 23 jun. 2024. Disponível em: http://youtube.com/watch?v=hvBs1qHY3Iw. Acesso em: 19 jul. 2025.</t>
  </si>
  <si>
    <t>Canal USP</t>
  </si>
  <si>
    <t>CANAL USP. Carandiru centenário: a história da Casa de Detenção. YouTube, 26 min 55 s, 2 out. 2024. Disponível em: https://www.youtube.com/watch?v=jBvHjywPWC8. Acesso em: 19 jul. 2025.</t>
  </si>
  <si>
    <t>PRISIONEIRO 84.901. Sobrevivente da Casa de Detenção de SP: relatos da vida fora e no Carandiru. YouTube, 11 dez. 2024. Disponível em: https://www.youtube.com/watch?v=vN0K8gVCz-U. Acesso em: 19 jul. 2025.</t>
  </si>
  <si>
    <t>PRISIONEIRO 84.901. Sobrevivente da Casa de Detenção de SP: visão e entrada no crime (Parte 1). YouTube, 14 nov. 2024. Disponível em: https://www.youtube.com/watch?v=i4KGAhXM91o. Acesso em: 19 jul. 2025.</t>
  </si>
  <si>
    <t>PRISIONEIRO 84.901. Casa de Detenção de SP: consequências da caminhada (malandrão não se cria) (Parte 2). YouTube, 14 nov. 2024. Disponível em: https://www.youtube.com/watch?v=zTte4m3juBk. Acesso em: 19 jul. 2025.</t>
  </si>
  <si>
    <t>PRISIONEIRO 84.901. Casa de Detenção de SP: nem sempre o que parece é (Parte 3). YouTube, 14 nov. 2024. Disponível em: https://www.youtube.com/watch?v=YdohIqke4aY. Acesso em: 19 jul. 2025.</t>
  </si>
  <si>
    <t>PRISIONEIRO 84.901. 02 de outubro de 2024. YouTube, 4 out. 2024. Disponível em: https://www.youtube.com/watch?v=YPFu4rI3axM. Acesso em: 19 jul. 2025.</t>
  </si>
  <si>
    <t>PRISIONEIRO 84.901. Carta de reivindicações do dia 07 de outubro de 1992. YouTube, 15 set. 2024. Disponível em: https://www.youtube.com/watch?v=gTyFJJsyWQw. Acesso em: 19 jul. 2025.</t>
  </si>
  <si>
    <t>PRISIONEIRO 84.901. Consequências da omissão dentro da Casa de Detenção de São Paulo. YouTube, 24 ago. 2024. Disponível em: https://https://www.youtube.com/watch?v=nAkcGeUjOCk. Acesso em 16 de out. 2025.</t>
  </si>
  <si>
    <t>PRISIONEIRO 84.901. Leo Monteiro: sobrevivente do massacre no P.V. 9 (Parte 1). YouTube, 29 jun. 2024. Disponível em: https://www.youtube.com/watch?v=91WffEOMilE. Acesso em: 19 jul. 2025.</t>
  </si>
  <si>
    <t>PRISIONEIRO 84.901. Leo Monteiro: sobrevivente do P.V. 9 (Parte 2). YouTube, 29 jun. 2024. Disponível em: https://www.youtube.com/watch?v=3HIduyBd-Qw. Acesso em: 19 jul. 2025.</t>
  </si>
  <si>
    <t>PRISIONEIRO 84.901. Cronologia da Casa de Detenção de São Paulo (1956 a 1980). YouTube, 31 mai. 2024. Disponível em: https://www.youtube.com/watch?v=0qW7ntVvQjo. Acesso em: 19 jul. 2025.</t>
  </si>
  <si>
    <t>PRISIONEIRO 84.901. Acordando no outro dia Pv.9: cronologia da Casa de Detenção de SP de 1981 a 1993. YouTube, 1 jun. 2024. Disponível em: https://www.youtube.com/watch?v=FwCgIp-2Nrs. Acesso em: 19 jul. 2025.</t>
  </si>
  <si>
    <t>PRISIONEIRO 84.901. Casa de Detenção de SP: cronologia de 1995 a 2000. YouTube, 9 jun. 2024. Disponível em: https://www.youtube.com/watch?v=H5yjnoqEUh8. Acesso em: 19 jul. 2025.</t>
  </si>
  <si>
    <t>PRISIONEIRO 84.901. Realidades e mitos do Carandiru. YouTube, 21 abr. 2024. Disponível em: https://www.youtube.com/watch?v=wlTSNpUcLCQ. Acesso em: 19 jul. 2025.</t>
  </si>
  <si>
    <t>PRISIONEIRO 84.901. Morte pesada na mega rebelião 2001: vista da Penitenciária do Estado (Mercadão) – Parte 2. YouTube, 16 abr. 2024. Disponível em: https://www.youtube.com/watch?v=d1cDeLVTnPM. Acesso em: 19 jul. 2025.</t>
  </si>
  <si>
    <t>PRISIONEIRO 84.901. Da infância criminosa ao Pav. 9 (André Du Rap). YouTube, 5 abr. 2024. Disponível em: https://www.youtube.com/watch?v=mRTlgsPWPbg. Acesso em: 19 jul. 2025</t>
  </si>
  <si>
    <t>PRISIONEIRO 84.901. Memórias da Casa de Detenção de São Paulo. YouTube, 7 abr. 2024. Disponível em: https://www.youtube.com/watch?v=WSyntOlIR3k. Acesso em: 19 jul. 2025.</t>
  </si>
  <si>
    <t>PRISIONEIRO 84.901. Du Rap e o dia 02 de outubro de 1992. YouTube, 9 abr. 2024. Disponível em: https://www.youtube.com/watch?v=PRAJt8f9jiM. Acesso em: 19 jul. 2025.</t>
  </si>
  <si>
    <t>PRISIONEIRO 84.901. Tudo nublado no dia 02 de outubro de 1992: José Paulino (Bizil). YouTube, 2 abr. 2024. Disponível em: https://www.youtube.com/watch?v=YHCwXaiGD7A. Acesso em: 19 jul. 2025.</t>
  </si>
  <si>
    <t>PRISIONEIRO 84.901. “Caminhos antes do crime e prisão”: Zé Roberto, sobrevivente do massacre na Casa de Detenção. YouTube, 15 mar. 2024. Disponível em: https://www.youtube.com/watch?v=dLPp62lDJzw. Acesso em: 19 jul. 2025.</t>
  </si>
  <si>
    <t>PRISIONEIRO 84.901. Casa de Detenção de SP 1985: Zé Roberto, sobrevivente do massacre de 1992. YouTube, 16 mar. 2024. Disponível em: https://www.youtube.com/watch?v=h5_WjF-ADfU. Acesso em: 19 jul. 2025.</t>
  </si>
  <si>
    <t>PRISIONEIRO 84.901. Cenas pesadas no Pav. 9: Zé Roberto (Parte 3), sobrevivente do massacre na Casa de Detenção. YouTube, 17 mar. 2024. Disponível em: https://www.youtube.com/watch?v=UVxiurobx-I. Acesso em: 19 jul. 2025.</t>
  </si>
  <si>
    <t>PRISIONEIRO 84.901. Detalhes do dia 2 de outubro de 1992 no Pav. 9: Zé Roberto (Parte 4). YouTube, 24 mar. 2024. Disponível em: https://www.youtube.com/watch?v=2GbcD69RO6U. Acesso em: 19 jul. 2025.</t>
  </si>
  <si>
    <t>PRISIONEIRO 84.901. Não era do crime, e tirou uns anos na Casa de Detenção de São Paulo (Parte 1). YouTube, 23 fev. 2024. Disponível em: https://www.youtube.com/watch?v=EuIKMaMQOQw. Acesso em: 19 jul. 2025.</t>
  </si>
  <si>
    <t>PRISIONEIRO 84.901. Sobrevivente da Casa de Detenção no Pav. 9 (Parte 2). YouTube, 24 fev. 2024. Disponível em: https://www.youtube.com/watch?v=0WB098aHN6M. Acesso em: 19 jul. 2025.</t>
  </si>
  <si>
    <t>PRISIONEIRO 84.901. Sobrevivente Edson da Casa de Detenção de SP – P2. YouTube, 27 fev. 2024. Disponível em: https://www.youtube.com/watch?v=uLJy3hUDhr8. Acesso em: 19 jul. 2025.</t>
  </si>
  <si>
    <t>PRISIONEIRO 84.901. Sobrevivente Sidney do Pav. 9 na Casa de Detenção de SP (Parte 3). YouTube, 28 fev. 2024. Disponível em: https://www.youtube.com/watch?v=-NSEF-iyWoE. Acesso em: 19 jul. 2025.</t>
  </si>
  <si>
    <t>PRISIONEIRO 84.901. Sobrevivente Sidney do Pav. 9 na Casa de Detenção (Parte 4). YouTube, 2 mar. 2024. Disponível em: https://www.youtube.com/watch?v=8SHbMySUnnw. Acesso em: 19 jul. 2025.</t>
  </si>
  <si>
    <t xml:space="preserve"> O direito à cidade e a ocupação dos espaços de memória</t>
  </si>
  <si>
    <t xml:space="preserve">MEMÓRIAS CARANDIRU. O direito à cidade e a ocupação dos espaços de memória. Instagram, 11 fev. 2025. Disponível em: https://www.instagram.com/reel/DF5Lv14AQxo/?utm_source=ig_web_copy_link&amp;igsh=MzRlODBiNWFlZA==. Acesso em: 19 jul. 2025.
</t>
  </si>
  <si>
    <t>Avenida Zaki Narchi, 1207 - Museu Penitenciário Paulista</t>
  </si>
  <si>
    <t>O direito à cidade e a ocupação dos espaços de memória</t>
  </si>
  <si>
    <t>MEMÓRIAS CARANDIRU. Memória e reparação: o que a história do Carandiru nos ensina?. Instagram, 22 fev. 2025. Disponível em: https://www.instagram.com/p/DGOcCVkyVz3/?utm_source=ig_web_copy_link&amp;igsh=MzRlODBiNWFlZA==. Acesso em: 19 jul. 2025.</t>
  </si>
  <si>
    <t>Memória e reparação: o que a história do Carandiru nos ensina?</t>
  </si>
  <si>
    <t xml:space="preserve">MEMÓRIAS CARANDIRU. Afrodescendência e encarceramento: das senzalas às prisões contemporâneas. Instagram, 15 mar. 2025. Disponível em: https://www.instagram.com/p/DHBxA0my9Lm/?utm_source=ig_web_copy_link&amp;igsh=MzRlODBiNWFlZA==. Acesso em: 19 jul. 2025.
</t>
  </si>
  <si>
    <t>Afrodescendência e encarceramento: das senzalas às prisões contemporâneas</t>
  </si>
  <si>
    <t xml:space="preserve">MEMÓRIAS CARANDIRU. Corpos encarcerados, vidas negadas: classe, raça e gênero no sistema prisional. Instagram, 29 mar. 2025. Disponível em: https://www.instagram.com/p/DHtHRxRgxT7/?utm_source=ig_web_copy_link&amp;igsh=MzRlODBiNWFlZA==. Acesso em: 19 jul. 2025.
</t>
  </si>
  <si>
    <t xml:space="preserve">Corpos encarcerados, vidas negadas: classe, raça e gênero no sistema prisional </t>
  </si>
  <si>
    <t xml:space="preserve">MEMÓRIAS CARANDIRU. Manifestação. Instagram, 1 abr. 2025. Disponível em: https://www.instagram.com/reel/DI4yeI2ybZI/?utm_source=ig_web_copy_link&amp;igsh=MzRlODBiNWFlZA==. Acesso em: 19 jul. 2025.
</t>
  </si>
  <si>
    <t>Avenida Paulista</t>
  </si>
  <si>
    <t>Memoria Carandiru, 1ª Frente de Sobreviventes do Cárcere, Projeto Nova Rota</t>
  </si>
  <si>
    <t xml:space="preserve">MEMÓRIAS CARANDIRU. Escrevivências do cárcere: vozes e resistências dos sobreviventes. Instagram, 12 abr. 2025. Disponível em: https://www.instagram.com/p/DHtHRxRgxT7/?utm_source=ig_web_copy_link&amp;igsh=MzRlODBiNWFlZA==. Acesso em: 19 jul. 2025.
</t>
  </si>
  <si>
    <t>Escrevivências do cárcere: vozes e resistências dos sobreviventes</t>
  </si>
  <si>
    <t xml:space="preserve">MEMÓRIAS CARANDIRU. Política de memória: qual a importância de lembrar o passado?. Instagram, 25 abr. 2025. Disponível em: https://www.instagram.com/p/DJpIJKnSkRr/?utm_source=ig_web_copy_link&amp;igsh=MzRlODBiNWFlZA==. Acesso em: 19 jul. 2025.
</t>
  </si>
  <si>
    <t>Política de memória: qual a importância de lembrar o passado?</t>
  </si>
  <si>
    <t xml:space="preserve">MEMÓRIAS CARANDIRU. Encarceramento em massa e racismo: um legado da escravidão?. Instagram, 26 abr. 2025. Disponível em: https://www.instagram.com/p/DIgth9JgI4r/?utm_source=ig_web_copy_link&amp;igsh=MzRlODBiNWFlZA==. Acesso em: 19 jul. 2025.
</t>
  </si>
  <si>
    <t>Avenida Cruzeiro do Sul, 2630 - Carandiru.</t>
  </si>
  <si>
    <t>Encarceramento em massa e racismo: um legado da escravidão?</t>
  </si>
  <si>
    <t>MEMÓRIAS CARANDIRU. A falsa guerra às drogas: a cruzada antidrogas como política de encarceramento da população negra periférica. Instagram, 29 abr. 2025. Disponível em: https://www.instagram.com/p/DI9ZrimSjX_/?utm_source=ig_web_copy_link&amp;igsh=MzRlODBiNWFlZA==. Acesso em: 19 jul. 2025.</t>
  </si>
  <si>
    <t xml:space="preserve">Palestra </t>
  </si>
  <si>
    <t>Unifesp Campus Guarulhos</t>
  </si>
  <si>
    <t xml:space="preserve">Centro Acadêmico de História Márcia D'Alessio Universidade Federal de São Paulo (UNIFESP), com Mauricio Monteiro (Memórias do Carandiru, 1ª Frente de Sobreviventes do Cárcere e Instituto Resgata Cidadão) e Nádia Lima (Memórias do Carandiru). </t>
  </si>
  <si>
    <t xml:space="preserve">A falsa guerra às drogas: A cruzada antidrogas como política de encarceramento da população negra periférica. </t>
  </si>
  <si>
    <t>MEMÓRIAS CARANDIRU. Aula sobre violência estatal, sobre a Casa de Detenção de São Paulo e sobre o massacre ocorrido em 1992. Instagram, 12 mai. 2025. Disponível em: https://www.instagram.com/p/DJo5ihIN3Jz/?utm_source=ig_web_copy_link&amp;igsh=MzRlODBiNWFlZA==. Acesso em: 19 jul. 2025.</t>
  </si>
  <si>
    <t xml:space="preserve">Aula </t>
  </si>
  <si>
    <t>R. Dr. Avelino Chaves, 138 - Vila Hamburguesa, São Paulo - SP, 05318-040</t>
  </si>
  <si>
    <t>Programa de Residência Artística do Instituto Çarê e do Instituto de Estudos Brasileiros da Universidade de São Paulo (IEB-USP). Convidada: Maíra Machado</t>
  </si>
  <si>
    <t>Aula sobre violência estatal, sobre a Casa de Detenção de São Paulo e sobre o massacre ocorrido em 1992</t>
  </si>
  <si>
    <t xml:space="preserve">MEMÓRIAS CARANDIRU. Entrevista a Maurício Monteiro (Instituto Resgata Cidadão). Instagram, 24 mai. 2025. Disponível em: https://www.instagram.com/p/DKBCge6NWhR/?utm_source=ig_web_copy_link&amp;igsh=MzRlODBiNWFlZA==. Acesso em: 19 jul. 2025.
</t>
  </si>
  <si>
    <t>Entrevista a Maurício Monteiro (Instituto Resgata Cidadão)</t>
  </si>
  <si>
    <t xml:space="preserve">MEMÓRIAS CARANDIRU. Carandiru: memórias silenciadas e a luta pelo direito à verdade. Instagram, 14 jun. 2025. Disponível em: https://www.instagram.com/p/DKuLkPTgsup/?utm_source=ig_web_copy_link&amp;igsh=MzRlODBiNWFlZA==. Acesso em: 19 jul. 2025.
</t>
  </si>
  <si>
    <t>Carandiru: memórias silenciadas e a luta pelo direito à verdade</t>
  </si>
  <si>
    <t>MEMÓRIAS CARANDIRU. Tráfico transatlântico e encarceramento: histórias que se entrecruzam. Instagram, 21 jun. 2025. Disponível em: https://www.instagram.com/p/DLDPDdSApN6/?utm_source=ig_web_copy_link. Acesso em: 19 jul. 2025.</t>
  </si>
  <si>
    <t>Tráfico transatlântico e encarceramento: histórias que se entrecruzam</t>
  </si>
  <si>
    <t xml:space="preserve">MEMÓRIAS CARANDIRU. Como combater o apagamento e contribuir para uma cultura de reparação. Instagram, 27 jun. 2025 Disponível em: https://www.instagram.com/p/DLV1JHcPiYb/?utm_source=ig_web_copy_link&amp;igsh=MzRlODBiNWFlZA==. Acesso em: 19 jul. 2025.
</t>
  </si>
  <si>
    <t xml:space="preserve">Manas e Manhã Especial. Convidada: Helen Baum (Memórias Carandiru) </t>
  </si>
  <si>
    <t>Como combater o apagamento e contribuir para uma cultura de reparação</t>
  </si>
  <si>
    <t>MEMÓRIA CARANDIRU. Carandiru não se esquece: das senzalas às penitenciárias. Instagram, 3 jul. 2025. Disponível em: https://www.instagram.com/memoriacarandiru/p/DLkhkIYAI7v/?hl=en. Acesso em: 16 jul. 2025.</t>
  </si>
  <si>
    <t xml:space="preserve">Carandiru não se esquece: das senzalas as penitenciárias. </t>
  </si>
  <si>
    <t xml:space="preserve">MEMÓRIAS CARANDIRU. Carandiru: memórias silenciadas e a luta pelo direito à verdade. Instagram, 5 jul. 2025. Disponível em: https://www.instagram.com/p/DLoB6_hst9F/?utm_source=ig_web_copy_link&amp;igsh=MzRlODBiNWFlZA==. Acesso em: 19 jul. 2025.
</t>
  </si>
  <si>
    <t>Projeto Mãos do Quilombo, IREC, Memórias Carandiru, Cineblack, Instituto de Estudos Brasileiros da Universidade de São Paulo (IEB-USP)</t>
  </si>
  <si>
    <t>Entre Afetos: Narrativas sobre amor, memória, verdade e justiça a partir dos acervos documentais</t>
  </si>
  <si>
    <t>MEMÓRIAS CARANDIRU. Exposição Entre Afetos, no âmbito da 9ª Semana Nacional de Arquivos. Instagram, 9 ago. 2025. Disponível em: https://www.instagram.com/reel/DLGo3v3A0aU/?utm_source=ig_web_copy_link&amp;igsh=MzRlODBiNWFlZA==. Acesso em: 19 jul. 2025.</t>
  </si>
  <si>
    <t>Memória Massacre Carandiru</t>
  </si>
  <si>
    <r>
      <rPr>
        <rFont val="DM Sans"/>
        <color theme="1"/>
        <sz val="14.0"/>
      </rPr>
      <t>GOOGLE ARTS &amp; CULTURE. Memória Massacre Carandiru. Google Arts &amp; Culture, [21 jun. 2024</t>
    </r>
    <r>
      <rPr>
        <rFont val="DM Sans"/>
        <color rgb="FFFF0000"/>
        <sz val="14.0"/>
      </rPr>
      <t>?</t>
    </r>
    <r>
      <rPr>
        <rFont val="DM Sans"/>
        <color theme="1"/>
        <sz val="14.0"/>
      </rPr>
      <t xml:space="preserve">]. Disponível em: https://artsandculture.google.com/story/-QUR6ep1-mKqIg?hl=pt-BR. Acesso em: 19 jul. 2025.
</t>
    </r>
  </si>
  <si>
    <t>Av. Cruzeiro do Sul, 2630 – ao lado do metrô Carandiru.</t>
  </si>
  <si>
    <t>Carandiru de África: resistências invisibilizadas</t>
  </si>
  <si>
    <r>
      <t xml:space="preserve">MEMÓRIAS CARANDIRU. Carandiru de África: resistências invisibilizadas. Instagram, 6 ago. 2025. Disponível em: </t>
    </r>
    <r>
      <rPr>
        <rFont val="DM Sans"/>
        <color rgb="FF000000"/>
        <sz val="14.0"/>
      </rPr>
      <t>https://www.instagram.com/p/DNB3eeYyRxc</t>
    </r>
    <r>
      <rPr>
        <rFont val="DM Sans"/>
        <color theme="1"/>
        <sz val="14.0"/>
      </rPr>
      <t>. Acesso em: 14 out. 2025.</t>
    </r>
  </si>
  <si>
    <t>Casa de detenção e o apagamento das terras ancestrais</t>
  </si>
  <si>
    <r>
      <t xml:space="preserve">MEMÓRIAS CARANDIRU. Casa de detenção e o apagamento das terras ancestrais. Instagram, 20 ago. 2025. Disponível em: </t>
    </r>
    <r>
      <rPr>
        <rFont val="DM Sans"/>
        <color rgb="FF000000"/>
        <sz val="14.0"/>
      </rPr>
      <t>https://www.instagram.com/p/DNlApTmgnxE</t>
    </r>
    <r>
      <rPr>
        <rFont val="DM Sans"/>
        <color theme="1"/>
        <sz val="14.0"/>
      </rPr>
      <t>. Acesso em: 14 out. 2025.</t>
    </r>
  </si>
  <si>
    <t>Os sobreviventes falam: depoimentos e a construção da memória</t>
  </si>
  <si>
    <r>
      <t xml:space="preserve">MEMÓRIAS CARANDIRU. Os sobreviventes falam: depoimentos e a construção da memória. Instagram, 8 set. 2025. Disponível em: </t>
    </r>
    <r>
      <rPr>
        <rFont val="DM Sans"/>
        <color rgb="FF000000"/>
        <sz val="14.0"/>
      </rPr>
      <t>https://www.instagram.com/p/DOWWJFIgNUC</t>
    </r>
    <r>
      <rPr>
        <rFont val="DM Sans"/>
        <color theme="1"/>
        <sz val="14.0"/>
      </rPr>
      <t>. Acesso em: 14 out. 2025.</t>
    </r>
  </si>
  <si>
    <t>Territórios de dor e de luta: o Carandiru como patrimônio de memória</t>
  </si>
  <si>
    <r>
      <t xml:space="preserve">MEMÓRIAS CARANDIRU. Territórios de dor e de luta: o Carandiru como patrimônio de memória. Instagram, 22 set. 2025. Disponível em: </t>
    </r>
    <r>
      <rPr>
        <rFont val="DM Sans"/>
        <color rgb="FF000000"/>
        <sz val="14.0"/>
      </rPr>
      <t>https://www.instagram.com/p/DO6NpQsjS_g</t>
    </r>
    <r>
      <rPr>
        <rFont val="DM Sans"/>
        <color theme="1"/>
        <sz val="14.0"/>
      </rPr>
      <t>. Acesso em: 14 out. 2025.</t>
    </r>
  </si>
  <si>
    <t>PLANETA NOVO. O massacre do Carandiru | Humanidade #1. YouTube, 25 ago. 2025. Disponível em: https://www.youtube.com/watch?v=-IIGlAluqso. Acesso em: 19 jul. 2025.</t>
  </si>
  <si>
    <t>Canal "TIKTAL CORTES [OFICIAL]"</t>
  </si>
  <si>
    <t>TIKTAL CORTES [OFICIAL]. Sobrevivente do Carandiru relata em detalhes o dia do massacre. YouTube, 23 min 37 s, 2 jul. 2025. Disponível em: https://www.youtube.com/watch?v=ktNcuySOyZI. Acesso em: 19 jul. 2025.</t>
  </si>
  <si>
    <t>Grupo de Pesquisa em Direito e Violência de Estado</t>
  </si>
  <si>
    <t>Massacre do Carandiru 33 anos: apresentação e debate das pesquisas do Grupo de Pesquisa em Direito e Violência de Estado</t>
  </si>
  <si>
    <t>Hiperlink (via Whatsapp)</t>
  </si>
  <si>
    <t>FGV DIREITO SP. Massacre do Carandiru 33 anos: apresentação e debate das pesquisas do Grupo de Pesquisa em Direito e Violência de Estado. FGV Direito SP - Escola de Direito de São Paulo, São Paulo, 29 set. 2025. Disponível em: https://evento.fgv.br/massacre_carandiru_33_anos/. Acesso em: 15 out. 2025.</t>
  </si>
  <si>
    <t>Rádio (episódio)</t>
  </si>
  <si>
    <t>Rádio Novelo</t>
  </si>
  <si>
    <t>A cena do crime</t>
  </si>
  <si>
    <t>INSTITUTO SOU DA PAZ. A cena do crime. Rio de Janeiro: Rádio Novelo, 2 out. 2025. Disponível em: https://www.instagram.com/reel/DPUjKt6kYGM. Acesso em: 17 out. 2025.</t>
  </si>
  <si>
    <t>coletivo Educadores Memórias Carandiru e IEB USP</t>
  </si>
  <si>
    <t>Última semana da exposição sobre o “Massacre do Carandiru” no Instituto Çarê, em São Paulo</t>
  </si>
  <si>
    <t>PEREIRA, Fabiane. Última semana da exposição sobre o “Massacre do Carandiru” no Instituto Çarê, em São Paulo. Nova Brasil FM, 10 fev. 2026, 16:29. Disponível em: &lt;https://novabrasilfm.com.br/arte-e-cultura/ultima-semana-da-exposicao-sobre-o-massacre-do-carandiru-no-instituto-care-em-sao-paulo&gt;. Acesso em: 11 set. 2026</t>
  </si>
  <si>
    <t>Ministério dos Direitos Humanos, Defensoria Pública de São Paulo, CAJU FGV, GPDVE FGV e AMPARAR</t>
  </si>
  <si>
    <t>"Território Memória Carandiru" marca resistência e luta por direitos humanos</t>
  </si>
  <si>
    <t>CID, Daniela; PALMEIRA, Maria Clara. Território Memória Carandiru marca resistência e luta por direitos humanos. *Agemt PUCSP*, 23 out. 2025, 12h. Disponível em: &lt;https://agemt.pucsp.br/noticias/territorio-memoria-carandiru-marca-resistencia-e-luta-por-direitos-humanos&gt;. Acesso em: 11 set. 2026.</t>
  </si>
  <si>
    <t xml:space="preserve">Performance faz homenagem aos 111 mortos no Massacre do Carandiru. </t>
  </si>
  <si>
    <t>MELLO, Daniel. Performance faz homenagem aos 111 mortos no Massacre do Carandiru. Agência Brasil, São Paulo, 1 nov. 2016. Disponível em: https://agenciabrasil.ebc.com.br/direitos-humanos/noticia/2016-11/performance-faz-homenagem-aos-111-mortos-no-massacre-do-carandiru. Acesso em: 6 jul. 2026.</t>
  </si>
  <si>
    <t>Parentes de vítimas da violência cometida pelo estado, movimentos sociais, coletivos autônomos, sobreviventes e pessoas engajados no tema da segurança pública. 
Diretamente citado: Mães de Maio.</t>
  </si>
  <si>
    <t>Manifestação pelas ruas de São Paulo lembra os 23 anos do Massacre do Carandiru</t>
  </si>
  <si>
    <t>manifestação solidariedade ao Massacre do Carandiru</t>
  </si>
  <si>
    <t>Disponível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</si>
</sst>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numFmt numFmtId="166" formatCode="d/m/yyyy"/>
    <numFmt numFmtId="167" formatCode="m/yyyy"/>
    <numFmt numFmtId="168" formatCode="d/mmm/yyyy"/>
  </numFmts>
  <fonts count="51">
    <font>
      <sz val="10.0"/>
      <color rgb="FF000000"/>
      <name val="Arial"/>
      <scheme val="minor"/>
    </font>
    <font>
      <b/>
      <sz val="14.0"/>
      <color rgb="FFFFFFFF"/>
      <name val="DM Sans"/>
    </font>
    <font/>
    <font>
      <b/>
      <sz val="14.0"/>
      <color rgb="FF013395"/>
      <name val="DM Sans"/>
    </font>
    <font>
      <sz val="14.0"/>
      <color theme="1"/>
      <name val="DM Sans"/>
    </font>
    <font>
      <sz val="14.0"/>
      <color rgb="FF000000"/>
      <name val="DM Sans"/>
    </font>
    <font>
      <b/>
      <sz val="20.0"/>
      <color theme="1"/>
      <name val="Patrick Hand"/>
    </font>
    <font>
      <b/>
      <sz val="12.0"/>
      <color rgb="FFFFFFFF"/>
      <name val="Merriweather"/>
    </font>
    <font>
      <sz val="10.0"/>
      <color theme="1"/>
      <name val="Georgia"/>
    </font>
    <font>
      <color theme="1"/>
      <name val="Arial"/>
      <scheme val="minor"/>
    </font>
    <font>
      <color theme="1"/>
      <name val="Georgia"/>
    </font>
    <font>
      <color theme="1"/>
      <name val="Arial"/>
    </font>
    <font>
      <sz val="12.0"/>
      <color theme="1"/>
      <name val="Roboto"/>
    </font>
    <font>
      <sz val="11.0"/>
      <color theme="1"/>
      <name val="Georgia"/>
    </font>
    <font>
      <sz val="12.0"/>
      <color rgb="FF4285F4"/>
      <name val="Roboto"/>
    </font>
    <font>
      <b/>
      <color theme="1"/>
      <name val="Georgia"/>
    </font>
    <font>
      <u/>
      <sz val="14.0"/>
      <color rgb="FF0000FF"/>
      <name val="DM Sans"/>
    </font>
    <font>
      <color theme="8"/>
      <name val="Georgia"/>
    </font>
    <font>
      <color theme="7"/>
      <name val="Georgia"/>
    </font>
    <font>
      <sz val="12.0"/>
      <color theme="1"/>
      <name val="Arial"/>
      <scheme val="minor"/>
    </font>
    <font>
      <b/>
      <sz val="12.0"/>
      <color rgb="FFFFFFFF"/>
      <name val="Arial"/>
    </font>
    <font>
      <b/>
      <sz val="12.0"/>
      <color rgb="FF013395"/>
      <name val="DM Sans"/>
    </font>
    <font>
      <sz val="12.0"/>
      <color rgb="FFFF0000"/>
      <name val="Arial"/>
      <scheme val="minor"/>
    </font>
    <font>
      <sz val="12.0"/>
      <color rgb="FF000000"/>
      <name val="DM Sans"/>
    </font>
    <font>
      <color rgb="FFFF0000"/>
      <name val="Georgia"/>
    </font>
    <font>
      <b/>
      <sz val="12.0"/>
      <color rgb="FFFFFFFF"/>
      <name val="Arial"/>
      <scheme val="minor"/>
    </font>
    <font>
      <sz val="12.0"/>
      <color theme="1"/>
      <name val="DM Sans"/>
    </font>
    <font>
      <u/>
      <sz val="12.0"/>
      <color rgb="FF0000FF"/>
      <name val="DM Sans"/>
    </font>
    <font>
      <b/>
      <sz val="12.0"/>
      <color rgb="FF05B2FC"/>
      <name val="Arial"/>
    </font>
    <font>
      <b/>
      <color rgb="FFFFFFFF"/>
      <name val="Georgia"/>
    </font>
    <font>
      <b/>
      <color rgb="FFFFFFFF"/>
      <name val="Arial"/>
      <scheme val="minor"/>
    </font>
    <font>
      <color rgb="FF000000"/>
      <name val="Georgia"/>
    </font>
    <font>
      <strike/>
      <color theme="7"/>
      <name val="Georgia"/>
    </font>
    <font>
      <color rgb="FF000000"/>
      <name val="Arial"/>
      <scheme val="minor"/>
    </font>
    <font>
      <color theme="7"/>
      <name val="Arial"/>
      <scheme val="minor"/>
    </font>
    <font>
      <b/>
      <color theme="1"/>
      <name val="Arial"/>
      <scheme val="minor"/>
    </font>
    <font>
      <color theme="5"/>
      <name val="Georgia"/>
    </font>
    <font>
      <strike/>
      <color rgb="FF999999"/>
      <name val="Georgia"/>
    </font>
    <font>
      <color rgb="FFFF9900"/>
      <name val="Arial"/>
      <scheme val="minor"/>
    </font>
    <font>
      <color rgb="FFFF0000"/>
      <name val="Arial"/>
      <scheme val="minor"/>
    </font>
    <font>
      <b/>
      <sz val="11.0"/>
      <color theme="1"/>
      <name val="Arial"/>
      <scheme val="minor"/>
    </font>
    <font>
      <u/>
      <sz val="12.0"/>
      <color rgb="FF000000"/>
      <name val="DM Sans"/>
    </font>
    <font>
      <u/>
      <color rgb="FF0000FF"/>
    </font>
    <font>
      <sz val="11.0"/>
      <color theme="1"/>
      <name val="Arial"/>
      <scheme val="minor"/>
    </font>
    <font>
      <u/>
      <sz val="12.0"/>
      <color rgb="FF0000FF"/>
      <name val="DM Sans"/>
    </font>
    <font>
      <u/>
      <sz val="14.0"/>
      <color rgb="FF1155CC"/>
      <name val="DM Sans"/>
    </font>
    <font>
      <sz val="14.0"/>
      <color rgb="FF4285F4"/>
      <name val="DM Sans"/>
    </font>
    <font>
      <sz val="14.0"/>
      <color theme="4"/>
      <name val="DM Sans"/>
    </font>
    <font>
      <b/>
      <sz val="14.0"/>
      <color rgb="FF000000"/>
      <name val="DM Sans"/>
    </font>
    <font>
      <sz val="14.0"/>
      <color rgb="FF0000FF"/>
      <name val="DM Sans"/>
    </font>
    <font>
      <u/>
      <sz val="14.0"/>
      <color rgb="FF0000FF"/>
      <name val="DM Sans"/>
    </font>
  </fonts>
  <fills count="20">
    <fill>
      <patternFill patternType="none"/>
    </fill>
    <fill>
      <patternFill patternType="lightGray"/>
    </fill>
    <fill>
      <patternFill patternType="solid">
        <fgColor theme="9"/>
        <bgColor theme="9"/>
      </patternFill>
    </fill>
    <fill>
      <patternFill patternType="solid">
        <fgColor rgb="FF84CCC6"/>
        <bgColor rgb="FF84CCC6"/>
      </patternFill>
    </fill>
    <fill>
      <patternFill patternType="solid">
        <fgColor rgb="FFEEFAFF"/>
        <bgColor rgb="FFEEFAFF"/>
      </patternFill>
    </fill>
    <fill>
      <patternFill patternType="solid">
        <fgColor rgb="FFD9D9D9"/>
        <bgColor rgb="FFD9D9D9"/>
      </patternFill>
    </fill>
    <fill>
      <patternFill patternType="solid">
        <fgColor rgb="FF4285F4"/>
        <bgColor rgb="FF4285F4"/>
      </patternFill>
    </fill>
    <fill>
      <patternFill patternType="solid">
        <fgColor theme="5"/>
        <bgColor theme="5"/>
      </patternFill>
    </fill>
    <fill>
      <patternFill patternType="solid">
        <fgColor theme="8"/>
        <bgColor theme="8"/>
      </patternFill>
    </fill>
    <fill>
      <patternFill patternType="solid">
        <fgColor rgb="FFCBEFFF"/>
        <bgColor rgb="FFCBEFFF"/>
      </patternFill>
    </fill>
    <fill>
      <patternFill patternType="solid">
        <fgColor rgb="FFFF9900"/>
        <bgColor rgb="FFFF9900"/>
      </patternFill>
    </fill>
    <fill>
      <patternFill patternType="solid">
        <fgColor theme="6"/>
        <bgColor theme="6"/>
      </patternFill>
    </fill>
    <fill>
      <patternFill patternType="solid">
        <fgColor rgb="FFFFFF00"/>
        <bgColor rgb="FFFFFF00"/>
      </patternFill>
    </fill>
    <fill>
      <patternFill patternType="solid">
        <fgColor rgb="FFF3F3F3"/>
        <bgColor rgb="FFF3F3F3"/>
      </patternFill>
    </fill>
    <fill>
      <patternFill patternType="solid">
        <fgColor rgb="FFFFE599"/>
        <bgColor rgb="FFFFE599"/>
      </patternFill>
    </fill>
    <fill>
      <patternFill patternType="solid">
        <fgColor rgb="FFEFEFEF"/>
        <bgColor rgb="FFEFEFEF"/>
      </patternFill>
    </fill>
    <fill>
      <patternFill patternType="solid">
        <fgColor rgb="FF000000"/>
        <bgColor rgb="FF000000"/>
      </patternFill>
    </fill>
    <fill>
      <patternFill patternType="solid">
        <fgColor rgb="FF05B2FC"/>
        <bgColor rgb="FF05B2FC"/>
      </patternFill>
    </fill>
    <fill>
      <patternFill patternType="solid">
        <fgColor rgb="FF081336"/>
        <bgColor rgb="FF081336"/>
      </patternFill>
    </fill>
    <fill>
      <patternFill patternType="solid">
        <fgColor rgb="FFFFF1C6"/>
        <bgColor rgb="FFFFF1C6"/>
      </patternFill>
    </fill>
  </fills>
  <borders count="66">
    <border/>
    <border>
      <bottom style="thin">
        <color rgb="FF999999"/>
      </bottom>
    </border>
    <border>
      <left style="thick">
        <color rgb="FF999999"/>
      </left>
    </border>
    <border>
      <left style="thin">
        <color rgb="FFCCCCCC"/>
      </left>
    </border>
    <border>
      <left style="thin">
        <color rgb="FFCCCCCC"/>
      </left>
      <right style="thin">
        <color rgb="FFCCCCCC"/>
      </right>
    </border>
    <border>
      <left style="thin">
        <color rgb="FFCCCCCC"/>
      </left>
      <right style="thick">
        <color rgb="FF999999"/>
      </right>
    </border>
    <border>
      <left style="thick">
        <color rgb="FF999999"/>
      </left>
      <right style="thin">
        <color rgb="FFCCCCCC"/>
      </right>
    </border>
    <border>
      <right style="thin">
        <color rgb="FFCCCCCC"/>
      </right>
    </border>
    <border>
      <right style="thick">
        <color rgb="FF999999"/>
      </right>
    </border>
    <border>
      <left style="thin">
        <color rgb="FF666666"/>
      </left>
      <top style="thin">
        <color rgb="FF666666"/>
      </top>
      <bottom style="dotted">
        <color rgb="FF000000"/>
      </bottom>
    </border>
    <border>
      <left style="thick">
        <color rgb="FF999999"/>
      </left>
      <top style="thick">
        <color rgb="FF999999"/>
      </top>
    </border>
    <border>
      <top style="thin">
        <color rgb="FF666666"/>
      </top>
      <bottom style="dotted">
        <color rgb="FF000000"/>
      </bottom>
    </border>
    <border>
      <top style="thick">
        <color rgb="FF999999"/>
      </top>
    </border>
    <border>
      <right style="thick">
        <color rgb="FF999999"/>
      </right>
      <top style="thick">
        <color rgb="FF999999"/>
      </top>
    </border>
    <border>
      <right style="thick">
        <color rgb="FF999999"/>
      </right>
      <top style="thin">
        <color rgb="FF666666"/>
      </top>
      <bottom style="dotted">
        <color rgb="FF000000"/>
      </bottom>
    </border>
    <border>
      <left style="thick">
        <color rgb="FF999999"/>
      </left>
      <top style="medium">
        <color rgb="FF999999"/>
      </top>
      <bottom style="medium">
        <color rgb="FF999999"/>
      </bottom>
    </border>
    <border>
      <top style="medium">
        <color rgb="FF999999"/>
      </top>
      <bottom style="medium">
        <color rgb="FF999999"/>
      </bottom>
    </border>
    <border>
      <right style="thick">
        <color rgb="FF999999"/>
      </right>
      <top style="medium">
        <color rgb="FF999999"/>
      </top>
      <bottom style="medium">
        <color rgb="FF999999"/>
      </bottom>
    </border>
    <border>
      <left style="thin">
        <color rgb="FF000000"/>
      </left>
      <top style="thin">
        <color rgb="FF000000"/>
      </top>
    </border>
    <border>
      <top style="thin">
        <color rgb="FF000000"/>
      </top>
    </border>
    <border>
      <left style="thin">
        <color rgb="FF666666"/>
      </left>
      <top style="dotted">
        <color rgb="FF000000"/>
      </top>
      <bottom style="thick">
        <color rgb="FF999999"/>
      </bottom>
    </border>
    <border>
      <right style="thin">
        <color rgb="FF000000"/>
      </right>
      <top style="thin">
        <color rgb="FF000000"/>
      </top>
    </border>
    <border>
      <bottom style="dotted">
        <color rgb="FF999999"/>
      </bottom>
    </border>
    <border>
      <top style="dotted">
        <color rgb="FF000000"/>
      </top>
      <bottom style="thick">
        <color rgb="FF999999"/>
      </bottom>
    </border>
    <border>
      <right style="thick">
        <color rgb="FF999999"/>
      </right>
      <top style="dotted">
        <color rgb="FF000000"/>
      </top>
      <bottom style="thick">
        <color rgb="FF999999"/>
      </bottom>
    </border>
    <border>
      <right style="thick">
        <color rgb="FF999999"/>
      </right>
      <bottom style="dotted">
        <color rgb="FF999999"/>
      </bottom>
    </border>
    <border>
      <left style="thick">
        <color rgb="FF999999"/>
      </left>
      <bottom style="medium">
        <color rgb="FF999999"/>
      </bottom>
    </border>
    <border>
      <top style="dotted">
        <color rgb="FF999999"/>
      </top>
      <bottom style="medium">
        <color rgb="FF999999"/>
      </bottom>
    </border>
    <border>
      <left style="thick">
        <color rgb="FF999999"/>
      </left>
      <top style="thick">
        <color rgb="FF999999"/>
      </top>
      <bottom style="dotted">
        <color rgb="FFFBBC04"/>
      </bottom>
    </border>
    <border>
      <top style="thick">
        <color rgb="FF999999"/>
      </top>
      <bottom style="dotted">
        <color rgb="FFFBBC04"/>
      </bottom>
    </border>
    <border>
      <right style="thick">
        <color rgb="FF999999"/>
      </right>
      <top style="thick">
        <color rgb="FF999999"/>
      </top>
      <bottom style="dotted">
        <color rgb="FFFBBC04"/>
      </bottom>
    </border>
    <border>
      <right style="thick">
        <color rgb="FF999999"/>
      </right>
      <top style="dotted">
        <color rgb="FF999999"/>
      </top>
      <bottom style="medium">
        <color rgb="FF999999"/>
      </bottom>
    </border>
    <border>
      <left style="thick">
        <color rgb="FF999999"/>
      </left>
      <top style="dotted">
        <color rgb="FFFBBC04"/>
      </top>
      <bottom style="dotted">
        <color rgb="FFFBBC04"/>
      </bottom>
    </border>
    <border>
      <top style="dotted">
        <color rgb="FFFBBC04"/>
      </top>
      <bottom style="dotted">
        <color rgb="FFFBBC04"/>
      </bottom>
    </border>
    <border>
      <right style="thick">
        <color rgb="FF999999"/>
      </right>
      <top style="dotted">
        <color rgb="FFFBBC04"/>
      </top>
      <bottom style="dotted">
        <color rgb="FFFBBC04"/>
      </bottom>
    </border>
    <border>
      <top style="dotted">
        <color rgb="FF999999"/>
      </top>
      <bottom style="dotted">
        <color rgb="FF999999"/>
      </bottom>
    </border>
    <border>
      <left style="thick">
        <color rgb="FF999999"/>
      </left>
      <top style="dotted">
        <color rgb="FFFBBC04"/>
      </top>
    </border>
    <border>
      <top style="dotted">
        <color rgb="FFFBBC04"/>
      </top>
    </border>
    <border>
      <right style="thick">
        <color rgb="FF999999"/>
      </right>
      <top style="dotted">
        <color rgb="FF999999"/>
      </top>
      <bottom style="dotted">
        <color rgb="FF999999"/>
      </bottom>
    </border>
    <border>
      <right style="thick">
        <color rgb="FF999999"/>
      </right>
      <top style="dotted">
        <color rgb="FFFBBC04"/>
      </top>
    </border>
    <border>
      <left style="thick">
        <color rgb="FF999999"/>
      </left>
      <bottom style="thick">
        <color rgb="FF999999"/>
      </bottom>
    </border>
    <border>
      <top style="dotted">
        <color rgb="FF999999"/>
      </top>
      <bottom style="thick">
        <color rgb="FF999999"/>
      </bottom>
    </border>
    <border>
      <left style="thick">
        <color rgb="FF999999"/>
      </left>
      <top style="dotted">
        <color rgb="FFFBBC04"/>
      </top>
      <bottom style="thick">
        <color rgb="FF999999"/>
      </bottom>
    </border>
    <border>
      <top style="dotted">
        <color rgb="FFFBBC04"/>
      </top>
      <bottom style="thick">
        <color rgb="FF999999"/>
      </bottom>
    </border>
    <border>
      <right style="thick">
        <color rgb="FF999999"/>
      </right>
      <top style="dotted">
        <color rgb="FFFBBC04"/>
      </top>
      <bottom style="thick">
        <color rgb="FF999999"/>
      </bottom>
    </border>
    <border>
      <right style="thick">
        <color rgb="FF999999"/>
      </right>
      <top style="dotted">
        <color rgb="FF999999"/>
      </top>
      <bottom style="thick">
        <color rgb="FF999999"/>
      </bottom>
    </border>
    <border>
      <left style="thin">
        <color rgb="FF000000"/>
      </left>
    </border>
    <border>
      <right style="thin">
        <color rgb="FF000000"/>
      </right>
    </border>
    <border>
      <left style="thin">
        <color rgb="FFD9D9D9"/>
      </left>
      <right style="thick">
        <color rgb="FFD9D9D9"/>
      </right>
      <top style="thin">
        <color rgb="FFD9D9D9"/>
      </top>
    </border>
    <border>
      <right style="thin">
        <color rgb="FFD9D9D9"/>
      </right>
      <top style="thin">
        <color rgb="FFD9D9D9"/>
      </top>
      <bottom style="thick">
        <color rgb="FF999999"/>
      </bottom>
    </border>
    <border>
      <left style="thin">
        <color rgb="FFCCCCCC"/>
      </left>
      <right style="thick">
        <color rgb="FF999999"/>
      </right>
      <top style="thin">
        <color rgb="FFCCCCCC"/>
      </top>
      <bottom style="thin">
        <color rgb="FFCCCCCC"/>
      </bottom>
    </border>
    <border>
      <left style="thin">
        <color rgb="FFD9D9D9"/>
      </left>
      <right style="thin">
        <color rgb="FFD9D9D9"/>
      </right>
      <top style="thin">
        <color rgb="FFD9D9D9"/>
      </top>
      <bottom style="thick">
        <color rgb="FF999999"/>
      </bottom>
    </border>
    <border>
      <left style="thick">
        <color rgb="FF434343"/>
      </left>
      <right style="thick">
        <color rgb="FF434343"/>
      </right>
      <top style="thick">
        <color rgb="FF434343"/>
      </top>
      <bottom style="thick">
        <color rgb="FF434343"/>
      </bottom>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CCCCCC"/>
      </left>
      <top style="thin">
        <color rgb="FFCCCCCC"/>
      </top>
      <bottom style="thin">
        <color rgb="FFCCCCCC"/>
      </bottom>
    </border>
    <border>
      <left style="thin">
        <color rgb="FFD9D9D9"/>
      </left>
      <right style="thin">
        <color rgb="FFD9D9D9"/>
      </right>
      <top style="thin">
        <color rgb="FFD9D9D9"/>
      </top>
      <bottom style="thin">
        <color rgb="FFD9D9D9"/>
      </bottom>
    </border>
    <border>
      <bottom style="thick">
        <color rgb="FF999999"/>
      </bottom>
    </border>
    <border>
      <right style="thick">
        <color rgb="FF999999"/>
      </right>
      <bottom style="thick">
        <color rgb="FF999999"/>
      </bottom>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CCCCCC"/>
      </top>
      <bottom style="thin">
        <color rgb="FFCCCCCC"/>
      </bottom>
    </border>
    <border>
      <right style="thin">
        <color rgb="FFCCCCCC"/>
      </right>
      <top style="thin">
        <color rgb="FFCCCCCC"/>
      </top>
      <bottom style="thin">
        <color rgb="FFCCCCCC"/>
      </bottom>
    </border>
    <border>
      <right style="thick">
        <color rgb="FF999999"/>
      </right>
      <top style="thin">
        <color rgb="FFCCCCCC"/>
      </top>
      <bottom style="thin">
        <color rgb="FFCCCCCC"/>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Border="1" applyFont="1"/>
    <xf borderId="2" fillId="2" fontId="1" numFmtId="0" xfId="0" applyAlignment="1" applyBorder="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3" fillId="3" fontId="3" numFmtId="0" xfId="0" applyAlignment="1" applyBorder="1" applyFill="1" applyFont="1">
      <alignment horizontal="center" readingOrder="0" shrinkToFit="0" vertical="center" wrapText="1"/>
    </xf>
    <xf borderId="4" fillId="3" fontId="3" numFmtId="0" xfId="0" applyAlignment="1" applyBorder="1" applyFill="1" applyFont="1">
      <alignment horizontal="center" readingOrder="0" shrinkToFit="0" vertical="center" wrapText="1"/>
    </xf>
    <xf borderId="5" fillId="3" fontId="3" numFmtId="0" xfId="0" applyAlignment="1" applyBorder="1" applyFill="1" applyFont="1">
      <alignment horizontal="center" readingOrder="0" shrinkToFit="0" vertical="center" wrapText="1"/>
    </xf>
    <xf borderId="6" fillId="3" fontId="3" numFmtId="0" xfId="0" applyAlignment="1" applyBorder="1" applyFill="1" applyFont="1">
      <alignment horizontal="center" readingOrder="0" shrinkToFit="0" vertical="center" wrapText="1"/>
    </xf>
    <xf borderId="7" fillId="3" fontId="3"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0" fillId="4" fontId="4" numFmtId="0" xfId="0" applyAlignment="1" applyFill="1" applyFont="1">
      <alignment horizontal="center" vertical="center"/>
    </xf>
    <xf borderId="0" fillId="4" fontId="4" numFmtId="0" xfId="0" applyAlignment="1" applyFill="1" applyFont="1">
      <alignment horizontal="center" shrinkToFit="0" vertical="center" wrapText="1"/>
    </xf>
    <xf borderId="0" fillId="0" fontId="5" numFmtId="0" xfId="0" applyAlignment="1" applyFont="1">
      <alignment horizontal="center" readingOrder="0" shrinkToFit="0" vertical="center" wrapText="1"/>
    </xf>
    <xf borderId="0" fillId="4" fontId="4" numFmtId="0" xfId="0" applyAlignment="1" applyFill="1" applyFont="1">
      <alignment horizontal="center" readingOrder="0" shrinkToFit="0" vertical="center" wrapText="1"/>
    </xf>
    <xf borderId="0" fillId="0" fontId="4" numFmtId="0" xfId="0" applyAlignment="1" applyFont="1">
      <alignment horizontal="left" readingOrder="0" shrinkToFit="0" vertical="center" wrapText="1"/>
    </xf>
    <xf borderId="2" fillId="0" fontId="4" numFmtId="0" xfId="0" applyAlignment="1" applyBorder="1" applyFont="1">
      <alignment horizontal="left" readingOrder="0" shrinkToFit="0" vertical="center" wrapText="1"/>
    </xf>
    <xf borderId="8" fillId="0" fontId="4" numFmtId="0" xfId="0" applyAlignment="1" applyBorder="1" applyFont="1">
      <alignment horizontal="left" readingOrder="0" shrinkToFit="0" vertical="center" wrapText="1"/>
    </xf>
    <xf borderId="9" fillId="5" fontId="6" numFmtId="0" xfId="0" applyAlignment="1" applyBorder="1" applyFill="1" applyFont="1">
      <alignment horizontal="left" readingOrder="0" shrinkToFit="0" vertical="center" wrapText="1"/>
    </xf>
    <xf borderId="10" fillId="6" fontId="7" numFmtId="0" xfId="0" applyAlignment="1" applyBorder="1" applyFill="1" applyFont="1">
      <alignment horizontal="center" shrinkToFit="0" vertical="center" wrapText="1"/>
    </xf>
    <xf borderId="11" fillId="0" fontId="2" numFmtId="0" xfId="0" applyBorder="1" applyFont="1"/>
    <xf borderId="12" fillId="0" fontId="2" numFmtId="0" xfId="0" applyBorder="1" applyFont="1"/>
    <xf borderId="0" fillId="7" fontId="8" numFmtId="0" xfId="0" applyAlignment="1" applyFill="1" applyFont="1">
      <alignment readingOrder="0"/>
    </xf>
    <xf borderId="13" fillId="0" fontId="2" numFmtId="0" xfId="0" applyBorder="1" applyFont="1"/>
    <xf borderId="14" fillId="0" fontId="2" numFmtId="0" xfId="0" applyBorder="1" applyFont="1"/>
    <xf borderId="0" fillId="0" fontId="9" numFmtId="0" xfId="0" applyAlignment="1" applyFont="1">
      <alignment vertical="center"/>
    </xf>
    <xf borderId="0" fillId="8" fontId="10" numFmtId="0" xfId="0" applyAlignment="1" applyFill="1" applyFont="1">
      <alignment readingOrder="0"/>
    </xf>
    <xf borderId="2" fillId="9" fontId="11" numFmtId="0" xfId="0" applyAlignment="1" applyBorder="1" applyFill="1" applyFont="1">
      <alignment vertical="center"/>
    </xf>
    <xf borderId="0" fillId="10" fontId="10" numFmtId="0" xfId="0" applyAlignment="1" applyFill="1" applyFont="1">
      <alignment readingOrder="0"/>
    </xf>
    <xf borderId="0" fillId="9" fontId="12" numFmtId="0" xfId="0" applyAlignment="1" applyFill="1" applyFont="1">
      <alignment horizontal="center" shrinkToFit="0" vertical="center" wrapText="1"/>
    </xf>
    <xf borderId="0" fillId="11" fontId="10" numFmtId="0" xfId="0" applyAlignment="1" applyFill="1" applyFont="1">
      <alignment readingOrder="0"/>
    </xf>
    <xf borderId="8" fillId="9" fontId="12" numFmtId="0" xfId="0" applyAlignment="1" applyBorder="1" applyFill="1" applyFont="1">
      <alignment horizontal="center" shrinkToFit="0" vertical="center" wrapText="1"/>
    </xf>
    <xf borderId="0" fillId="12" fontId="10" numFmtId="0" xfId="0" applyAlignment="1" applyFill="1" applyFont="1">
      <alignment readingOrder="0"/>
    </xf>
    <xf borderId="15" fillId="13" fontId="12" numFmtId="0" xfId="0" applyAlignment="1" applyBorder="1" applyFill="1" applyFont="1">
      <alignment readingOrder="0" shrinkToFit="0" vertical="center" wrapText="1"/>
    </xf>
    <xf borderId="0" fillId="7" fontId="13" numFmtId="0" xfId="0" applyAlignment="1" applyFill="1" applyFont="1">
      <alignment readingOrder="0"/>
    </xf>
    <xf borderId="16" fillId="0" fontId="14"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0" fillId="0" fontId="10" numFmtId="0" xfId="0" applyFont="1"/>
    <xf borderId="16" fillId="0" fontId="12" numFmtId="0" xfId="0" applyAlignment="1" applyBorder="1" applyFont="1">
      <alignment readingOrder="0" shrinkToFit="0" vertical="center" wrapText="1"/>
    </xf>
    <xf borderId="17" fillId="0" fontId="12" numFmtId="0" xfId="0" applyAlignment="1" applyBorder="1" applyFont="1">
      <alignment shrinkToFit="0" vertical="center" wrapText="1"/>
    </xf>
    <xf borderId="18" fillId="14" fontId="15" numFmtId="0" xfId="0" applyAlignment="1" applyBorder="1" applyFill="1" applyFont="1">
      <alignment horizontal="center" readingOrder="0"/>
    </xf>
    <xf borderId="2" fillId="15" fontId="12" numFmtId="0" xfId="0" applyAlignment="1" applyBorder="1" applyFill="1" applyFont="1">
      <alignment shrinkToFit="0" vertical="center" wrapText="1"/>
    </xf>
    <xf borderId="19" fillId="0" fontId="2" numFmtId="0" xfId="0" applyBorder="1" applyFont="1"/>
    <xf borderId="20" fillId="9" fontId="4" numFmtId="0" xfId="0" applyAlignment="1" applyBorder="1" applyFill="1" applyFont="1">
      <alignment horizontal="left" readingOrder="0" shrinkToFit="0" vertical="center" wrapText="1"/>
    </xf>
    <xf borderId="21" fillId="0" fontId="2" numFmtId="0" xfId="0" applyBorder="1" applyFont="1"/>
    <xf borderId="22" fillId="0" fontId="12" numFmtId="0" xfId="0" applyAlignment="1" applyBorder="1" applyFont="1">
      <alignment horizontal="center" shrinkToFit="0" vertical="center" wrapText="1"/>
    </xf>
    <xf borderId="23" fillId="0" fontId="2" numFmtId="0" xfId="0" applyBorder="1" applyFont="1"/>
    <xf borderId="0" fillId="0" fontId="13" numFmtId="0" xfId="0" applyAlignment="1" applyFont="1">
      <alignment readingOrder="0"/>
    </xf>
    <xf borderId="22" fillId="0" fontId="12" numFmtId="0" xfId="0" applyAlignment="1" applyBorder="1" applyFont="1">
      <alignment readingOrder="0" shrinkToFit="0" vertical="center" wrapText="1"/>
    </xf>
    <xf borderId="24" fillId="0" fontId="2" numFmtId="0" xfId="0" applyBorder="1" applyFont="1"/>
    <xf borderId="0" fillId="0" fontId="4" numFmtId="164" xfId="0" applyAlignment="1" applyFont="1" applyNumberFormat="1">
      <alignment horizontal="center" readingOrder="0" shrinkToFit="0" vertical="center" wrapText="1"/>
    </xf>
    <xf borderId="25" fillId="0" fontId="12" numFmtId="0" xfId="0" applyAlignment="1" applyBorder="1" applyFont="1">
      <alignment shrinkToFit="0" vertical="center" wrapText="1"/>
    </xf>
    <xf borderId="26" fillId="0" fontId="2" numFmtId="0" xfId="0" applyBorder="1" applyFont="1"/>
    <xf borderId="27" fillId="0" fontId="12" numFmtId="0" xfId="0" applyAlignment="1" applyBorder="1" applyFont="1">
      <alignment horizontal="center" shrinkToFit="0" vertical="center" wrapText="1"/>
    </xf>
    <xf borderId="28" fillId="11" fontId="6" numFmtId="0" xfId="0" applyAlignment="1" applyBorder="1" applyFill="1" applyFont="1">
      <alignment horizontal="left" readingOrder="0" shrinkToFit="0" vertical="center" wrapText="1"/>
    </xf>
    <xf borderId="27" fillId="0" fontId="12" numFmtId="0" xfId="0" applyAlignment="1" applyBorder="1" applyFont="1">
      <alignment readingOrder="0" shrinkToFit="0" vertical="center" wrapText="1"/>
    </xf>
    <xf borderId="29" fillId="0" fontId="2" numFmtId="0" xfId="0" applyBorder="1" applyFont="1"/>
    <xf borderId="30" fillId="0" fontId="2" numFmtId="0" xfId="0" applyBorder="1" applyFont="1"/>
    <xf borderId="31" fillId="0" fontId="12" numFmtId="0" xfId="0" applyAlignment="1" applyBorder="1" applyFont="1">
      <alignment shrinkToFit="0" vertical="center" wrapText="1"/>
    </xf>
    <xf borderId="18" fillId="14" fontId="8" numFmtId="0" xfId="0" applyAlignment="1" applyBorder="1" applyFill="1" applyFont="1">
      <alignment readingOrder="0"/>
    </xf>
    <xf borderId="2" fillId="13" fontId="12" numFmtId="0" xfId="0" applyAlignment="1" applyBorder="1" applyFill="1" applyFont="1">
      <alignment shrinkToFit="0" vertical="center" wrapText="1"/>
    </xf>
    <xf borderId="32" fillId="11" fontId="4" numFmtId="0" xfId="0" applyAlignment="1" applyBorder="1" applyFill="1" applyFont="1">
      <alignment horizontal="left" readingOrder="0" shrinkToFit="0" vertical="center" wrapText="1"/>
    </xf>
    <xf borderId="33" fillId="0" fontId="2" numFmtId="0" xfId="0" applyBorder="1" applyFont="1"/>
    <xf borderId="19" fillId="14" fontId="10" numFmtId="0" xfId="0" applyAlignment="1" applyBorder="1" applyFill="1" applyFont="1">
      <alignment readingOrder="0"/>
    </xf>
    <xf borderId="34" fillId="0" fontId="2" numFmtId="0" xfId="0" applyBorder="1" applyFont="1"/>
    <xf borderId="2" fillId="0" fontId="2" numFmtId="0" xfId="0" applyBorder="1" applyFont="1"/>
    <xf borderId="35" fillId="0" fontId="12" numFmtId="0" xfId="0" applyAlignment="1" applyBorder="1" applyFont="1">
      <alignment horizontal="center" shrinkToFit="0" vertical="center" wrapText="1"/>
    </xf>
    <xf borderId="35" fillId="0" fontId="12" numFmtId="0" xfId="0" applyAlignment="1" applyBorder="1" applyFont="1">
      <alignment readingOrder="0" shrinkToFit="0" vertical="center" wrapText="1"/>
    </xf>
    <xf borderId="36" fillId="11" fontId="4" numFmtId="0" xfId="0" applyAlignment="1" applyBorder="1" applyFill="1" applyFont="1">
      <alignment horizontal="left" readingOrder="0" shrinkToFit="0" vertical="center" wrapText="1"/>
    </xf>
    <xf borderId="0" fillId="4" fontId="16" numFmtId="0" xfId="0" applyAlignment="1" applyFill="1" applyFont="1">
      <alignment horizontal="center" readingOrder="0" shrinkToFit="0" vertical="center" wrapText="1"/>
    </xf>
    <xf borderId="37" fillId="0" fontId="2" numFmtId="0" xfId="0" applyBorder="1" applyFont="1"/>
    <xf borderId="38" fillId="0" fontId="12" numFmtId="0" xfId="0" applyAlignment="1" applyBorder="1" applyFont="1">
      <alignment shrinkToFit="0" vertical="center" wrapText="1"/>
    </xf>
    <xf borderId="39" fillId="0" fontId="2" numFmtId="0" xfId="0" applyBorder="1" applyFont="1"/>
    <xf borderId="40" fillId="0" fontId="2" numFmtId="0" xfId="0" applyBorder="1" applyFont="1"/>
    <xf borderId="2" fillId="0" fontId="4" numFmtId="0" xfId="0" applyAlignment="1" applyBorder="1" applyFont="1">
      <alignment horizontal="left" readingOrder="0" shrinkToFit="0" vertical="center" wrapText="1"/>
    </xf>
    <xf borderId="41" fillId="0" fontId="12" numFmtId="0" xfId="0" applyAlignment="1" applyBorder="1" applyFont="1">
      <alignment horizontal="center" shrinkToFit="0" vertical="center" wrapText="1"/>
    </xf>
    <xf borderId="42" fillId="11" fontId="4" numFmtId="0" xfId="0" applyAlignment="1" applyBorder="1" applyFill="1" applyFont="1">
      <alignment horizontal="left" readingOrder="0" shrinkToFit="0" vertical="center" wrapText="1"/>
    </xf>
    <xf borderId="43" fillId="0" fontId="2" numFmtId="0" xfId="0" applyBorder="1" applyFont="1"/>
    <xf borderId="41" fillId="0" fontId="12" numFmtId="0" xfId="0" applyAlignment="1" applyBorder="1" applyFont="1">
      <alignment shrinkToFit="0" vertical="center" wrapText="1"/>
    </xf>
    <xf borderId="44" fillId="0" fontId="2" numFmtId="0" xfId="0" applyBorder="1" applyFont="1"/>
    <xf borderId="45" fillId="0" fontId="12" numFmtId="0" xfId="0" applyAlignment="1" applyBorder="1" applyFont="1">
      <alignment shrinkToFit="0" vertical="center" wrapText="1"/>
    </xf>
    <xf borderId="21" fillId="14" fontId="10" numFmtId="0" xfId="0" applyAlignment="1" applyBorder="1" applyFill="1" applyFont="1">
      <alignment readingOrder="0"/>
    </xf>
    <xf borderId="46" fillId="0" fontId="10" numFmtId="0" xfId="0" applyAlignment="1" applyBorder="1" applyFont="1">
      <alignment readingOrder="0"/>
    </xf>
    <xf borderId="0" fillId="0" fontId="10" numFmtId="0" xfId="0" applyAlignment="1" applyFont="1">
      <alignment horizontal="center" readingOrder="0"/>
    </xf>
    <xf borderId="0" fillId="0" fontId="17" numFmtId="0" xfId="0" applyAlignment="1" applyFont="1">
      <alignment readingOrder="0"/>
    </xf>
    <xf borderId="47" fillId="0" fontId="18" numFmtId="0" xfId="0" applyAlignment="1" applyBorder="1" applyFont="1">
      <alignment readingOrder="0"/>
    </xf>
    <xf borderId="0" fillId="0" fontId="10" numFmtId="165" xfId="0" applyAlignment="1" applyFont="1" applyNumberFormat="1">
      <alignment readingOrder="0"/>
    </xf>
    <xf borderId="0" fillId="0" fontId="10" numFmtId="166" xfId="0" applyAlignment="1" applyFont="1" applyNumberFormat="1">
      <alignment readingOrder="0"/>
    </xf>
    <xf borderId="0" fillId="0" fontId="5" numFmtId="167" xfId="0" applyAlignment="1" applyFont="1" applyNumberFormat="1">
      <alignment horizontal="center" readingOrder="0" shrinkToFit="0" vertical="center" wrapText="1"/>
    </xf>
    <xf borderId="46" fillId="14" fontId="8" numFmtId="0" xfId="0" applyAlignment="1" applyBorder="1" applyFill="1" applyFont="1">
      <alignment readingOrder="0"/>
    </xf>
    <xf borderId="0" fillId="14" fontId="10" numFmtId="0" xfId="0" applyAlignment="1" applyFill="1" applyFont="1">
      <alignment readingOrder="0"/>
    </xf>
    <xf borderId="0" fillId="0" fontId="19" numFmtId="0" xfId="0" applyAlignment="1" applyFont="1">
      <alignment vertical="center"/>
    </xf>
    <xf borderId="48" fillId="16" fontId="20" numFmtId="0" xfId="0" applyAlignment="1" applyBorder="1" applyFill="1" applyFont="1">
      <alignment horizontal="center" readingOrder="0" shrinkToFit="0" vertical="center" wrapText="1"/>
    </xf>
    <xf borderId="47" fillId="14" fontId="10" numFmtId="0" xfId="0" applyAlignment="1" applyBorder="1" applyFill="1" applyFont="1">
      <alignment readingOrder="0"/>
    </xf>
    <xf borderId="49" fillId="16" fontId="20" numFmtId="0" xfId="0" applyAlignment="1" applyBorder="1" applyFill="1" applyFont="1">
      <alignment horizontal="center" readingOrder="0" shrinkToFit="0" vertical="center" wrapText="1"/>
    </xf>
    <xf borderId="50" fillId="17" fontId="21" numFmtId="0" xfId="0" applyAlignment="1" applyBorder="1" applyFill="1" applyFont="1">
      <alignment horizontal="center" readingOrder="0" shrinkToFit="0" vertical="center" wrapText="1"/>
    </xf>
    <xf borderId="51" fillId="16" fontId="20" numFmtId="0" xfId="0" applyAlignment="1" applyBorder="1" applyFill="1" applyFont="1">
      <alignment horizontal="center" readingOrder="0" shrinkToFit="0" vertical="center" wrapText="1"/>
    </xf>
    <xf borderId="0" fillId="17" fontId="21" numFmtId="0" xfId="0" applyAlignment="1" applyFill="1" applyFont="1">
      <alignment horizontal="center" readingOrder="0" shrinkToFit="0" vertical="center" wrapText="1"/>
    </xf>
    <xf borderId="0" fillId="0" fontId="19" numFmtId="0" xfId="0" applyAlignment="1" applyFont="1">
      <alignment readingOrder="0" vertical="center"/>
    </xf>
    <xf borderId="52" fillId="18" fontId="20" numFmtId="0" xfId="0" applyAlignment="1" applyBorder="1" applyFill="1" applyFont="1">
      <alignment horizontal="left" readingOrder="0" shrinkToFit="0" vertical="center" wrapText="1"/>
    </xf>
    <xf borderId="53" fillId="0" fontId="22" numFmtId="0" xfId="0" applyAlignment="1" applyBorder="1" applyFont="1">
      <alignment horizontal="left" readingOrder="0" shrinkToFit="0" vertical="top" wrapText="1"/>
    </xf>
    <xf borderId="47" fillId="14" fontId="10" numFmtId="0" xfId="0" applyAlignment="1" applyBorder="1" applyFill="1" applyFont="1">
      <alignment readingOrder="0" shrinkToFit="0" wrapText="0"/>
    </xf>
    <xf borderId="50" fillId="0" fontId="23" numFmtId="0" xfId="0" applyAlignment="1" applyBorder="1" applyFont="1">
      <alignment horizontal="left" readingOrder="0" shrinkToFit="0" vertical="center" wrapText="1"/>
    </xf>
    <xf borderId="46" fillId="0" fontId="24" numFmtId="0" xfId="0" applyAlignment="1" applyBorder="1" applyFont="1">
      <alignment readingOrder="0"/>
    </xf>
    <xf borderId="54" fillId="0" fontId="19" numFmtId="0" xfId="0" applyAlignment="1" applyBorder="1" applyFont="1">
      <alignment horizontal="left" readingOrder="0" shrinkToFit="0" vertical="top" wrapText="1"/>
    </xf>
    <xf borderId="0" fillId="0" fontId="23" numFmtId="0" xfId="0" applyAlignment="1" applyFont="1">
      <alignment horizontal="left" readingOrder="0" shrinkToFit="0" vertical="center" wrapText="1"/>
    </xf>
    <xf borderId="0" fillId="0" fontId="24" numFmtId="0" xfId="0" applyAlignment="1" applyFont="1">
      <alignment horizontal="center" readingOrder="0"/>
    </xf>
    <xf borderId="54" fillId="0" fontId="19" numFmtId="0" xfId="0" applyAlignment="1" applyBorder="1" applyFont="1">
      <alignment horizontal="left" shrinkToFit="0" vertical="top" wrapText="1"/>
    </xf>
    <xf borderId="50" fillId="0" fontId="19" numFmtId="0" xfId="0" applyAlignment="1" applyBorder="1" applyFont="1">
      <alignment readingOrder="0" vertical="center"/>
    </xf>
    <xf borderId="52" fillId="18" fontId="25" numFmtId="0" xfId="0" applyAlignment="1" applyBorder="1" applyFill="1" applyFont="1">
      <alignment horizontal="left" readingOrder="0" shrinkToFit="0" vertical="top" wrapText="1"/>
    </xf>
    <xf borderId="50" fillId="0" fontId="26" numFmtId="0" xfId="0" applyAlignment="1" applyBorder="1" applyFont="1">
      <alignment horizontal="left" readingOrder="0" shrinkToFit="0" vertical="center" wrapText="1"/>
    </xf>
    <xf borderId="47" fillId="0" fontId="18" numFmtId="0" xfId="0" applyBorder="1" applyFont="1"/>
    <xf borderId="55" fillId="0" fontId="19" numFmtId="0" xfId="0" applyAlignment="1" applyBorder="1" applyFont="1">
      <alignment horizontal="left" readingOrder="0" shrinkToFit="0" vertical="top" wrapText="1"/>
    </xf>
    <xf borderId="56" fillId="0" fontId="26" numFmtId="0" xfId="0" applyAlignment="1" applyBorder="1" applyFont="1">
      <alignment horizontal="left" readingOrder="0" shrinkToFit="0" vertical="center" wrapText="1"/>
    </xf>
    <xf borderId="57" fillId="0" fontId="19" numFmtId="0" xfId="0" applyAlignment="1" applyBorder="1" applyFont="1">
      <alignment horizontal="left" readingOrder="0" shrinkToFit="0" vertical="top" wrapText="1"/>
    </xf>
    <xf borderId="57" fillId="0" fontId="19" numFmtId="0" xfId="0" applyAlignment="1" applyBorder="1" applyFont="1">
      <alignment horizontal="left" shrinkToFit="0" vertical="top" wrapText="1"/>
    </xf>
    <xf borderId="0" fillId="0" fontId="26" numFmtId="0" xfId="0" applyAlignment="1" applyFont="1">
      <alignment horizontal="left" readingOrder="0" shrinkToFit="0" vertical="center" wrapText="1"/>
    </xf>
    <xf borderId="0" fillId="0" fontId="26" numFmtId="0" xfId="0" applyAlignment="1" applyFont="1">
      <alignment horizontal="left" readingOrder="0" shrinkToFit="0" vertical="center" wrapText="1"/>
    </xf>
    <xf borderId="57" fillId="0" fontId="9" numFmtId="0" xfId="0" applyBorder="1" applyFont="1"/>
    <xf borderId="55" fillId="11" fontId="19" numFmtId="0" xfId="0" applyAlignment="1" applyBorder="1" applyFill="1" applyFont="1">
      <alignment horizontal="left" readingOrder="0" shrinkToFit="0" vertical="top" wrapText="1"/>
    </xf>
    <xf borderId="0" fillId="0" fontId="27" numFmtId="0" xfId="0" applyAlignment="1" applyFont="1">
      <alignment horizontal="left" readingOrder="0" shrinkToFit="0" vertical="center" wrapText="1"/>
    </xf>
    <xf borderId="0" fillId="4" fontId="4" numFmtId="0" xfId="0" applyAlignment="1" applyFill="1" applyFont="1">
      <alignment horizontal="center" readingOrder="0" vertical="center"/>
    </xf>
    <xf borderId="52" fillId="18" fontId="28" numFmtId="0" xfId="0" applyAlignment="1" applyBorder="1" applyFill="1" applyFont="1">
      <alignment horizontal="left" readingOrder="0" shrinkToFit="0" vertical="center" wrapText="1"/>
    </xf>
    <xf borderId="55" fillId="0" fontId="22" numFmtId="0" xfId="0" applyAlignment="1" applyBorder="1" applyFont="1">
      <alignment horizontal="left" readingOrder="0" shrinkToFit="0" vertical="top" wrapText="1"/>
    </xf>
    <xf borderId="10" fillId="10" fontId="29" numFmtId="0" xfId="0" applyAlignment="1" applyBorder="1" applyFill="1" applyFont="1">
      <alignment readingOrder="0"/>
    </xf>
    <xf borderId="13" fillId="0" fontId="18" numFmtId="0" xfId="0" applyAlignment="1" applyBorder="1" applyFont="1">
      <alignment readingOrder="0"/>
    </xf>
    <xf borderId="52" fillId="18" fontId="19" numFmtId="0" xfId="0" applyAlignment="1" applyBorder="1" applyFill="1" applyFont="1">
      <alignment horizontal="left" readingOrder="0" shrinkToFit="0" vertical="top" wrapText="1"/>
    </xf>
    <xf borderId="2" fillId="10" fontId="29" numFmtId="0" xfId="0" applyAlignment="1" applyBorder="1" applyFill="1" applyFont="1">
      <alignment readingOrder="0"/>
    </xf>
    <xf borderId="8" fillId="0" fontId="18" numFmtId="0" xfId="0" applyAlignment="1" applyBorder="1" applyFont="1">
      <alignment readingOrder="0"/>
    </xf>
    <xf borderId="46" fillId="14" fontId="10" numFmtId="0" xfId="0" applyBorder="1" applyFill="1" applyFont="1"/>
    <xf borderId="0" fillId="0" fontId="19" numFmtId="0" xfId="0" applyAlignment="1" applyFont="1">
      <alignment horizontal="left" readingOrder="0" shrinkToFit="0" vertical="top" wrapText="1"/>
    </xf>
    <xf borderId="0" fillId="0" fontId="19" numFmtId="0" xfId="0" applyAlignment="1" applyFont="1">
      <alignment horizontal="left" shrinkToFit="0" vertical="top" wrapText="1"/>
    </xf>
    <xf borderId="40" fillId="10" fontId="30" numFmtId="0" xfId="0" applyAlignment="1" applyBorder="1" applyFill="1" applyFont="1">
      <alignment readingOrder="0"/>
    </xf>
    <xf borderId="58" fillId="0" fontId="2" numFmtId="0" xfId="0" applyBorder="1" applyFont="1"/>
    <xf borderId="59" fillId="0" fontId="18" numFmtId="0" xfId="0" applyAlignment="1" applyBorder="1" applyFont="1">
      <alignment readingOrder="0"/>
    </xf>
    <xf borderId="0" fillId="14" fontId="10" numFmtId="0" xfId="0" applyFill="1" applyFont="1"/>
    <xf borderId="46" fillId="0" fontId="31" numFmtId="0" xfId="0" applyAlignment="1" applyBorder="1" applyFont="1">
      <alignment readingOrder="0"/>
    </xf>
    <xf borderId="47" fillId="0" fontId="32" numFmtId="0" xfId="0" applyAlignment="1" applyBorder="1" applyFont="1">
      <alignment readingOrder="0"/>
    </xf>
    <xf borderId="60" fillId="0" fontId="33" numFmtId="0" xfId="0" applyAlignment="1" applyBorder="1" applyFont="1">
      <alignment readingOrder="0"/>
    </xf>
    <xf borderId="61" fillId="0" fontId="2" numFmtId="0" xfId="0" applyBorder="1" applyFont="1"/>
    <xf borderId="62" fillId="0" fontId="34" numFmtId="0" xfId="0" applyBorder="1" applyFont="1"/>
    <xf borderId="0" fillId="0" fontId="9" numFmtId="0" xfId="0" applyAlignment="1" applyFont="1">
      <alignment readingOrder="0"/>
    </xf>
    <xf borderId="0" fillId="0" fontId="35" numFmtId="0" xfId="0" applyAlignment="1" applyFont="1">
      <alignment readingOrder="0"/>
    </xf>
    <xf borderId="47" fillId="14" fontId="36" numFmtId="0" xfId="0" applyAlignment="1" applyBorder="1" applyFill="1" applyFont="1">
      <alignment readingOrder="0"/>
    </xf>
    <xf borderId="0" fillId="0" fontId="37" numFmtId="0" xfId="0" applyAlignment="1" applyFont="1">
      <alignment readingOrder="0"/>
    </xf>
    <xf borderId="0" fillId="0" fontId="35" numFmtId="0" xfId="0" applyAlignment="1" applyFont="1">
      <alignment readingOrder="0" vertical="center"/>
    </xf>
    <xf borderId="0" fillId="0" fontId="37" numFmtId="0" xfId="0" applyAlignment="1" applyFont="1">
      <alignment horizontal="center" readingOrder="0"/>
    </xf>
    <xf borderId="0" fillId="0" fontId="33" numFmtId="0" xfId="0" applyAlignment="1" applyFont="1">
      <alignment readingOrder="0"/>
    </xf>
    <xf borderId="0" fillId="0" fontId="37" numFmtId="0" xfId="0" applyFont="1"/>
    <xf borderId="0" fillId="19" fontId="26" numFmtId="0" xfId="0" applyAlignment="1" applyFill="1" applyFont="1">
      <alignment horizontal="left" readingOrder="0" shrinkToFit="0" vertical="center" wrapText="1"/>
    </xf>
    <xf borderId="0" fillId="0" fontId="38" numFmtId="0" xfId="0" applyAlignment="1" applyFont="1">
      <alignment readingOrder="0"/>
    </xf>
    <xf borderId="47" fillId="14" fontId="10" numFmtId="0" xfId="0" applyBorder="1" applyFill="1" applyFont="1"/>
    <xf borderId="0" fillId="0" fontId="39" numFmtId="0" xfId="0" applyAlignment="1" applyFont="1">
      <alignment readingOrder="0"/>
    </xf>
    <xf borderId="0" fillId="0" fontId="9" numFmtId="0" xfId="0" applyAlignment="1" applyFont="1">
      <alignment readingOrder="0" shrinkToFit="0" wrapText="1"/>
    </xf>
    <xf borderId="0" fillId="0" fontId="33" numFmtId="0" xfId="0" applyAlignment="1" applyFont="1">
      <alignment readingOrder="0" shrinkToFit="0" wrapText="1"/>
    </xf>
    <xf borderId="0" fillId="0" fontId="35" numFmtId="0" xfId="0" applyAlignment="1" applyFont="1">
      <alignment horizontal="right" readingOrder="0"/>
    </xf>
    <xf borderId="0" fillId="0" fontId="35" numFmtId="0" xfId="0" applyFont="1"/>
    <xf borderId="0" fillId="0" fontId="10" numFmtId="0" xfId="0" applyAlignment="1" applyFont="1">
      <alignment readingOrder="0"/>
    </xf>
    <xf borderId="0" fillId="12" fontId="35" numFmtId="0" xfId="0" applyAlignment="1" applyFill="1" applyFont="1">
      <alignment readingOrder="0"/>
    </xf>
    <xf borderId="0" fillId="0" fontId="40" numFmtId="0" xfId="0" applyAlignment="1" applyFont="1">
      <alignment readingOrder="0"/>
    </xf>
    <xf borderId="0" fillId="0" fontId="41" numFmtId="0" xfId="0" applyAlignment="1" applyFont="1">
      <alignment horizontal="left" readingOrder="0" shrinkToFit="0" vertical="center" wrapText="1"/>
    </xf>
    <xf borderId="0" fillId="0" fontId="42" numFmtId="0" xfId="0" applyAlignment="1" applyFont="1">
      <alignment readingOrder="0"/>
    </xf>
    <xf borderId="0" fillId="0" fontId="43" numFmtId="0" xfId="0" applyAlignment="1" applyFont="1">
      <alignment readingOrder="0"/>
    </xf>
    <xf borderId="60" fillId="14" fontId="10" numFmtId="0" xfId="0" applyBorder="1" applyFill="1" applyFont="1"/>
    <xf borderId="61" fillId="14" fontId="10" numFmtId="0" xfId="0" applyBorder="1" applyFill="1" applyFont="1"/>
    <xf borderId="61" fillId="14" fontId="10" numFmtId="0" xfId="0" applyAlignment="1" applyBorder="1" applyFill="1" applyFont="1">
      <alignment readingOrder="0"/>
    </xf>
    <xf borderId="62" fillId="14" fontId="10" numFmtId="0" xfId="0" applyBorder="1" applyFill="1" applyFont="1"/>
    <xf borderId="0" fillId="0" fontId="44" numFmtId="0" xfId="0" applyAlignment="1" applyFont="1">
      <alignment horizontal="left" readingOrder="0" shrinkToFit="0" vertical="center" wrapText="1"/>
    </xf>
    <xf borderId="2" fillId="0" fontId="4" numFmtId="0" xfId="0" applyAlignment="1" applyBorder="1" applyFont="1">
      <alignment horizontal="left" shrinkToFit="0" vertical="center" wrapText="1"/>
    </xf>
    <xf borderId="0" fillId="4" fontId="5" numFmtId="0" xfId="0" applyAlignment="1" applyFill="1" applyFont="1">
      <alignment horizontal="center" readingOrder="0" shrinkToFit="0" vertical="center" wrapText="1"/>
    </xf>
    <xf borderId="0" fillId="0" fontId="4" numFmtId="166" xfId="0" applyAlignment="1" applyFont="1" applyNumberFormat="1">
      <alignment horizontal="center" readingOrder="0" shrinkToFit="0" vertical="center" wrapText="1"/>
    </xf>
    <xf borderId="2" fillId="0" fontId="4" numFmtId="0" xfId="0" applyAlignment="1" applyBorder="1" applyFont="1">
      <alignment horizontal="left" readingOrder="0" shrinkToFit="0" vertical="center" wrapText="1"/>
    </xf>
    <xf borderId="0" fillId="4" fontId="5" numFmtId="0" xfId="0" applyAlignment="1" applyFill="1" applyFont="1">
      <alignment horizontal="center" vertical="center"/>
    </xf>
    <xf borderId="0" fillId="4" fontId="5" numFmtId="0" xfId="0" applyAlignment="1" applyFill="1" applyFont="1">
      <alignment horizontal="center" shrinkToFit="0" vertical="center" wrapText="1"/>
    </xf>
    <xf borderId="0" fillId="0" fontId="5" numFmtId="0" xfId="0" applyAlignment="1" applyFont="1">
      <alignment horizontal="left" readingOrder="0" shrinkToFit="0" vertical="center" wrapText="1"/>
    </xf>
    <xf borderId="2" fillId="0" fontId="5" numFmtId="0" xfId="0" applyAlignment="1" applyBorder="1" applyFont="1">
      <alignment horizontal="left" shrinkToFit="0" vertical="center" wrapText="1"/>
    </xf>
    <xf borderId="8" fillId="0" fontId="5" numFmtId="0" xfId="0" applyAlignment="1" applyBorder="1" applyFont="1">
      <alignment horizontal="left" readingOrder="0" shrinkToFit="0" vertical="center" wrapText="1"/>
    </xf>
    <xf borderId="0" fillId="0" fontId="5" numFmtId="166" xfId="0" applyAlignment="1" applyFont="1" applyNumberFormat="1">
      <alignment horizontal="center" readingOrder="0" shrinkToFit="0" vertical="center" wrapText="1"/>
    </xf>
    <xf borderId="0" fillId="4" fontId="45" numFmtId="0" xfId="0" applyAlignment="1" applyFill="1" applyFont="1">
      <alignment horizontal="center" readingOrder="0" shrinkToFit="0" vertical="center" wrapText="1"/>
    </xf>
    <xf borderId="2" fillId="0" fontId="5" numFmtId="0" xfId="0" applyAlignment="1" applyBorder="1" applyFont="1">
      <alignment horizontal="left" readingOrder="0" shrinkToFit="0" vertical="center" wrapText="1"/>
    </xf>
    <xf borderId="0" fillId="0" fontId="46" numFmtId="0" xfId="0" applyAlignment="1" applyFont="1">
      <alignment horizontal="center" readingOrder="0" shrinkToFit="0" vertical="center" wrapText="1"/>
    </xf>
    <xf borderId="56" fillId="0" fontId="19" numFmtId="0" xfId="0" applyAlignment="1" applyBorder="1" applyFont="1">
      <alignment readingOrder="0" vertical="center"/>
    </xf>
    <xf borderId="0" fillId="0" fontId="4" numFmtId="165" xfId="0" applyAlignment="1" applyFont="1" applyNumberFormat="1">
      <alignment horizontal="center" readingOrder="0" shrinkToFit="0" vertical="center" wrapText="1"/>
    </xf>
    <xf borderId="56" fillId="0" fontId="23" numFmtId="0" xfId="0" applyAlignment="1" applyBorder="1" applyFont="1">
      <alignment horizontal="left" readingOrder="0" shrinkToFit="0" vertical="center" wrapText="1"/>
    </xf>
    <xf borderId="63" fillId="0" fontId="26" numFmtId="0" xfId="0" applyAlignment="1" applyBorder="1" applyFont="1">
      <alignment horizontal="left" readingOrder="0" shrinkToFit="0" vertical="center" wrapText="1"/>
    </xf>
    <xf borderId="0" fillId="0" fontId="5" numFmtId="165" xfId="0" applyAlignment="1" applyFont="1" applyNumberFormat="1">
      <alignment horizontal="center" readingOrder="0" shrinkToFit="0" vertical="center" wrapText="1"/>
    </xf>
    <xf borderId="0" fillId="0" fontId="26" numFmtId="0" xfId="0" applyAlignment="1" applyFont="1">
      <alignment horizontal="left" readingOrder="0" shrinkToFit="0" vertical="center" wrapText="1"/>
    </xf>
    <xf borderId="56" fillId="0" fontId="9" numFmtId="0" xfId="0" applyBorder="1" applyFont="1"/>
    <xf quotePrefix="1" borderId="2" fillId="0" fontId="4" numFmtId="0" xfId="0" applyAlignment="1" applyBorder="1" applyFont="1">
      <alignment horizontal="left" readingOrder="0" shrinkToFit="0" vertical="center" wrapText="1"/>
    </xf>
    <xf borderId="8" fillId="0" fontId="4" numFmtId="0" xfId="0" applyAlignment="1" applyBorder="1" applyFont="1">
      <alignment horizontal="center" shrinkToFit="0" vertical="center" wrapText="1"/>
    </xf>
    <xf borderId="0" fillId="0" fontId="47" numFmtId="0" xfId="0" applyAlignment="1" applyFont="1">
      <alignment horizontal="left" readingOrder="0" shrinkToFit="0" vertical="center" wrapText="1"/>
    </xf>
    <xf borderId="0" fillId="0" fontId="48"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0" fillId="4" fontId="4" numFmtId="0" xfId="0" applyAlignment="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49" numFmtId="0" xfId="0" applyAlignment="1" applyBorder="1" applyFont="1">
      <alignment horizontal="left"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5" numFmtId="165" xfId="0" applyAlignment="1" applyFont="1" applyNumberFormat="1">
      <alignment horizontal="center" readingOrder="0" shrinkToFit="0" vertical="center" wrapText="1"/>
    </xf>
    <xf borderId="2" fillId="0" fontId="50" numFmtId="0" xfId="0" applyAlignment="1" applyBorder="1" applyFont="1">
      <alignment horizontal="left" readingOrder="0" shrinkToFit="0" vertical="center" wrapText="1"/>
    </xf>
    <xf borderId="0" fillId="0" fontId="5" numFmtId="164" xfId="0" applyAlignment="1" applyFont="1" applyNumberFormat="1">
      <alignment horizontal="center" readingOrder="0" shrinkToFit="0" vertical="center" wrapText="1"/>
    </xf>
    <xf borderId="2" fillId="0" fontId="5" numFmtId="0" xfId="0" applyAlignment="1" applyBorder="1" applyFont="1">
      <alignment horizontal="left" readingOrder="0" shrinkToFit="0" vertical="center" wrapText="1"/>
    </xf>
    <xf borderId="8" fillId="0" fontId="47"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0" fillId="0" fontId="4" numFmtId="0" xfId="0" applyAlignment="1" applyFont="1">
      <alignment shrinkToFit="0" vertical="center" wrapText="1"/>
    </xf>
    <xf borderId="8" fillId="0" fontId="4" numFmtId="0" xfId="0" applyAlignment="1" applyBorder="1" applyFont="1">
      <alignment shrinkToFit="0" vertical="center" wrapText="1"/>
    </xf>
    <xf borderId="0" fillId="0" fontId="4" numFmtId="0" xfId="0" applyAlignment="1" applyFont="1">
      <alignment horizontal="center" readingOrder="0" vertical="center"/>
    </xf>
    <xf borderId="64" fillId="0" fontId="4" numFmtId="0" xfId="0" applyAlignment="1" applyBorder="1" applyFont="1">
      <alignment horizontal="left" readingOrder="0" shrinkToFit="0" vertical="center" wrapText="1"/>
    </xf>
    <xf borderId="65" fillId="0" fontId="4"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0" fillId="0" fontId="4" numFmtId="168" xfId="0" applyAlignment="1" applyFont="1" applyNumberFormat="1">
      <alignment horizontal="center" readingOrder="0" shrinkToFit="0" vertical="center" wrapText="1"/>
    </xf>
    <xf borderId="2" fillId="0" fontId="4" numFmtId="0" xfId="0" applyAlignment="1" applyBorder="1" applyFont="1">
      <alignment readingOrder="0" shrinkToFit="0" vertical="center" wrapText="1"/>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llena Miranda Franco" id="{15b88663-608e-45ba-9e59-bc9160b7245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5-07-17T11:48:33.00" personId="{15b88663-608e-45ba-9e59-bc9160b7245e}" id="{9000f9d2-be8d-4bd6-bedf-c8ca18357a93}" done="0">
    <x18tc:text xml:space="preserve">Esse foi um indicativo de greve dado pela Asbras, mas não temos vestígio de como e se ocorreu.</x18tc:text>
  </x18tc:threadedComment>
  <x18tc:threadedComment ref="I4" dT="2025-07-18T14:41:40.00" personId="{15b88663-608e-45ba-9e59-bc9160b7245e}" id="{6bb11391-2002-469f-9839-10a7f02d8887}" done="1">
    <x18tc:text xml:space="preserve">Artes Plásticas - https://acervo.folha.com.br/digital/leitor.do?numero=11864&amp;keyword=%22nuno+ramos%22&amp;anchor=4762698&amp;origem=busca&amp;originURL=&amp;maxTouch=0&amp;pd=109c7a37f05aeeb25560ca0940e3bc3a</x18tc:text>
    <x18tc:extLst>
      <ext uri="{F7C98A9C-CBB3-438F-8F68-D28B6AF4A901}">
        <xltc2:checksum/>
        <xltc2:hyperlink startIndex="18" length="169" url="https://acervo.folha.com.br/digital/leitor.do?numero=11864&amp;keyword=%22nuno+ramos%22&amp;anchor=4762698&amp;origem=busca&amp;originURL=&amp;maxTouch=0&amp;pd=109c7a37f05aeeb25560ca0940e3bc3a"/>
      </ext>
    </x18tc:extLst>
  </x18tc:threadedComment>
  <x18tc:threadedComment ref="R190" dT="2025-07-15T20:33:57.00" personId="{15b88663-608e-45ba-9e59-bc9160b7245e}" id="{5186ffea-5724-4f87-9483-5a4360e73353}" done="1">
    <x18tc:text xml:space="preserve">Problemas teóricos para a pesquisa empírica em direito e violência de estado1
Maíra Rocha Machado</x18tc:text>
  </x18tc:threadedComment>
  <x18tc:threadedComment ref="M190" dT="2025-07-15T20:34:14.00" personId="{15b88663-608e-45ba-9e59-bc9160b7245e}" id="{8e95bbcb-a6de-4a40-ab75-5665f8e5690a}" done="1">
    <x18tc:text xml:space="preserve">Problemas teóricos para a pesquisa empírica em direito e violência de estado1
Maíra Rocha Machado</x18tc:text>
  </x18tc:threadedComment>
  <x18tc:threadedComment ref="P190" dT="2025-07-15T20:34:22.00" personId="{15b88663-608e-45ba-9e59-bc9160b7245e}" id="{98ae40ae-f86a-4f33-8a5c-31abd9633b8d}" done="1">
    <x18tc:text xml:space="preserve">Problemas teóricos para a pesquisa empírica em direito e violência de estado1
Maíra Rocha Machado</x18tc:text>
  </x18tc:threadedComment>
  <x18tc:threadedComment ref="M72" dT="2025-07-16T16:31:35.00" personId="{15b88663-608e-45ba-9e59-bc9160b7245e}" id="{34be2997-f8f3-4ecd-9882-61fde01cccec}" done="1">
    <x18tc:text xml:space="preserve">Apareceu também em outros veículos. Foi uma manifestação bastante divulgada.</x18tc:text>
  </x18tc:threadedComment>
  <x18tc:threadedComment ref="O2" dT="2025-07-18T02:06:38.00" personId="{15b88663-608e-45ba-9e59-bc9160b7245e}" id="{06840078-6000-4136-8d7c-ffcd0dac0135}" done="1">
    <x18tc:text xml:space="preserve">Aplicada na chave de busca do Google ou da base de dados em específico (como no caso do Estadão e da Folha)</x18tc:text>
  </x18tc:threadedComment>
  <x18tc:threadedComment ref="A1" dT="2025-07-18T02:51:07.00" personId="{15b88663-608e-45ba-9e59-bc9160b7245e}" id="{a893f67b-013d-4ea9-b19e-0771bb8d55f0}" done="1">
    <x18tc:text xml:space="preserve">Melhor tentar buscar algum canal oficial da banda para citar?</x18tc:text>
  </x18tc:threadedComment>
  <x18tc:threadedComment ref="H173" dT="2025-07-19T00:07:35.00" personId="{15b88663-608e-45ba-9e59-bc9160b7245e}" id="{fa39fcd4-048e-41b0-a45a-3ea9bf72bf50}" done="1">
    <x18tc:text xml:space="preserve">programa que oferece alimentação, banheiro, banho, água potável e lavanderia, para a população em situação de rua.</x18tc:text>
  </x18tc:threadedComment>
  <x18tc:threadedComment ref="A1" dT="2025-07-18T15:31:06.00" personId="{15b88663-608e-45ba-9e59-bc9160b7245e}" id="{facd0155-f2d6-468a-a67f-68fb106b1807}" done="1">
    <x18tc:text xml:space="preserve">consertar essa categoria aqui</x18tc:text>
  </x18tc:threadedComment>
  <x18tc:threadedComment ref="A1" dT="2025-08-18T20:41:53.00" personId="{15b88663-608e-45ba-9e59-bc9160b7245e}" id="{18fe1b15-6d78-4ff5-b731-428254541dc7}" done="1">
    <x18tc:text xml:space="preserve">o que sou eu nomeando - o trecho o termo que aparece no veiculo - colocar entre aspas</x18tc:text>
  </x18tc:threadedComment>
  <x18tc:threadedComment ref="A1" dT="2025-10-11T01:30:43.00" personId="{15b88663-608e-45ba-9e59-bc9160b7245e}" id="{32f8d1f8-da2d-4d50-a3ac-9c43709687c1}" parentId="{18fe1b15-6d78-4ff5-b731-428254541dc7}">
    <x18tc:text xml:space="preserve">Esse campo aqui carece de padronização 😿</x18tc:text>
  </x18tc:threadedComment>
  <x18tc:threadedComment ref="I2" dT="2025-08-18T20:42:23.00" personId="{15b88663-608e-45ba-9e59-bc9160b7245e}" id="{7b22ed0d-b958-4b79-b322-6ab69f5186eb}" done="1">
    <x18tc:text xml:space="preserve">Proponente da iniciativa</x18tc:text>
  </x18tc:threadedComment>
  <x18tc:threadedComment ref="I2" dT="2025-08-18T20:42:59.00" personId="{15b88663-608e-45ba-9e59-bc9160b7245e}" id="{45f17b9a-3ece-4f13-9a57-d5eec6494d5a}" parentId="{7b22ed0d-b958-4b79-b322-6ab69f5186eb}">
    <x18tc:text xml:space="preserve">Proponentes</x18tc:text>
  </x18tc:threadedComment>
  <x18tc:threadedComment ref="A1" dT="2025-08-28T21:14:59.00" personId="{15b88663-608e-45ba-9e59-bc9160b7245e}" id="{0c4ed6d9-005f-4d32-ae7d-26fc4a85e850}" done="1">
    <x18tc:text xml:space="preserve">### 📘 *Fontes Acadêmicas e Impressas*
- *Livros* (obra completa)
- *Capítulo de livro* (em coletâneas ou obras organizadas)
- *Artigos científicos* (em periódicos acadêmicos)
- *Teses e dissertações*
- *Anais de congresso* (trabalhos apresentados em eventos)
- *Enciclopédias e dicionários*
- *Normas técnicas* (ex: ABNT, ISO)
---
### 📰 *Fontes Jornalísticas e Informativas*
- *Artigos de jornal impresso*
- *Reportagens de revistas*
- *Colunas e editoriais*
- *Notícias online*
- *Entrevistas*
---
### 🌐 *Fontes Digitais e Web*
- *Sites institucionais*
- *Blogs pessoais*
- *Postagens em redes sociais* (Twitter/X, Instagram, Facebook, etc.)
- *Vídeos do YouTube*
- *Podcasts*
- *Webinars e lives*
- *Comentários ou fóruns online* (ex: Reddit, Quora)
- *Wikis* (ex: Wikipédia)
---
### 🎵 *Fontes Artísticas e Culturais*
- *Músicas e álbuns*
- *Filmes e documentários*
- *Séries de TV*
- *Peças teatrais*
- *Obras de arte* (pinturas, esculturas, instalações)
- *Fotografias*
- *Poemas e literatura*
- *Games e softwares*
---
### 📄 *Fontes Institucionais e Oficiais*
- *Leis e decretos*
- *Pareceres jurídicos*
- *Relatórios técnicos*
- *Publicações governamentais*
- *Dados estatísticos* (ex: IBGE, ONU, OMS)
- *Manuais e guias institucionais*
---
### 🗣️ *Fontes Pessoais e Não Publicadas*
- *Entrevistas realizadas por você*
- *Comunicações pessoais* (e-mails, cartas, mensagens)
- *Aulas e palestras assistidas*
- *Trabalhos não publicados*
- *Anotações de campo*</x18tc:text>
  </x18tc:threadedComment>
  <x18tc:threadedComment ref="S251" dT="2025-10-10T04:19:57.00" personId="{15b88663-608e-45ba-9e59-bc9160b7245e}" id="{289725f7-e6a8-4642-b79b-86a453fea8c4}" done="1">
    <x18tc:text xml:space="preserve">extrair data de todos</x18tc:text>
  </x18tc:threadedComment>
  <x18tc:threadedComment ref="C2" dT="2025-10-11T01:28:16.00" personId="{15b88663-608e-45ba-9e59-bc9160b7245e}" id="{b594c328-4752-4c78-afc7-f7b031dfd047}" done="1">
    <x18tc:text xml:space="preserve">Ensino, pesquisa, cultura e extensão, manif art, prod midiatic,</x18tc:text>
  </x18tc:threadedComment>
  <x18tc:threadedComment ref="D2" dT="2025-10-10T19:20:10.00" personId="{15b88663-608e-45ba-9e59-bc9160b7245e}" id="{08352ec8-574b-4dfd-8777-3e2895af2a3a}" done="1">
    <x18tc:text xml:space="preserve">Público Imediato: com público
Público mediado: acesso público através de algum suporte midiático</x18tc:text>
  </x18tc:threadedComment>
  <x18tc:threadedComment ref="B2" dT="2025-10-10T21:53:53.00" personId="{15b88663-608e-45ba-9e59-bc9160b7245e}" id="{8752ca91-5348-4561-a287-eb00a9a6e8ab}" done="1">
    <x18tc:text xml:space="preserve">ex: produção midiática</x18tc:text>
  </x18tc:threadedComment>
  <x18tc:threadedComment ref="J134" dT="2025-10-16T15:57:08.00" personId="{15b88663-608e-45ba-9e59-bc9160b7245e}" id="{64272703-3671-4e4b-a0a0-0a3b7308ba6a}" done="1">
    <x18tc:text xml:space="preserve">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x18tc:text>
  </x18tc:threadedComment>
  <x18tc:threadedComment ref="B167" dT="2025-10-16T15:57:23.00" personId="{15b88663-608e-45ba-9e59-bc9160b7245e}" id="{1b379376-a790-4f52-9caf-ca21611e2b5d}" done="1">
    <x18tc:text xml:space="preserve">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x18tc:text>
  </x18tc:threadedComment>
  <x18tc:threadedComment ref="M2" dT="2025-10-16T02:39:56.00" personId="{15b88663-608e-45ba-9e59-bc9160b7245e}" id="{addb76f7-86c8-46f8-9855-9bfa5b961471}" done="1">
    <x18tc:text xml:space="preserve">corrigir todas as formas de busca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5-10-15T20:27:33.00" personId="{15b88663-608e-45ba-9e59-bc9160b7245e}" id="{42f28347-63be-42bb-b241-6d565dbedb75}" done="1">
    <x18tc:text xml:space="preserve">Então… entra como iniciativa de rememoração?
🟢 SIM, se:
O depoimento é coletado, publicado, exibido ou arquivado com o intuito de preservar a memória de um evento, trauma, violência, ou resistência.
Está vinculado a ações como:
Roteiros de memória
Documentários, podcasts, exposições com testemunhos
Arquivos de memória oral
Coletivos que resgatam histórias de pessoas afetadas
🔎 Nesse caso, o depoimento é uma iniciativa de rememoração — mesmo que simples, pois carrega valor memorial e político.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eses.usp.br/teses/disponiveis/27/27151/tde-24082021-234649/pt-br.html" TargetMode="External"/><Relationship Id="rId5" Type="http://schemas.openxmlformats.org/officeDocument/2006/relationships/hyperlink" Target="https://www.teses.usp.br/teses/disponiveis/27/27151/tde-24082021-234649/pt-br.php" TargetMode="External"/><Relationship Id="rId6" Type="http://schemas.openxmlformats.org/officeDocument/2006/relationships/hyperlink" Target="https://open.spotify.com/intl-pt/track/3yJKAg8QXpAyQ1TC2hca1i."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1" Type="http://schemas.openxmlformats.org/officeDocument/2006/relationships/hyperlink" Target="https://ocandeeiro.org/parcerias/csddh-centro-santo-dias-de-direitos-humanos/" TargetMode="External"/><Relationship Id="rId10" Type="http://schemas.openxmlformats.org/officeDocument/2006/relationships/hyperlink" Target="https://cejil.org/pt-br/" TargetMode="External"/><Relationship Id="rId13" Type="http://schemas.openxmlformats.org/officeDocument/2006/relationships/hyperlink" Target="https://www.instagram.com/cia.profanos/" TargetMode="External"/><Relationship Id="rId12" Type="http://schemas.openxmlformats.org/officeDocument/2006/relationships/hyperlink" Target="https://www.ciadxsterroristas.com/cia-dxs-terroristas" TargetMode="External"/><Relationship Id="rId1" Type="http://schemas.openxmlformats.org/officeDocument/2006/relationships/hyperlink" Target="https://www.hrw.org/our-history" TargetMode="External"/><Relationship Id="rId2" Type="http://schemas.openxmlformats.org/officeDocument/2006/relationships/hyperlink" Target="https://anistia.org.br/?gad_source=1&amp;gad_campaignid=18900275437&amp;gbraid=0AAAAADmJPwAgusjdUedpFgxhJTAhR0Q2_&amp;gclid=Cj0KCQjwyvfDBhDYARIsAItzbZFWvfrBlG9HO8289bbqiispnlax9gq-LStUkhJc_x0nChotoC_3XcYaAqk-EALw_wcB" TargetMode="External"/><Relationship Id="rId3" Type="http://schemas.openxmlformats.org/officeDocument/2006/relationships/hyperlink" Target="https://portal.abant.org.br/quem-somos/" TargetMode="External"/><Relationship Id="rId4" Type="http://schemas.openxmlformats.org/officeDocument/2006/relationships/hyperlink" Target="https://www.fundobrasil.org.br/projeto/amparar-associacao-de-amigosas-e-familiares-de-presosas/" TargetMode="External"/><Relationship Id="rId9" Type="http://schemas.openxmlformats.org/officeDocument/2006/relationships/hyperlink" Target="https://www.global.org.br/quem-somos/" TargetMode="External"/><Relationship Id="rId15" Type="http://schemas.openxmlformats.org/officeDocument/2006/relationships/hyperlink" Target="https://www.instagram.com/clubedascriminalistas/" TargetMode="External"/><Relationship Id="rId14" Type="http://schemas.openxmlformats.org/officeDocument/2006/relationships/hyperlink" Target="https://www.instagram.com/cineblacktv/" TargetMode="External"/><Relationship Id="rId17" Type="http://schemas.openxmlformats.org/officeDocument/2006/relationships/hyperlink" Target="https://www.justicapaz.org/portal/" TargetMode="External"/><Relationship Id="rId16" Type="http://schemas.openxmlformats.org/officeDocument/2006/relationships/hyperlink" Target="https://www.instagram.com/movimentomaesdemaio/" TargetMode="External"/><Relationship Id="rId5" Type="http://schemas.openxmlformats.org/officeDocument/2006/relationships/hyperlink" Target="https://www.ajd.org.br/sobre-nos/quem-somos" TargetMode="External"/><Relationship Id="rId19" Type="http://schemas.openxmlformats.org/officeDocument/2006/relationships/drawing" Target="../drawings/drawing5.xml"/><Relationship Id="rId6" Type="http://schemas.openxmlformats.org/officeDocument/2006/relationships/hyperlink" Target="https://www.dhnet.org.br/educar/academia/andhep/index.htm" TargetMode="External"/><Relationship Id="rId18" Type="http://schemas.openxmlformats.org/officeDocument/2006/relationships/hyperlink" Target="https://www.instagram.com/teatrodavertigem_/" TargetMode="External"/><Relationship Id="rId7" Type="http://schemas.openxmlformats.org/officeDocument/2006/relationships/hyperlink" Target="https://www.instagram.com/casa_da_f.u.r.i.a/" TargetMode="External"/><Relationship Id="rId8" Type="http://schemas.openxmlformats.org/officeDocument/2006/relationships/hyperlink" Target="https://www.instagram.com/casaflores.org.b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oexvgm2cTw8"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2" width="29.13"/>
    <col customWidth="1" min="3" max="3" width="37.38"/>
    <col customWidth="1" min="4" max="4" width="20.63"/>
    <col customWidth="1" min="5" max="5" width="21.38"/>
    <col customWidth="1" min="6" max="6" width="18.13"/>
    <col customWidth="1" min="7" max="7" width="8.63"/>
    <col customWidth="1" min="8" max="8" width="29.13"/>
    <col customWidth="1" min="9" max="9" width="56.88"/>
    <col customWidth="1" min="10" max="10" width="39.38"/>
    <col customWidth="1" min="11" max="11" width="23.63"/>
    <col customWidth="1" min="12" max="12" width="25.38"/>
    <col customWidth="1" min="13" max="13" width="30.88"/>
    <col customWidth="1" min="14" max="14" width="19.63"/>
    <col customWidth="1" min="15" max="15" width="31.88"/>
    <col customWidth="1" min="16" max="16" width="16.25"/>
    <col customWidth="1" min="17" max="17" width="30.88"/>
    <col customWidth="1" min="19" max="19" width="59.88"/>
  </cols>
  <sheetData>
    <row r="1" ht="24.0" customHeight="1">
      <c r="A1" s="1"/>
      <c r="B1" s="1" t="s">
        <v>0</v>
      </c>
      <c r="C1" s="2"/>
      <c r="D1" s="2"/>
      <c r="E1" s="2"/>
      <c r="F1" s="2"/>
      <c r="G1" s="2"/>
      <c r="H1" s="2"/>
      <c r="I1" s="2"/>
      <c r="J1" s="1" t="s">
        <v>1</v>
      </c>
      <c r="K1" s="2"/>
      <c r="L1" s="2"/>
      <c r="M1" s="1" t="s">
        <v>2</v>
      </c>
      <c r="N1" s="2"/>
      <c r="O1" s="2"/>
      <c r="P1" s="2"/>
      <c r="Q1" s="2"/>
      <c r="R1" s="2"/>
      <c r="S1" s="3" t="s">
        <v>3</v>
      </c>
    </row>
    <row r="2" ht="78.0" customHeight="1">
      <c r="A2" s="4"/>
      <c r="B2" s="5" t="s">
        <v>4</v>
      </c>
      <c r="C2" s="4" t="s">
        <v>5</v>
      </c>
      <c r="D2" s="4" t="s">
        <v>6</v>
      </c>
      <c r="E2" s="4" t="s">
        <v>7</v>
      </c>
      <c r="F2" s="6" t="s">
        <v>8</v>
      </c>
      <c r="G2" s="6" t="s">
        <v>9</v>
      </c>
      <c r="H2" s="6" t="s">
        <v>10</v>
      </c>
      <c r="I2" s="7" t="s">
        <v>11</v>
      </c>
      <c r="J2" s="8" t="s">
        <v>12</v>
      </c>
      <c r="K2" s="6" t="s">
        <v>13</v>
      </c>
      <c r="L2" s="7" t="s">
        <v>14</v>
      </c>
      <c r="M2" s="9" t="s">
        <v>15</v>
      </c>
      <c r="N2" s="9" t="s">
        <v>16</v>
      </c>
      <c r="O2" s="6" t="s">
        <v>17</v>
      </c>
      <c r="P2" s="6" t="s">
        <v>18</v>
      </c>
      <c r="Q2" s="5" t="s">
        <v>19</v>
      </c>
      <c r="R2" s="5" t="s">
        <v>20</v>
      </c>
      <c r="S2" s="10" t="s">
        <v>21</v>
      </c>
    </row>
    <row r="3">
      <c r="A3" s="11">
        <v>1.0</v>
      </c>
      <c r="B3" s="11" t="s">
        <v>22</v>
      </c>
      <c r="C3" s="12" t="str">
        <f>IFERROR(__xludf.DUMMYFUNCTION("IF(B3="""","""",IF(OR(
  REGEXMATCH(B3,""Performance|Instalação|Álbum|Música|Poema|Livro|Filme|Documentário|Recitação|Espetáculo|Peça|Intervenção|Desfile|Fotografia|Exposição|Charge|Grafite|Leitura pública|Fabricação de cachaça artesanal""),
  REGEXMATCH("&amp;"B3,""dança|teatral|artístico|musical|artística"")
),""Manifestação artístico-cultural"",
IF(OR(
  REGEXMATCH(B3,""Crônica|Série|Reportagem|Podcast|Audiotour|Entrevista|Vídeo|Rádio""),
  REGEXMATCH(B3,""midiática"")
),""Produção midiática"","""")))
"),"Manifestação artístico-cultural")</f>
        <v>Manifestação artístico-cultural</v>
      </c>
      <c r="D3" s="13" t="str">
        <f>IFERROR(__xludf.DUMMYFUNCTION("IF(B3="""","""",IF(OR(
  REGEXMATCH(B3,""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REGEXMATCH(B3,""público|Imediato|artística|teatral|memória"")
),""Público Imediato"",
IF(REGEXMATCH(B3,""Música|Álbum|Filme|Documentário|Série|Podcast|Rádi"&amp;"o|Audiotour|Entrevista|Reportagem|Crônica|Relatório|Abaixo-assinado|Manifesto|Petição|Poema|Livro|Fotografia|Curta|Live|Webinário|Charge|Leitura pública|Vídeo""),
""Público Mediado"","""")))
"),"Público Imediato")</f>
        <v>Público Imediato</v>
      </c>
      <c r="E3" s="13" t="str">
        <f>IFERROR(__xludf.DUMMYFUNCTION("IF(B3="""","""",IF(OR(
  REGEXMATCH(B3,""Live|Webinário|Virtual""),
  REGEXMATCH(B3,""online"")
),""Virtual"",
IF(REGEXMATCH(B3,""Música|Álbum|Filme|Documentário|Série|Podcast|Rádio|Audiotour|Episódio|Reportagem|Curta|Charge|Livro|Vídeo|Entrevista""),
""M"&amp;"idiático"",
IF(REGEXMATCH(B3,""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3" s="14">
        <v>1992.0</v>
      </c>
      <c r="G3" s="15">
        <f t="shared" ref="G3:G274" si="1">IF(ISNUMBER(F3), IF(AND(F3&gt;10000, F3&lt;50000), YEAR(F3), F3), RIGHT(F3,4)*1)</f>
        <v>1992</v>
      </c>
      <c r="H3" s="11" t="s">
        <v>23</v>
      </c>
      <c r="I3" s="16" t="s">
        <v>24</v>
      </c>
      <c r="J3" s="17" t="s">
        <v>25</v>
      </c>
      <c r="K3" s="16" t="s">
        <v>26</v>
      </c>
      <c r="L3" s="18" t="s">
        <v>27</v>
      </c>
      <c r="M3" s="15" t="str">
        <f>IFERROR(__xludf.DUMMYFUNCTION("IF(REGEXMATCH(S3, ""Companhia das Letras""), ""Companhia das Letras"",
IF(REGEXMATCH(S3, ""Labortexto Editorial""), ""Labortexto Editorial"",
IF(REGEXMATCH(S3, ""Geração Editorial""), ""Geração Editorial"",
IF(REGEXMATCH(S3, ""Editora Imprensa Oficial|Imp"&amp;"rensa Oficial""), ""Editora Imprensa Oficial"",
IF(REGEXMATCH(S3, ""Folha Online""), ""Folha Online"",
IF(REGEXMATCH(S3, ""FGV DIREITO SP|FGV Direito SP""), ""FGV DIREITO SP"",
IF(REGEXMATCH(S3, ""massacrecarandiru\.org\.br""), ""Memória Massacre Carandir"&amp;"u"",
IF(REGEXMATCH(S3, ""Itaú Cultural""), ""YouTube (Itaú Cultural)"",
IF(REGEXMATCH(S3, ""Passa Palavra""), ""Vimeo (Passa Palavra)"",
IF(REGEXMATCH(S3, ""rede2deoutubro\.blogspot""), ""Blogspot (Rede 02 de Outubro)"",
IF(REGEXMATCH(S3, ""Rede TVT""), "&amp;"""YouTube (Rede TVT)"",
IF(REGEXMATCH(S3, ""Esquerda Diário""), ""Esquerda Diário"",
IF(REGEXMATCH(S3, ""GZH""), ""GZH"",
IF(REGEXMATCH(S3, ""TVPUC""), ""TVPUC"",
IF(REGEXMATCH(S3, ""Mídia Ninja.*Facebook""), ""Facebook (Mídia Ninja)"",
IF(REGEXMATCH(S3, "&amp;"""Memórias Carandiru.*Instagram""), ""Instagram (Memórias Carandiru)"",
IF(REGEXMATCH(S3, ""Frente pelo Desencarceramento SP""), ""YouTube (Frente Pelo Desencarceramento SP)"",
IF(REGEXMATCH(S3, ""TV ABA""), ""YouTube (TV ABA)"",
IF(REGEXMATCH(S3, ""TV SE"&amp;"NADO""), ""YouTube (TV Senado)"",
IF(REGEXMATCH(S3, ""Google Arts &amp; Culture""), ""Google Arts &amp; Culture (Memória Massacre Carandiru)"",
IF(REGEXMATCH(S3, ""Anistia Internacional|ANISTIA INTERNACIONAL""), ""Anistia Internacional"",
IF(REGEXMATCH(S3, ""47\."&amp;"mostra|47a Mostra""), ""47a Mostra Internacional de Cinema em São Paulo"",
IF(REGEXMATCH(S3, ""Canal USP""), ""YouTube (Canal USP)"",
IF(AND(
  REGEXMATCH(S3, ""(?i)(teses?\.usp\.br|dissertacoes?\.usp\.br|repositorio\.usp\.br)""),
  NOT(REGEXMATCH(S3, ""C"&amp;"anal USP""))
), ""Biblioteca Digital de Teses e Dissertações da USP"",
IF(REGEXMATCH(S3, ""SINTRAJUSC""), ""SINTRAJUSC"",
IF(REGEXMATCH(S3, ""Agência Brasil|Agencia Brasil""), ""Agência Brasil"",
IF(REGEXMATCH(S3, ""Brasil de Fato""), ""Brasil de Fato"",
"&amp;"IF(REGEXMATCH(S3, ""Ponte Jornalismo|pontejornalismo""), ""Ponte Jornalismo"",
IF(REGEXMATCH(S3, ""letras\.mus\.br|Letras,""), ""Letras"",
IF(REGEXMATCH(S3, ""YouTube|youtube""), 
   ""YouTube (""&amp;
   IF(REGEXMATCH(S3, ""Itaú Cultural""), ""Itaú Cultural"&amp;""",
   IF(REGEXMATCH(S3, ""Rede TVT""), ""Rede TVT"",
   IF(REGEXMATCH(S3, ""Frente pelo Desencarceramento SP""), ""Frente Pelo Desencarceramento SP"",
   IF(REGEXMATCH(S3, ""TV ABA""), ""TV ABA"",
   IF(REGEXMATCH(S3, ""TV SENADO""), ""TV Senado"",
   IF"&amp;"(REGEXMATCH(S3, ""Canal USP""), ""Canal USP"",
   IF(REGEXMATCH(S3, ""Douer, Zack|Zack Douer""), ""Douer Zack"",
   IF(REGEXMATCH(S3, ""PRISIONEIRO 84\.901|PRISIONEIRO 84""), ""Prisioneiro 84.901"",
   IF(REGEXMATCH(S3, ""^[^,]*, ""), 
        PROPER(REGE"&amp;"XREPLACE(REGEXEXTRACT(S3, ""^([^.]*)\.""), ""^([^,]*), (.*)"", ""$2 $1"")),
        PROPER(REGEXEXTRACT(S3, ""^([^.]*)\.""))
   )))))))))&amp;"")"",
IF(REGEXMATCH(S3, ""Spotify|spotify""), 
   ""Spotify (""&amp;
   IF(REGEXMATCH(S3, ""ESTRANHO SORRISO""), ""Estr"&amp;"anho Sorriso"",
   PROPER(REGEXEXTRACT(S3, ""^([^.]*)\.""))
   )&amp;"")"",
IF(REGEXMATCH(S3, ""Vimeo|vimeo""), 
   ""Vimeo (""&amp;
   IF(REGEXMATCH(S3, ""Passa Palavra""), ""Passa Palavra"",
   PROPER(REGEXEXTRACT(S3, ""^([^.]*)\.""))
   )&amp;"")"",
IF(REGEXMATC"&amp;"H(S3, ""Blogspot""), 
   ""Blogspot (""&amp;
   IF(REGEXMATCH(S3, ""rede2deoutubro""), ""Rede 02 de Outubro"",
   PROPER(REGEXEXTRACT(S3, ""^([^.]*)\.""))
   )&amp;"")"",
IF(REGEXMATCH(S3, ""Facebook""), 
   ""Facebook (""&amp;
   IF(REGEXMATCH(S3, ""Mídia Ninja""),"&amp;" ""Mídia Ninja"",
   PROPER(REGEXEXTRACT(S3, ""^([^.]*)\.""))
   )&amp;"")"",
IF(REGEXMATCH(S3, ""Instagram""), 
   ""Instagram (""&amp;
   IF(REGEXMATCH(S3, ""Memórias Carandiru""), ""Memórias Carandiru"",
   PROPER(REGEXEXTRACT(S3, ""^([^.]*)\.""))
   )&amp;"")"","&amp;"
IF(REGEXMATCH(S3, ""Folha de S\. Paulo|FOLHA DE S\. PAULO""), ""Folha de S. Paulo"",
IF(REGEXMATCH(S3, ""O Estado de S\. Paulo|ESTADAO""), ""O Estado de S. Paulo"",
IF(REGEXMATCH(S3, ""salasecreta""), ""Wordpress (Sala Secreta)"",
IF(REGEXMATCH(S3, ""Wi"&amp;"kipedia|Wikipédia|WIKIPÉDIA""), ""Wikipedia"",
IF(REGEXMATCH(S3, ""VEJA|Veja""), ""Veja Abril"",
IF(REGEXMATCH(S275, ""Rede Globo|REDE GLOBO""), ""Rede Globo"",
IF(REGEXMATCH(S275, ""G1|globo\.com""), ""G1"",
IF(REGEXMATCH(S3, ""Deutsche Welle|DW\.com""),"&amp;" ""Deutsche Welle"",
IF(REGEXMATCH(S3, ""CIDH|Comissão Interamericana""), ""Comissão Interamericana de Direitos Humanos (CIDH)"",
IF(REGEXMATCH(S3, ""Pastoral Carcerária""), ""Pastoral Carcerária"",
IF(REGEXMATCH(S3, ""Esquerda Web""), ""Esquerda Web"",
I"&amp;"F(REGEXMATCH(S3, ""ONU|Organização das Nações Unidas""), ""ONU Brasil"",
IF(REGEXMATCH(S3, ""Quilombo Invisível""), ""Quilombo Invisível"",
IF(REGEXMATCH(S3, ""ALESP|Assembleia Legislativa""), ""ALESP"",
IF(REGEXMATCH(S3, ""Revista Opera""), ""Revista Ope"&amp;"ra"",
IF(REGEXMATCH(S3, ""SP Escola de Teatro""), ""SP Escola de Teatro"",
IF(REGEXMATCH(S3, ""EMC|Espaço Memória Carandiru""), ""EMC Espaço Memória Carandiru"",
IF(REGEXMATCH(S3, ""^RAMOS, Nuno|Nuno Ramos""), ""Nuno Ramos"",
IF(REGEXMATCH(S3, ""^VELOSO,"&amp;" Caetano|Caetano Veloso""), ""YouTube (Caetano Veloso)"",
IF(REGEXMATCH(S3, ""^FATOS REAIS""), ""YouTube (Fatos Reais - Topic)"",
IF(REGEXMATCH(S3, ""^SALA SECRETA""), ""Wordpress (Sala Secreta)"",
PROPER(REGEXEXTRACT(S3, ""^([^.]*)\.""))
))))))))))))))"&amp;"))))))))))))))))))))))))))))))))))))))))))"),"O Estado de S. Paulo")</f>
        <v>O Estado de S. Paulo</v>
      </c>
      <c r="N3" s="11" t="s">
        <v>47</v>
      </c>
      <c r="O3" s="11" t="s">
        <v>48</v>
      </c>
      <c r="P3" s="51">
        <v>45853.0</v>
      </c>
      <c r="Q3" s="11" t="s">
        <v>53</v>
      </c>
      <c r="R3" s="70" t="str">
        <f t="shared" ref="R3:R17" si="2">HYPERLINK(LEFT(MID(S3,FIND("http",S3),LEN(S3)),FIND(". Acesso em",S3)-FIND("http",S3)),"Aqui")</f>
        <v>Aqui</v>
      </c>
      <c r="S3" s="75" t="s">
        <v>72</v>
      </c>
    </row>
    <row r="4">
      <c r="A4" s="11">
        <v>2.0</v>
      </c>
      <c r="B4" s="11" t="s">
        <v>76</v>
      </c>
      <c r="C4" s="12" t="str">
        <f>IFERROR(__xludf.DUMMYFUNCTION("IF(B4="""","""",IF(OR(
  REGEXMATCH(B4,""Performance|Instalação|Álbum|Música|Poema|Livro|Filme|Documentário|Recitação|Espetáculo|Peça|Intervenção|Desfile|Fotografia|Exposição|Charge|Grafite|Leitura pública|Fabricação de cachaça artesanal""),
  REGEXMATCH("&amp;"B4,""dança|teatral|artístico|musical|artística"")
),""Manifestação artístico-cultural"",
IF(OR(
  REGEXMATCH(B4,""Crônica|Série|Reportagem|Podcast|Audiotour|Entrevista|Vídeo|Rádio""),
  REGEXMATCH(B4,""midiática"")
),""Produção midiática"","""")))
"),"Manifestação artístico-cultural")</f>
        <v>Manifestação artístico-cultural</v>
      </c>
      <c r="D4" s="13" t="str">
        <f>IFERROR(__xludf.DUMMYFUNCTION("IF(B4="""","""",IF(OR(
  REGEXMATCH(B4,""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REGEXMATCH(B4,""público|Imediato|artística|teatral|memória"")
),""Público Imediato"",
IF(REGEXMATCH(B4,""Música|Álbum|Filme|Documentário|Série|Podcast|Rádi"&amp;"o|Audiotour|Entrevista|Reportagem|Crônica|Relatório|Abaixo-assinado|Manifesto|Petição|Poema|Livro|Fotografia|Curta|Live|Webinário|Charge|Leitura pública|Vídeo""),
""Público Mediado"","""")))
"),"Público Imediato")</f>
        <v>Público Imediato</v>
      </c>
      <c r="E4" s="13" t="str">
        <f>IFERROR(__xludf.DUMMYFUNCTION("IF(B4="""","""",IF(OR(
  REGEXMATCH(B4,""Live|Webinário|Virtual""),
  REGEXMATCH(B4,""online"")
),""Virtual"",
IF(REGEXMATCH(B4,""Música|Álbum|Filme|Documentário|Série|Podcast|Rádio|Audiotour|Episódio|Reportagem|Curta|Charge|Livro|Vídeo|Entrevista""),
""M"&amp;"idiático"",
IF(REGEXMATCH(B4,""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4" s="89">
        <v>33909.0</v>
      </c>
      <c r="G4" s="15">
        <f t="shared" si="1"/>
        <v>1992</v>
      </c>
      <c r="H4" s="11" t="s">
        <v>84</v>
      </c>
      <c r="I4" s="16" t="s">
        <v>87</v>
      </c>
      <c r="J4" s="17">
        <v>111.0</v>
      </c>
      <c r="K4" s="16" t="s">
        <v>91</v>
      </c>
      <c r="L4" s="18" t="s">
        <v>94</v>
      </c>
      <c r="M4" s="15" t="str">
        <f>IFERROR(__xludf.DUMMYFUNCTION("IF(REGEXMATCH(S4, ""Companhia das Letras""), ""Companhia das Letras"",
IF(REGEXMATCH(S4, ""Labortexto Editorial""), ""Labortexto Editorial"",
IF(REGEXMATCH(S4, ""Geração Editorial""), ""Geração Editorial"",
IF(REGEXMATCH(S4, ""Editora Imprensa Oficial|Imp"&amp;"rensa Oficial""), ""Editora Imprensa Oficial"",
IF(REGEXMATCH(S4, ""Folha Online""), ""Folha Online"",
IF(REGEXMATCH(S4, ""FGV DIREITO SP|FGV Direito SP""), ""FGV DIREITO SP"",
IF(REGEXMATCH(S4, ""massacrecarandiru\.org\.br""), ""Memória Massacre Carandir"&amp;"u"",
IF(REGEXMATCH(S4, ""Itaú Cultural""), ""YouTube (Itaú Cultural)"",
IF(REGEXMATCH(S4, ""Passa Palavra""), ""Vimeo (Passa Palavra)"",
IF(REGEXMATCH(S4, ""rede2deoutubro\.blogspot""), ""Blogspot (Rede 02 de Outubro)"",
IF(REGEXMATCH(S4, ""Rede TVT""), "&amp;"""YouTube (Rede TVT)"",
IF(REGEXMATCH(S4, ""Esquerda Diário""), ""Esquerda Diário"",
IF(REGEXMATCH(S4, ""GZH""), ""GZH"",
IF(REGEXMATCH(S4, ""TVPUC""), ""TVPUC"",
IF(REGEXMATCH(S4, ""Mídia Ninja.*Facebook""), ""Facebook (Mídia Ninja)"",
IF(REGEXMATCH(S4, "&amp;"""Memórias Carandiru.*Instagram""), ""Instagram (Memórias Carandiru)"",
IF(REGEXMATCH(S4, ""Frente pelo Desencarceramento SP""), ""YouTube (Frente Pelo Desencarceramento SP)"",
IF(REGEXMATCH(S4, ""TV ABA""), ""YouTube (TV ABA)"",
IF(REGEXMATCH(S4, ""TV SE"&amp;"NADO""), ""YouTube (TV Senado)"",
IF(REGEXMATCH(S4, ""Google Arts &amp; Culture""), ""Google Arts &amp; Culture (Memória Massacre Carandiru)"",
IF(REGEXMATCH(S4, ""Anistia Internacional|ANISTIA INTERNACIONAL""), ""Anistia Internacional"",
IF(REGEXMATCH(S4, ""47\."&amp;"mostra|47a Mostra""), ""47a Mostra Internacional de Cinema em São Paulo"",
IF(REGEXMATCH(S4, ""Canal USP""), ""YouTube (Canal USP)"",
IF(AND(
  REGEXMATCH(S4, ""(?i)(teses?\.usp\.br|dissertacoes?\.usp\.br|repositorio\.usp\.br)""),
  NOT(REGEXMATCH(S4, ""C"&amp;"anal USP""))
), ""Biblioteca Digital de Teses e Dissertações da USP"",
IF(REGEXMATCH(S4, ""SINTRAJUSC""), ""SINTRAJUSC"",
IF(REGEXMATCH(S4, ""Agência Brasil|Agencia Brasil""), ""Agência Brasil"",
IF(REGEXMATCH(S4, ""Brasil de Fato""), ""Brasil de Fato"",
"&amp;"IF(REGEXMATCH(S4, ""Ponte Jornalismo|pontejornalismo""), ""Ponte Jornalismo"",
IF(REGEXMATCH(S4, ""letras\.mus\.br|Letras,""), ""Letras"",
IF(REGEXMATCH(S4, ""YouTube|youtube""), 
   ""YouTube (""&amp;
   IF(REGEXMATCH(S4, ""Itaú Cultural""), ""Itaú Cultural"&amp;""",
   IF(REGEXMATCH(S4, ""Rede TVT""), ""Rede TVT"",
   IF(REGEXMATCH(S4, ""Frente pelo Desencarceramento SP""), ""Frente Pelo Desencarceramento SP"",
   IF(REGEXMATCH(S4, ""TV ABA""), ""TV ABA"",
   IF(REGEXMATCH(S4, ""TV SENADO""), ""TV Senado"",
   IF"&amp;"(REGEXMATCH(S4, ""Canal USP""), ""Canal USP"",
   IF(REGEXMATCH(S4, ""Douer, Zack|Zack Douer""), ""Douer Zack"",
   IF(REGEXMATCH(S4, ""PRISIONEIRO 84\.901|PRISIONEIRO 84""), ""Prisioneiro 84.901"",
   IF(REGEXMATCH(S4, ""^[^,]*, ""), 
        PROPER(REGE"&amp;"XREPLACE(REGEXEXTRACT(S4, ""^([^.]*)\.""), ""^([^,]*), (.*)"", ""$2 $1"")),
        PROPER(REGEXEXTRACT(S4, ""^([^.]*)\.""))
   )))))))))&amp;"")"",
IF(REGEXMATCH(S4, ""Spotify|spotify""), 
   ""Spotify (""&amp;
   IF(REGEXMATCH(S4, ""ESTRANHO SORRISO""), ""Estr"&amp;"anho Sorriso"",
   PROPER(REGEXEXTRACT(S4, ""^([^.]*)\.""))
   )&amp;"")"",
IF(REGEXMATCH(S4, ""Vimeo|vimeo""), 
   ""Vimeo (""&amp;
   IF(REGEXMATCH(S4, ""Passa Palavra""), ""Passa Palavra"",
   PROPER(REGEXEXTRACT(S4, ""^([^.]*)\.""))
   )&amp;"")"",
IF(REGEXMATC"&amp;"H(S4, ""Blogspot""), 
   ""Blogspot (""&amp;
   IF(REGEXMATCH(S4, ""rede2deoutubro""), ""Rede 02 de Outubro"",
   PROPER(REGEXEXTRACT(S4, ""^([^.]*)\.""))
   )&amp;"")"",
IF(REGEXMATCH(S4, ""Facebook""), 
   ""Facebook (""&amp;
   IF(REGEXMATCH(S4, ""Mídia Ninja""),"&amp;" ""Mídia Ninja"",
   PROPER(REGEXEXTRACT(S4, ""^([^.]*)\.""))
   )&amp;"")"",
IF(REGEXMATCH(S4, ""Instagram""), 
   ""Instagram (""&amp;
   IF(REGEXMATCH(S4, ""Memórias Carandiru""), ""Memórias Carandiru"",
   PROPER(REGEXEXTRACT(S4, ""^([^.]*)\.""))
   )&amp;"")"","&amp;"
IF(REGEXMATCH(S4, ""Folha de S\. Paulo|FOLHA DE S\. PAULO""), ""Folha de S. Paulo"",
IF(REGEXMATCH(S4, ""O Estado de S\. Paulo|ESTADAO""), ""O Estado de S. Paulo"",
IF(REGEXMATCH(S4, ""salasecreta""), ""Wordpress (Sala Secreta)"",
IF(REGEXMATCH(S4, ""Wi"&amp;"kipedia|Wikipédia|WIKIPÉDIA""), ""Wikipedia"",
IF(REGEXMATCH(S4, ""VEJA|Veja""), ""Veja Abril"",
IF(REGEXMATCH(S276, ""Rede Globo|REDE GLOBO""), ""Rede Globo"",
IF(REGEXMATCH(S276, ""G1|globo\.com""), ""G1"",
IF(REGEXMATCH(S4, ""Deutsche Welle|DW\.com""),"&amp;" ""Deutsche Welle"",
IF(REGEXMATCH(S4, ""CIDH|Comissão Interamericana""), ""Comissão Interamericana de Direitos Humanos (CIDH)"",
IF(REGEXMATCH(S4, ""Pastoral Carcerária""), ""Pastoral Carcerária"",
IF(REGEXMATCH(S4, ""Esquerda Web""), ""Esquerda Web"",
I"&amp;"F(REGEXMATCH(S4, ""ONU|Organização das Nações Unidas""), ""ONU Brasil"",
IF(REGEXMATCH(S4, ""Quilombo Invisível""), ""Quilombo Invisível"",
IF(REGEXMATCH(S4, ""ALESP|Assembleia Legislativa""), ""ALESP"",
IF(REGEXMATCH(S4, ""Revista Opera""), ""Revista Ope"&amp;"ra"",
IF(REGEXMATCH(S4, ""SP Escola de Teatro""), ""SP Escola de Teatro"",
IF(REGEXMATCH(S4, ""EMC|Espaço Memória Carandiru""), ""EMC Espaço Memória Carandiru"",
IF(REGEXMATCH(S4, ""^RAMOS, Nuno|Nuno Ramos""), ""Nuno Ramos"",
IF(REGEXMATCH(S4, ""^VELOSO,"&amp;" Caetano|Caetano Veloso""), ""YouTube (Caetano Veloso)"",
IF(REGEXMATCH(S4, ""^FATOS REAIS""), ""YouTube (Fatos Reais - Topic)"",
IF(REGEXMATCH(S4, ""^SALA SECRETA""), ""Wordpress (Sala Secreta)"",
PROPER(REGEXEXTRACT(S4, ""^([^.]*)\.""))
))))))))))))))"&amp;"))))))))))))))))))))))))))))))))))))))))))"),"Nuno Ramos")</f>
        <v>Nuno Ramos</v>
      </c>
      <c r="N4" s="11" t="s">
        <v>47</v>
      </c>
      <c r="O4" s="11" t="s">
        <v>149</v>
      </c>
      <c r="P4" s="51">
        <v>45856.0</v>
      </c>
      <c r="Q4" s="11" t="s">
        <v>154</v>
      </c>
      <c r="R4" s="70" t="str">
        <f t="shared" si="2"/>
        <v>Aqui</v>
      </c>
      <c r="S4" s="75" t="s">
        <v>161</v>
      </c>
    </row>
    <row r="5">
      <c r="A5" s="11">
        <v>3.0</v>
      </c>
      <c r="B5" s="11" t="s">
        <v>164</v>
      </c>
      <c r="C5" s="122" t="s">
        <v>165</v>
      </c>
      <c r="D5" s="13" t="str">
        <f>IFERROR(__xludf.DUMMYFUNCTION("IF(B5="""","""",IF(OR(
  REGEXMATCH(B5,""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REGEXMATCH(B5,""público|Imediato|artística|teatral|memória"")
),""Público Imediato"",
IF(REGEXMATCH(B5,""Música|Álbum|Filme|Documentário|Série|Podcast|Rádi"&amp;"o|Audiotour|Entrevista|Reportagem|Crônica|Relatório|Abaixo-assinado|Manifesto|Petição|Poema|Livro|Fotografia|Curta|Live|Webinário|Charge|Leitura pública|Vídeo""),
""Público Mediado"","""")))
"),"Público Imediato")</f>
        <v>Público Imediato</v>
      </c>
      <c r="E5" s="13" t="str">
        <f>IFERROR(__xludf.DUMMYFUNCTION("IF(B5="""","""",IF(OR(
  REGEXMATCH(B5,""Live|Webinário|Virtual""),
  REGEXMATCH(B5,""online"")
),""Virtual"",
IF(REGEXMATCH(B5,""Música|Álbum|Filme|Documentário|Série|Podcast|Rádio|Audiotour|Episódio|Reportagem|Curta|Charge|Livro|Vídeo|Entrevista""),
""M"&amp;"idiático"",
IF(REGEXMATCH(B5,""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5" s="14">
        <v>1992.0</v>
      </c>
      <c r="G5" s="15">
        <f t="shared" si="1"/>
        <v>1992</v>
      </c>
      <c r="H5" s="11" t="s">
        <v>193</v>
      </c>
      <c r="I5" s="16" t="s">
        <v>196</v>
      </c>
      <c r="J5" s="17" t="s">
        <v>198</v>
      </c>
      <c r="K5" s="16" t="s">
        <v>91</v>
      </c>
      <c r="L5" s="18" t="s">
        <v>94</v>
      </c>
      <c r="M5" s="15" t="str">
        <f>IFERROR(__xludf.DUMMYFUNCTION("IF(REGEXMATCH(S5, ""Companhia das Letras""), ""Companhia das Letras"",
IF(REGEXMATCH(S5, ""Labortexto Editorial""), ""Labortexto Editorial"",
IF(REGEXMATCH(S5, ""Geração Editorial""), ""Geração Editorial"",
IF(REGEXMATCH(S5, ""Editora Imprensa Oficial|Imp"&amp;"rensa Oficial""), ""Editora Imprensa Oficial"",
IF(REGEXMATCH(S5, ""Folha Online""), ""Folha Online"",
IF(REGEXMATCH(S5, ""FGV DIREITO SP|FGV Direito SP""), ""FGV DIREITO SP"",
IF(REGEXMATCH(S5, ""massacrecarandiru\.org\.br""), ""Memória Massacre Carandir"&amp;"u"",
IF(REGEXMATCH(S5, ""Itaú Cultural""), ""YouTube (Itaú Cultural)"",
IF(REGEXMATCH(S5, ""Passa Palavra""), ""Vimeo (Passa Palavra)"",
IF(REGEXMATCH(S5, ""rede2deoutubro\.blogspot""), ""Blogspot (Rede 02 de Outubro)"",
IF(REGEXMATCH(S5, ""Rede TVT""), "&amp;"""YouTube (Rede TVT)"",
IF(REGEXMATCH(S5, ""Esquerda Diário""), ""Esquerda Diário"",
IF(REGEXMATCH(S5, ""GZH""), ""GZH"",
IF(REGEXMATCH(S5, ""TVPUC""), ""TVPUC"",
IF(REGEXMATCH(S5, ""Mídia Ninja.*Facebook""), ""Facebook (Mídia Ninja)"",
IF(REGEXMATCH(S5, "&amp;"""Memórias Carandiru.*Instagram""), ""Instagram (Memórias Carandiru)"",
IF(REGEXMATCH(S5, ""Frente pelo Desencarceramento SP""), ""YouTube (Frente Pelo Desencarceramento SP)"",
IF(REGEXMATCH(S5, ""TV ABA""), ""YouTube (TV ABA)"",
IF(REGEXMATCH(S5, ""TV SE"&amp;"NADO""), ""YouTube (TV Senado)"",
IF(REGEXMATCH(S5, ""Google Arts &amp; Culture""), ""Google Arts &amp; Culture (Memória Massacre Carandiru)"",
IF(REGEXMATCH(S5, ""Anistia Internacional|ANISTIA INTERNACIONAL""), ""Anistia Internacional"",
IF(REGEXMATCH(S5, ""47\."&amp;"mostra|47a Mostra""), ""47a Mostra Internacional de Cinema em São Paulo"",
IF(REGEXMATCH(S5, ""Canal USP""), ""YouTube (Canal USP)"",
IF(AND(
  REGEXMATCH(S5, ""(?i)(teses?\.usp\.br|dissertacoes?\.usp\.br|repositorio\.usp\.br)""),
  NOT(REGEXMATCH(S5, ""C"&amp;"anal USP""))
), ""Biblioteca Digital de Teses e Dissertações da USP"",
IF(REGEXMATCH(S5, ""SINTRAJUSC""), ""SINTRAJUSC"",
IF(REGEXMATCH(S5, ""Agência Brasil|Agencia Brasil""), ""Agência Brasil"",
IF(REGEXMATCH(S5, ""Brasil de Fato""), ""Brasil de Fato"",
"&amp;"IF(REGEXMATCH(S5, ""Ponte Jornalismo|pontejornalismo""), ""Ponte Jornalismo"",
IF(REGEXMATCH(S5, ""letras\.mus\.br|Letras,""), ""Letras"",
IF(REGEXMATCH(S5, ""YouTube|youtube""), 
   ""YouTube (""&amp;
   IF(REGEXMATCH(S5, ""Itaú Cultural""), ""Itaú Cultural"&amp;""",
   IF(REGEXMATCH(S5, ""Rede TVT""), ""Rede TVT"",
   IF(REGEXMATCH(S5, ""Frente pelo Desencarceramento SP""), ""Frente Pelo Desencarceramento SP"",
   IF(REGEXMATCH(S5, ""TV ABA""), ""TV ABA"",
   IF(REGEXMATCH(S5, ""TV SENADO""), ""TV Senado"",
   IF"&amp;"(REGEXMATCH(S5, ""Canal USP""), ""Canal USP"",
   IF(REGEXMATCH(S5, ""Douer, Zack|Zack Douer""), ""Douer Zack"",
   IF(REGEXMATCH(S5, ""PRISIONEIRO 84\.901|PRISIONEIRO 84""), ""Prisioneiro 84.901"",
   IF(REGEXMATCH(S5, ""^[^,]*, ""), 
        PROPER(REGE"&amp;"XREPLACE(REGEXEXTRACT(S5, ""^([^.]*)\.""), ""^([^,]*), (.*)"", ""$2 $1"")),
        PROPER(REGEXEXTRACT(S5, ""^([^.]*)\.""))
   )))))))))&amp;"")"",
IF(REGEXMATCH(S5, ""Spotify|spotify""), 
   ""Spotify (""&amp;
   IF(REGEXMATCH(S5, ""ESTRANHO SORRISO""), ""Estr"&amp;"anho Sorriso"",
   PROPER(REGEXEXTRACT(S5, ""^([^.]*)\.""))
   )&amp;"")"",
IF(REGEXMATCH(S5, ""Vimeo|vimeo""), 
   ""Vimeo (""&amp;
   IF(REGEXMATCH(S5, ""Passa Palavra""), ""Passa Palavra"",
   PROPER(REGEXEXTRACT(S5, ""^([^.]*)\.""))
   )&amp;"")"",
IF(REGEXMATC"&amp;"H(S5, ""Blogspot""), 
   ""Blogspot (""&amp;
   IF(REGEXMATCH(S5, ""rede2deoutubro""), ""Rede 02 de Outubro"",
   PROPER(REGEXEXTRACT(S5, ""^([^.]*)\.""))
   )&amp;"")"",
IF(REGEXMATCH(S5, ""Facebook""), 
   ""Facebook (""&amp;
   IF(REGEXMATCH(S5, ""Mídia Ninja""),"&amp;" ""Mídia Ninja"",
   PROPER(REGEXEXTRACT(S5, ""^([^.]*)\.""))
   )&amp;"")"",
IF(REGEXMATCH(S5, ""Instagram""), 
   ""Instagram (""&amp;
   IF(REGEXMATCH(S5, ""Memórias Carandiru""), ""Memórias Carandiru"",
   PROPER(REGEXEXTRACT(S5, ""^([^.]*)\.""))
   )&amp;"")"","&amp;"
IF(REGEXMATCH(S5, ""Folha de S\. Paulo|FOLHA DE S\. PAULO""), ""Folha de S. Paulo"",
IF(REGEXMATCH(S5, ""O Estado de S\. Paulo|ESTADAO""), ""O Estado de S. Paulo"",
IF(REGEXMATCH(S5, ""salasecreta""), ""Wordpress (Sala Secreta)"",
IF(REGEXMATCH(S5, ""Wi"&amp;"kipedia|Wikipédia|WIKIPÉDIA""), ""Wikipedia"",
IF(REGEXMATCH(S5, ""VEJA|Veja""), ""Veja Abril"",
IF(REGEXMATCH(S277, ""Rede Globo|REDE GLOBO""), ""Rede Globo"",
IF(REGEXMATCH(S277, ""G1|globo\.com""), ""G1"",
IF(REGEXMATCH(S5, ""Deutsche Welle|DW\.com""),"&amp;" ""Deutsche Welle"",
IF(REGEXMATCH(S5, ""CIDH|Comissão Interamericana""), ""Comissão Interamericana de Direitos Humanos (CIDH)"",
IF(REGEXMATCH(S5, ""Pastoral Carcerária""), ""Pastoral Carcerária"",
IF(REGEXMATCH(S5, ""Esquerda Web""), ""Esquerda Web"",
I"&amp;"F(REGEXMATCH(S5, ""ONU|Organização das Nações Unidas""), ""ONU Brasil"",
IF(REGEXMATCH(S5, ""Quilombo Invisível""), ""Quilombo Invisível"",
IF(REGEXMATCH(S5, ""ALESP|Assembleia Legislativa""), ""ALESP"",
IF(REGEXMATCH(S5, ""Revista Opera""), ""Revista Ope"&amp;"ra"",
IF(REGEXMATCH(S5, ""SP Escola de Teatro""), ""SP Escola de Teatro"",
IF(REGEXMATCH(S5, ""EMC|Espaço Memória Carandiru""), ""EMC Espaço Memória Carandiru"",
IF(REGEXMATCH(S5, ""^RAMOS, Nuno|Nuno Ramos""), ""Nuno Ramos"",
IF(REGEXMATCH(S5, ""^VELOSO,"&amp;" Caetano|Caetano Veloso""), ""YouTube (Caetano Veloso)"",
IF(REGEXMATCH(S5, ""^FATOS REAIS""), ""YouTube (Fatos Reais - Topic)"",
IF(REGEXMATCH(S5, ""^SALA SECRETA""), ""Wordpress (Sala Secreta)"",
PROPER(REGEXEXTRACT(S5, ""^([^.]*)\.""))
))))))))))))))"&amp;"))))))))))))))))))))))))))))))))))))))))))"),"Esquerda Web")</f>
        <v>Esquerda Web</v>
      </c>
      <c r="N5" s="11" t="s">
        <v>47</v>
      </c>
      <c r="O5" s="11" t="s">
        <v>221</v>
      </c>
      <c r="P5" s="51">
        <v>45854.0</v>
      </c>
      <c r="Q5" s="11" t="s">
        <v>154</v>
      </c>
      <c r="R5" s="70" t="str">
        <f t="shared" si="2"/>
        <v>Aqui</v>
      </c>
      <c r="S5" s="75" t="s">
        <v>227</v>
      </c>
    </row>
    <row r="6">
      <c r="A6" s="11">
        <v>4.0</v>
      </c>
      <c r="B6" s="11" t="s">
        <v>228</v>
      </c>
      <c r="C6" s="122" t="s">
        <v>165</v>
      </c>
      <c r="D6" s="13" t="str">
        <f>IFERROR(__xludf.DUMMYFUNCTION("IF(B6="""","""",IF(OR(
  REGEXMATCH(B6,""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REGEXMATCH(B6,""público|Imediato|artística|teatral|memória"")
),""Público Imediato"",
IF(REGEXMATCH(B6,""Música|Álbum|Filme|Documentário|Série|Podcast|Rádi"&amp;"o|Audiotour|Entrevista|Reportagem|Crônica|Relatório|Abaixo-assinado|Manifesto|Petição|Poema|Livro|Fotografia|Curta|Live|Webinário|Charge|Leitura pública|Vídeo""),
""Público Mediado"","""")))
"),"Público Imediato")</f>
        <v>Público Imediato</v>
      </c>
      <c r="E6" s="13" t="str">
        <f>IFERROR(__xludf.DUMMYFUNCTION("IF(B6="""","""",IF(OR(
  REGEXMATCH(B6,""Live|Webinário|Virtual""),
  REGEXMATCH(B6,""online"")
),""Virtual"",
IF(REGEXMATCH(B6,""Música|Álbum|Filme|Documentário|Série|Podcast|Rádio|Audiotour|Episódio|Reportagem|Curta|Charge|Livro|Vídeo|Entrevista""),
""M"&amp;"idiático"",
IF(REGEXMATCH(B6,""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6" s="14">
        <v>1992.0</v>
      </c>
      <c r="G6" s="15">
        <f t="shared" si="1"/>
        <v>1992</v>
      </c>
      <c r="H6" s="11" t="s">
        <v>193</v>
      </c>
      <c r="I6" s="16" t="s">
        <v>196</v>
      </c>
      <c r="J6" s="17" t="s">
        <v>238</v>
      </c>
      <c r="K6" s="16" t="s">
        <v>91</v>
      </c>
      <c r="L6" s="18" t="s">
        <v>94</v>
      </c>
      <c r="M6" s="15" t="str">
        <f>IFERROR(__xludf.DUMMYFUNCTION("IF(REGEXMATCH(S6, ""Companhia das Letras""), ""Companhia das Letras"",
IF(REGEXMATCH(S6, ""Labortexto Editorial""), ""Labortexto Editorial"",
IF(REGEXMATCH(S6, ""Geração Editorial""), ""Geração Editorial"",
IF(REGEXMATCH(S6, ""Editora Imprensa Oficial|Imp"&amp;"rensa Oficial""), ""Editora Imprensa Oficial"",
IF(REGEXMATCH(S6, ""Folha Online""), ""Folha Online"",
IF(REGEXMATCH(S6, ""FGV DIREITO SP|FGV Direito SP""), ""FGV DIREITO SP"",
IF(REGEXMATCH(S6, ""massacrecarandiru\.org\.br""), ""Memória Massacre Carandir"&amp;"u"",
IF(REGEXMATCH(S6, ""Itaú Cultural""), ""YouTube (Itaú Cultural)"",
IF(REGEXMATCH(S6, ""Passa Palavra""), ""Vimeo (Passa Palavra)"",
IF(REGEXMATCH(S6, ""rede2deoutubro\.blogspot""), ""Blogspot (Rede 02 de Outubro)"",
IF(REGEXMATCH(S6, ""Rede TVT""), "&amp;"""YouTube (Rede TVT)"",
IF(REGEXMATCH(S6, ""Esquerda Diário""), ""Esquerda Diário"",
IF(REGEXMATCH(S6, ""GZH""), ""GZH"",
IF(REGEXMATCH(S6, ""TVPUC""), ""TVPUC"",
IF(REGEXMATCH(S6, ""Mídia Ninja.*Facebook""), ""Facebook (Mídia Ninja)"",
IF(REGEXMATCH(S6, "&amp;"""Memórias Carandiru.*Instagram""), ""Instagram (Memórias Carandiru)"",
IF(REGEXMATCH(S6, ""Frente pelo Desencarceramento SP""), ""YouTube (Frente Pelo Desencarceramento SP)"",
IF(REGEXMATCH(S6, ""TV ABA""), ""YouTube (TV ABA)"",
IF(REGEXMATCH(S6, ""TV SE"&amp;"NADO""), ""YouTube (TV Senado)"",
IF(REGEXMATCH(S6, ""Google Arts &amp; Culture""), ""Google Arts &amp; Culture (Memória Massacre Carandiru)"",
IF(REGEXMATCH(S6, ""Anistia Internacional|ANISTIA INTERNACIONAL""), ""Anistia Internacional"",
IF(REGEXMATCH(S6, ""47\."&amp;"mostra|47a Mostra""), ""47a Mostra Internacional de Cinema em São Paulo"",
IF(REGEXMATCH(S6, ""Canal USP""), ""YouTube (Canal USP)"",
IF(AND(
  REGEXMATCH(S6, ""(?i)(teses?\.usp\.br|dissertacoes?\.usp\.br|repositorio\.usp\.br)""),
  NOT(REGEXMATCH(S6, ""C"&amp;"anal USP""))
), ""Biblioteca Digital de Teses e Dissertações da USP"",
IF(REGEXMATCH(S6, ""SINTRAJUSC""), ""SINTRAJUSC"",
IF(REGEXMATCH(S6, ""Agência Brasil|Agencia Brasil""), ""Agência Brasil"",
IF(REGEXMATCH(S6, ""Brasil de Fato""), ""Brasil de Fato"",
"&amp;"IF(REGEXMATCH(S6, ""Ponte Jornalismo|pontejornalismo""), ""Ponte Jornalismo"",
IF(REGEXMATCH(S6, ""letras\.mus\.br|Letras,""), ""Letras"",
IF(REGEXMATCH(S6, ""YouTube|youtube""), 
   ""YouTube (""&amp;
   IF(REGEXMATCH(S6, ""Itaú Cultural""), ""Itaú Cultural"&amp;""",
   IF(REGEXMATCH(S6, ""Rede TVT""), ""Rede TVT"",
   IF(REGEXMATCH(S6, ""Frente pelo Desencarceramento SP""), ""Frente Pelo Desencarceramento SP"",
   IF(REGEXMATCH(S6, ""TV ABA""), ""TV ABA"",
   IF(REGEXMATCH(S6, ""TV SENADO""), ""TV Senado"",
   IF"&amp;"(REGEXMATCH(S6, ""Canal USP""), ""Canal USP"",
   IF(REGEXMATCH(S6, ""Douer, Zack|Zack Douer""), ""Douer Zack"",
   IF(REGEXMATCH(S6, ""PRISIONEIRO 84\.901|PRISIONEIRO 84""), ""Prisioneiro 84.901"",
   IF(REGEXMATCH(S6, ""^[^,]*, ""), 
        PROPER(REGE"&amp;"XREPLACE(REGEXEXTRACT(S6, ""^([^.]*)\.""), ""^([^,]*), (.*)"", ""$2 $1"")),
        PROPER(REGEXEXTRACT(S6, ""^([^.]*)\.""))
   )))))))))&amp;"")"",
IF(REGEXMATCH(S6, ""Spotify|spotify""), 
   ""Spotify (""&amp;
   IF(REGEXMATCH(S6, ""ESTRANHO SORRISO""), ""Estr"&amp;"anho Sorriso"",
   PROPER(REGEXEXTRACT(S6, ""^([^.]*)\.""))
   )&amp;"")"",
IF(REGEXMATCH(S6, ""Vimeo|vimeo""), 
   ""Vimeo (""&amp;
   IF(REGEXMATCH(S6, ""Passa Palavra""), ""Passa Palavra"",
   PROPER(REGEXEXTRACT(S6, ""^([^.]*)\.""))
   )&amp;"")"",
IF(REGEXMATC"&amp;"H(S6, ""Blogspot""), 
   ""Blogspot (""&amp;
   IF(REGEXMATCH(S6, ""rede2deoutubro""), ""Rede 02 de Outubro"",
   PROPER(REGEXEXTRACT(S6, ""^([^.]*)\.""))
   )&amp;"")"",
IF(REGEXMATCH(S6, ""Facebook""), 
   ""Facebook (""&amp;
   IF(REGEXMATCH(S6, ""Mídia Ninja""),"&amp;" ""Mídia Ninja"",
   PROPER(REGEXEXTRACT(S6, ""^([^.]*)\.""))
   )&amp;"")"",
IF(REGEXMATCH(S6, ""Instagram""), 
   ""Instagram (""&amp;
   IF(REGEXMATCH(S6, ""Memórias Carandiru""), ""Memórias Carandiru"",
   PROPER(REGEXEXTRACT(S6, ""^([^.]*)\.""))
   )&amp;"")"","&amp;"
IF(REGEXMATCH(S6, ""Folha de S\. Paulo|FOLHA DE S\. PAULO""), ""Folha de S. Paulo"",
IF(REGEXMATCH(S6, ""O Estado de S\. Paulo|ESTADAO""), ""O Estado de S. Paulo"",
IF(REGEXMATCH(S6, ""salasecreta""), ""Wordpress (Sala Secreta)"",
IF(REGEXMATCH(S6, ""Wi"&amp;"kipedia|Wikipédia|WIKIPÉDIA""), ""Wikipedia"",
IF(REGEXMATCH(S6, ""VEJA|Veja""), ""Veja Abril"",
IF(REGEXMATCH(S278, ""Rede Globo|REDE GLOBO""), ""Rede Globo"",
IF(REGEXMATCH(S278, ""G1|globo\.com""), ""G1"",
IF(REGEXMATCH(S6, ""Deutsche Welle|DW\.com""),"&amp;" ""Deutsche Welle"",
IF(REGEXMATCH(S6, ""CIDH|Comissão Interamericana""), ""Comissão Interamericana de Direitos Humanos (CIDH)"",
IF(REGEXMATCH(S6, ""Pastoral Carcerária""), ""Pastoral Carcerária"",
IF(REGEXMATCH(S6, ""Esquerda Web""), ""Esquerda Web"",
I"&amp;"F(REGEXMATCH(S6, ""ONU|Organização das Nações Unidas""), ""ONU Brasil"",
IF(REGEXMATCH(S6, ""Quilombo Invisível""), ""Quilombo Invisível"",
IF(REGEXMATCH(S6, ""ALESP|Assembleia Legislativa""), ""ALESP"",
IF(REGEXMATCH(S6, ""Revista Opera""), ""Revista Ope"&amp;"ra"",
IF(REGEXMATCH(S6, ""SP Escola de Teatro""), ""SP Escola de Teatro"",
IF(REGEXMATCH(S6, ""EMC|Espaço Memória Carandiru""), ""EMC Espaço Memória Carandiru"",
IF(REGEXMATCH(S6, ""^RAMOS, Nuno|Nuno Ramos""), ""Nuno Ramos"",
IF(REGEXMATCH(S6, ""^VELOSO,"&amp;" Caetano|Caetano Veloso""), ""YouTube (Caetano Veloso)"",
IF(REGEXMATCH(S6, ""^FATOS REAIS""), ""YouTube (Fatos Reais - Topic)"",
IF(REGEXMATCH(S6, ""^SALA SECRETA""), ""Wordpress (Sala Secreta)"",
PROPER(REGEXEXTRACT(S6, ""^([^.]*)\.""))
))))))))))))))"&amp;"))))))))))))))))))))))))))))))))))))))))))"),"Veja Abril")</f>
        <v>Veja Abril</v>
      </c>
      <c r="N6" s="11" t="s">
        <v>47</v>
      </c>
      <c r="O6" s="11" t="s">
        <v>221</v>
      </c>
      <c r="P6" s="51">
        <v>45854.0</v>
      </c>
      <c r="Q6" s="11" t="s">
        <v>154</v>
      </c>
      <c r="R6" s="70" t="str">
        <f t="shared" si="2"/>
        <v>Aqui</v>
      </c>
      <c r="S6" s="75" t="s">
        <v>283</v>
      </c>
    </row>
    <row r="7">
      <c r="A7" s="11">
        <v>5.0</v>
      </c>
      <c r="B7" s="11" t="s">
        <v>286</v>
      </c>
      <c r="C7" s="12" t="str">
        <f>IFERROR(__xludf.DUMMYFUNCTION("IF(B7="""","""",IF(OR(
  REGEXMATCH(B7,""Performance|Instalação|Álbum|Música|Poema|Livro|Filme|Documentário|Recitação|Espetáculo|Peça|Intervenção|Desfile|Fotografia|Exposição|Charge|Grafite|Leitura pública|Fabricação de cachaça artesanal""),
  REGEXMATCH("&amp;"B7,""dança|teatral|artístico|musical|artística"")
),""Manifestação artístico-cultural"",
IF(OR(
  REGEXMATCH(B7,""Crônica|Série|Reportagem|Podcast|Audiotour|Entrevista|Vídeo|Rádio""),
  REGEXMATCH(B7,""midiática"")
),""Produção midiática"","""")))
"),"Manifestação artístico-cultural")</f>
        <v>Manifestação artístico-cultural</v>
      </c>
      <c r="D7" s="13" t="str">
        <f>IFERROR(__xludf.DUMMYFUNCTION("IF(B7="""","""",IF(OR(
  REGEXMATCH(B7,""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REGEXMATCH(B7,""público|Imediato|artística|teatral|memória"")
),""Público Imediato"",
IF(REGEXMATCH(B7,""Música|Álbum|Filme|Documentário|Série|Podcast|Rádi"&amp;"o|Audiotour|Entrevista|Reportagem|Crônica|Relatório|Abaixo-assinado|Manifesto|Petição|Poema|Livro|Fotografia|Curta|Live|Webinário|Charge|Leitura pública|Vídeo""),
""Público Mediado"","""")))
"),"Público Mediado")</f>
        <v>Público Mediado</v>
      </c>
      <c r="E7" s="13" t="str">
        <f>IFERROR(__xludf.DUMMYFUNCTION("IF(B7="""","""",IF(OR(
  REGEXMATCH(B7,""Live|Webinário|Virtual""),
  REGEXMATCH(B7,""online"")
),""Virtual"",
IF(REGEXMATCH(B7,""Música|Álbum|Filme|Documentário|Série|Podcast|Rádio|Audiotour|Episódio|Reportagem|Curta|Charge|Livro|Vídeo|Entrevista""),
""M"&amp;"idiático"",
IF(REGEXMATCH(B7,""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"),"Midiático")</f>
        <v>Midiático</v>
      </c>
      <c r="F7" s="14">
        <v>1992.0</v>
      </c>
      <c r="G7" s="15">
        <f t="shared" si="1"/>
        <v>1992</v>
      </c>
      <c r="H7" s="11" t="s">
        <v>23</v>
      </c>
      <c r="I7" s="16" t="s">
        <v>310</v>
      </c>
      <c r="J7" s="17" t="s">
        <v>312</v>
      </c>
      <c r="K7" s="16" t="s">
        <v>233</v>
      </c>
      <c r="L7" s="18" t="s">
        <v>316</v>
      </c>
      <c r="M7" s="15" t="str">
        <f>IFERROR(__xludf.DUMMYFUNCTION("IF(REGEXMATCH(S7, ""Companhia das Letras""), ""Companhia das Letras"",
IF(REGEXMATCH(S7, ""Labortexto Editorial""), ""Labortexto Editorial"",
IF(REGEXMATCH(S7, ""Geração Editorial""), ""Geração Editorial"",
IF(REGEXMATCH(S7, ""Editora Imprensa Oficial|Imp"&amp;"rensa Oficial""), ""Editora Imprensa Oficial"",
IF(REGEXMATCH(S7, ""Folha Online""), ""Folha Online"",
IF(REGEXMATCH(S7, ""FGV DIREITO SP|FGV Direito SP""), ""FGV DIREITO SP"",
IF(REGEXMATCH(S7, ""massacrecarandiru\.org\.br""), ""Memória Massacre Carandir"&amp;"u"",
IF(REGEXMATCH(S7, ""Itaú Cultural""), ""YouTube (Itaú Cultural)"",
IF(REGEXMATCH(S7, ""Passa Palavra""), ""Vimeo (Passa Palavra)"",
IF(REGEXMATCH(S7, ""rede2deoutubro\.blogspot""), ""Blogspot (Rede 02 de Outubro)"",
IF(REGEXMATCH(S7, ""Rede TVT""), "&amp;"""YouTube (Rede TVT)"",
IF(REGEXMATCH(S7, ""Esquerda Diário""), ""Esquerda Diário"",
IF(REGEXMATCH(S7, ""GZH""), ""GZH"",
IF(REGEXMATCH(S7, ""TVPUC""), ""TVPUC"",
IF(REGEXMATCH(S7, ""Mídia Ninja.*Facebook""), ""Facebook (Mídia Ninja)"",
IF(REGEXMATCH(S7, "&amp;"""Memórias Carandiru.*Instagram""), ""Instagram (Memórias Carandiru)"",
IF(REGEXMATCH(S7, ""Frente pelo Desencarceramento SP""), ""YouTube (Frente Pelo Desencarceramento SP)"",
IF(REGEXMATCH(S7, ""TV ABA""), ""YouTube (TV ABA)"",
IF(REGEXMATCH(S7, ""TV SE"&amp;"NADO""), ""YouTube (TV Senado)"",
IF(REGEXMATCH(S7, ""Google Arts &amp; Culture""), ""Google Arts &amp; Culture (Memória Massacre Carandiru)"",
IF(REGEXMATCH(S7, ""Anistia Internacional|ANISTIA INTERNACIONAL""), ""Anistia Internacional"",
IF(REGEXMATCH(S7, ""47\."&amp;"mostra|47a Mostra""), ""47a Mostra Internacional de Cinema em São Paulo"",
IF(REGEXMATCH(S7, ""Canal USP""), ""YouTube (Canal USP)"",
IF(AND(
  REGEXMATCH(S7, ""(?i)(teses?\.usp\.br|dissertacoes?\.usp\.br|repositorio\.usp\.br)""),
  NOT(REGEXMATCH(S7, ""C"&amp;"anal USP""))
), ""Biblioteca Digital de Teses e Dissertações da USP"",
IF(REGEXMATCH(S7, ""SINTRAJUSC""), ""SINTRAJUSC"",
IF(REGEXMATCH(S7, ""Agência Brasil|Agencia Brasil""), ""Agência Brasil"",
IF(REGEXMATCH(S7, ""Brasil de Fato""), ""Brasil de Fato"",
"&amp;"IF(REGEXMATCH(S7, ""Ponte Jornalismo|pontejornalismo""), ""Ponte Jornalismo"",
IF(REGEXMATCH(S7, ""letras\.mus\.br|Letras,""), ""Letras"",
IF(REGEXMATCH(S7, ""YouTube|youtube""), 
   ""YouTube (""&amp;
   IF(REGEXMATCH(S7, ""Itaú Cultural""), ""Itaú Cultural"&amp;""",
   IF(REGEXMATCH(S7, ""Rede TVT""), ""Rede TVT"",
   IF(REGEXMATCH(S7, ""Frente pelo Desencarceramento SP""), ""Frente Pelo Desencarceramento SP"",
   IF(REGEXMATCH(S7, ""TV ABA""), ""TV ABA"",
   IF(REGEXMATCH(S7, ""TV SENADO""), ""TV Senado"",
   IF"&amp;"(REGEXMATCH(S7, ""Canal USP""), ""Canal USP"",
   IF(REGEXMATCH(S7, ""Douer, Zack|Zack Douer""), ""Douer Zack"",
   IF(REGEXMATCH(S7, ""PRISIONEIRO 84\.901|PRISIONEIRO 84""), ""Prisioneiro 84.901"",
   IF(REGEXMATCH(S7, ""^[^,]*, ""), 
        PROPER(REGE"&amp;"XREPLACE(REGEXEXTRACT(S7, ""^([^.]*)\.""), ""^([^,]*), (.*)"", ""$2 $1"")),
        PROPER(REGEXEXTRACT(S7, ""^([^.]*)\.""))
   )))))))))&amp;"")"",
IF(REGEXMATCH(S7, ""Spotify|spotify""), 
   ""Spotify (""&amp;
   IF(REGEXMATCH(S7, ""ESTRANHO SORRISO""), ""Estr"&amp;"anho Sorriso"",
   PROPER(REGEXEXTRACT(S7, ""^([^.]*)\.""))
   )&amp;"")"",
IF(REGEXMATCH(S7, ""Vimeo|vimeo""), 
   ""Vimeo (""&amp;
   IF(REGEXMATCH(S7, ""Passa Palavra""), ""Passa Palavra"",
   PROPER(REGEXEXTRACT(S7, ""^([^.]*)\.""))
   )&amp;"")"",
IF(REGEXMATC"&amp;"H(S7, ""Blogspot""), 
   ""Blogspot (""&amp;
   IF(REGEXMATCH(S7, ""rede2deoutubro""), ""Rede 02 de Outubro"",
   PROPER(REGEXEXTRACT(S7, ""^([^.]*)\.""))
   )&amp;"")"",
IF(REGEXMATCH(S7, ""Facebook""), 
   ""Facebook (""&amp;
   IF(REGEXMATCH(S7, ""Mídia Ninja""),"&amp;" ""Mídia Ninja"",
   PROPER(REGEXEXTRACT(S7, ""^([^.]*)\.""))
   )&amp;"")"",
IF(REGEXMATCH(S7, ""Instagram""), 
   ""Instagram (""&amp;
   IF(REGEXMATCH(S7, ""Memórias Carandiru""), ""Memórias Carandiru"",
   PROPER(REGEXEXTRACT(S7, ""^([^.]*)\.""))
   )&amp;"")"","&amp;"
IF(REGEXMATCH(S7, ""Folha de S\. Paulo|FOLHA DE S\. PAULO""), ""Folha de S. Paulo"",
IF(REGEXMATCH(S7, ""O Estado de S\. Paulo|ESTADAO""), ""O Estado de S. Paulo"",
IF(REGEXMATCH(S7, ""salasecreta""), ""Wordpress (Sala Secreta)"",
IF(REGEXMATCH(S7, ""Wi"&amp;"kipedia|Wikipédia|WIKIPÉDIA""), ""Wikipedia"",
IF(REGEXMATCH(S7, ""VEJA|Veja""), ""Veja Abril"",
IF(REGEXMATCH(S279, ""Rede Globo|REDE GLOBO""), ""Rede Globo"",
IF(REGEXMATCH(S279, ""G1|globo\.com""), ""G1"",
IF(REGEXMATCH(S7, ""Deutsche Welle|DW\.com""),"&amp;" ""Deutsche Welle"",
IF(REGEXMATCH(S7, ""CIDH|Comissão Interamericana""), ""Comissão Interamericana de Direitos Humanos (CIDH)"",
IF(REGEXMATCH(S7, ""Pastoral Carcerária""), ""Pastoral Carcerária"",
IF(REGEXMATCH(S7, ""Esquerda Web""), ""Esquerda Web"",
I"&amp;"F(REGEXMATCH(S7, ""ONU|Organização das Nações Unidas""), ""ONU Brasil"",
IF(REGEXMATCH(S7, ""Quilombo Invisível""), ""Quilombo Invisível"",
IF(REGEXMATCH(S7, ""ALESP|Assembleia Legislativa""), ""ALESP"",
IF(REGEXMATCH(S7, ""Revista Opera""), ""Revista Ope"&amp;"ra"",
IF(REGEXMATCH(S7, ""SP Escola de Teatro""), ""SP Escola de Teatro"",
IF(REGEXMATCH(S7, ""EMC|Espaço Memória Carandiru""), ""EMC Espaço Memória Carandiru"",
IF(REGEXMATCH(S7, ""^RAMOS, Nuno|Nuno Ramos""), ""Nuno Ramos"",
IF(REGEXMATCH(S7, ""^VELOSO,"&amp;" Caetano|Caetano Veloso""), ""YouTube (Caetano Veloso)"",
IF(REGEXMATCH(S7, ""^FATOS REAIS""), ""YouTube (Fatos Reais - Topic)"",
IF(REGEXMATCH(S7, ""^SALA SECRETA""), ""Wordpress (Sala Secreta)"",
PROPER(REGEXEXTRACT(S7, ""^([^.]*)\.""))
))))))))))))))"&amp;"))))))))))))))))))))))))))))))))))))))))))"),"Wordpress (Sala Secreta)")</f>
        <v>Wordpress (Sala Secreta)</v>
      </c>
      <c r="N7" s="11" t="s">
        <v>47</v>
      </c>
      <c r="O7" s="11" t="s">
        <v>149</v>
      </c>
      <c r="P7" s="51">
        <v>45856.0</v>
      </c>
      <c r="Q7" s="11" t="s">
        <v>154</v>
      </c>
      <c r="R7" s="70" t="str">
        <f t="shared" si="2"/>
        <v>Aqui</v>
      </c>
      <c r="S7" s="75" t="s">
        <v>332</v>
      </c>
    </row>
    <row r="8">
      <c r="A8" s="11">
        <v>6.0</v>
      </c>
      <c r="B8" s="11" t="s">
        <v>333</v>
      </c>
      <c r="C8" s="12" t="str">
        <f>IFERROR(__xludf.DUMMYFUNCTION("IF(B8="""","""",IF(OR(
  REGEXMATCH(B8,""Performance|Instalação|Álbum|Música|Poema|Livro|Filme|Documentário|Recitação|Espetáculo|Peça|Intervenção|Desfile|Fotografia|Exposição|Charge|Grafite|Leitura pública|Fabricação de cachaça artesanal""),
  REGEXMATCH("&amp;"B8,""dança|teatral|artístico|musical|artística"")
),""Manifestação artístico-cultural"",
IF(OR(
  REGEXMATCH(B8,""Crônica|Série|Reportagem|Podcast|Audiotour|Entrevista|Vídeo|Rádio""),
  REGEXMATCH(B8,""midiática"")
),""Produção midiática"","""")))
"),"Produção midiática")</f>
        <v>Produção midiática</v>
      </c>
      <c r="D8" s="13" t="str">
        <f>IFERROR(__xludf.DUMMYFUNCTION("IF(B8="""","""",IF(OR(
  REGEXMATCH(B8,""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REGEXMATCH(B8,""público|Imediato|artística|teatral|memória"")
),""Público Imediato"",
IF(REGEXMATCH(B8,""Música|Álbum|Filme|Documentário|Série|Podcast|Rádi"&amp;"o|Audiotour|Entrevista|Reportagem|Crônica|Relatório|Abaixo-assinado|Manifesto|Petição|Poema|Livro|Fotografia|Curta|Live|Webinário|Charge|Leitura pública|Vídeo""),
""Público Mediado"","""")))
"),"Público Mediado")</f>
        <v>Público Mediado</v>
      </c>
      <c r="E8" s="13" t="str">
        <f>IFERROR(__xludf.DUMMYFUNCTION("IF(B8="""","""",IF(OR(
  REGEXMATCH(B8,""Live|Webinário|Virtual""),
  REGEXMATCH(B8,""online"")
),""Virtual"",
IF(REGEXMATCH(B8,""Música|Álbum|Filme|Documentário|Série|Podcast|Rádio|Audiotour|Episódio|Reportagem|Curta|Charge|Livro|Vídeo|Entrevista""),
""M"&amp;"idiático"",
IF(REGEXMATCH(B8,""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"),"Midiático")</f>
        <v>Midiático</v>
      </c>
      <c r="F8" s="11">
        <v>1992.0</v>
      </c>
      <c r="G8" s="15">
        <f t="shared" si="1"/>
        <v>1992</v>
      </c>
      <c r="H8" s="11" t="s">
        <v>336</v>
      </c>
      <c r="I8" s="16" t="s">
        <v>337</v>
      </c>
      <c r="J8" s="169" t="str">
        <f>IFERROR(__xludf.DUMMYFUNCTION("REGEXEXTRACT(S8, ""\.\s(.*?)(?:\.|–)"")"),"Massacre no Carandiru")</f>
        <v>Massacre no Carandiru</v>
      </c>
      <c r="K8" s="16" t="s">
        <v>83</v>
      </c>
      <c r="L8" s="18" t="s">
        <v>329</v>
      </c>
      <c r="M8" s="170" t="s">
        <v>341</v>
      </c>
      <c r="N8" s="11" t="s">
        <v>47</v>
      </c>
      <c r="O8" s="14" t="s">
        <v>342</v>
      </c>
      <c r="P8" s="171">
        <v>45945.0</v>
      </c>
      <c r="Q8" s="11" t="s">
        <v>154</v>
      </c>
      <c r="R8" s="70" t="str">
        <f t="shared" si="2"/>
        <v>Aqui</v>
      </c>
      <c r="S8" s="172" t="s">
        <v>343</v>
      </c>
    </row>
    <row r="9">
      <c r="A9" s="11">
        <v>7.0</v>
      </c>
      <c r="B9" s="14" t="s">
        <v>333</v>
      </c>
      <c r="C9" s="173" t="str">
        <f>IFERROR(__xludf.DUMMYFUNCTION("IF(B9="""","""",IF(OR(
  REGEXMATCH(B9,""Performance|Instalação|Álbum|Música|Poema|Livro|Filme|Documentário|Recitação|Espetáculo|Peça|Intervenção|Desfile|Fotografia|Exposição|Charge|Grafite|Leitura pública|Fabricação de cachaça artesanal""),
  REGEXMATCH("&amp;"B9,""dança|teatral|artístico|musical|artística"")
),""Manifestação artístico-cultural"",
IF(OR(
  REGEXMATCH(B9,""Crônica|Série|Reportagem|Podcast|Audiotour|Entrevista|Vídeo|Rádio""),
  REGEXMATCH(B9,""midiática"")
),""Produção midiática"","""")))
"),"Produção midiática")</f>
        <v>Produção midiática</v>
      </c>
      <c r="D9" s="174" t="str">
        <f>IFERROR(__xludf.DUMMYFUNCTION("IF(B9="""","""",IF(OR(
  REGEXMATCH(B9,""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REGEXMATCH(B9,""público|Imediato|artística|teatral|memória"")
),""Público Imediato"",
IF(REGEXMATCH(B9,""Música|Álbum|Filme|Documentário|Série|Podcast|Rádi"&amp;"o|Audiotour|Entrevista|Reportagem|Crônica|Relatório|Abaixo-assinado|Manifesto|Petição|Poema|Livro|Fotografia|Curta|Live|Webinário|Charge|Leitura pública|Vídeo""),
""Público Mediado"","""")))
"),"Público Mediado")</f>
        <v>Público Mediado</v>
      </c>
      <c r="E9" s="174" t="str">
        <f>IFERROR(__xludf.DUMMYFUNCTION("IF(B9="""","""",IF(OR(
  REGEXMATCH(B9,""Live|Webinário|Virtual""),
  REGEXMATCH(B9,""online"")
),""Virtual"",
IF(REGEXMATCH(B9,""Música|Álbum|Filme|Documentário|Série|Podcast|Rádio|Audiotour|Episódio|Reportagem|Curta|Charge|Livro|Vídeo|Entrevista""),
""M"&amp;"idiático"",
IF(REGEXMATCH(B9,""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"),"Midiático")</f>
        <v>Midiático</v>
      </c>
      <c r="F9" s="14">
        <v>1992.0</v>
      </c>
      <c r="G9" s="170">
        <f t="shared" si="1"/>
        <v>1992</v>
      </c>
      <c r="H9" s="14" t="s">
        <v>347</v>
      </c>
      <c r="I9" s="175" t="s">
        <v>337</v>
      </c>
      <c r="J9" s="176" t="str">
        <f>IFERROR(__xludf.DUMMYFUNCTION("REGEXEXTRACT(S9, ""\.\s(.*?)(?:\s*YouTube|\[)"")"),"Massacre no Carandiru – Reportagem: Outubro de 1992. ")</f>
        <v>Massacre no Carandiru – Reportagem: Outubro de 1992. </v>
      </c>
      <c r="K9" s="175" t="s">
        <v>83</v>
      </c>
      <c r="L9" s="177" t="s">
        <v>329</v>
      </c>
      <c r="M9" s="170" t="str">
        <f>IFERROR(__xludf.DUMMYFUNCTION("IF(REGEXMATCH(S9, ""Companhia das Letras""), ""Companhia das Letras"",
IF(REGEXMATCH(S9, ""Labortexto Editorial""), ""Labortexto Editorial"",
IF(REGEXMATCH(S9, ""Geração Editorial""), ""Geração Editorial"",
IF(REGEXMATCH(S9, ""Editora Imprensa Oficial|Imp"&amp;"rensa Oficial""), ""Editora Imprensa Oficial"",
IF(REGEXMATCH(S9, ""Folha Online""), ""Folha Online"",
IF(REGEXMATCH(S9, ""FGV DIREITO SP|FGV Direito SP""), ""FGV DIREITO SP"",
IF(REGEXMATCH(S9, ""massacrecarandiru\.org\.br""), ""Memória Massacre Carandir"&amp;"u"",
IF(REGEXMATCH(S9, ""Itaú Cultural""), ""YouTube (Itaú Cultural)"",
IF(REGEXMATCH(S9, ""Passa Palavra""), ""Vimeo (Passa Palavra)"",
IF(REGEXMATCH(S9, ""rede2deoutubro\.blogspot""), ""Blogspot (Rede 02 de Outubro)"",
IF(REGEXMATCH(S9, ""Rede TVT""), "&amp;"""YouTube (Rede TVT)"",
IF(REGEXMATCH(S9, ""Esquerda Diário""), ""Esquerda Diário"",
IF(REGEXMATCH(S9, ""GZH""), ""GZH"",
IF(REGEXMATCH(S9, ""TVPUC""), ""TVPUC"",
IF(REGEXMATCH(S9, ""Mídia Ninja.*Facebook""), ""Facebook (Mídia Ninja)"",
IF(REGEXMATCH(S9, "&amp;"""Memórias Carandiru.*Instagram""), ""Instagram (Memórias Carandiru)"",
IF(REGEXMATCH(S9, ""Frente pelo Desencarceramento SP""), ""YouTube (Frente Pelo Desencarceramento SP)"",
IF(REGEXMATCH(S9, ""TV ABA""), ""YouTube (TV ABA)"",
IF(REGEXMATCH(S9, ""TV SE"&amp;"NADO""), ""YouTube (TV Senado)"",
IF(REGEXMATCH(S9, ""Google Arts &amp; Culture""), ""Google Arts &amp; Culture (Memória Massacre Carandiru)"",
IF(REGEXMATCH(S9, ""Anistia Internacional|ANISTIA INTERNACIONAL""), ""Anistia Internacional"",
IF(REGEXMATCH(S9, ""47\."&amp;"mostra|47a Mostra""), ""47a Mostra Internacional de Cinema em São Paulo"",
IF(REGEXMATCH(S9, ""Canal USP""), ""YouTube (Canal USP)"",
IF(AND(
  REGEXMATCH(S9, ""(?i)(teses?\.usp\.br|dissertacoes?\.usp\.br|repositorio\.usp\.br)""),
  NOT(REGEXMATCH(S9, ""C"&amp;"anal USP""))
), ""Biblioteca Digital de Teses e Dissertações da USP"",
IF(REGEXMATCH(S9, ""SINTRAJUSC""), ""SINTRAJUSC"",
IF(REGEXMATCH(S9, ""Agência Brasil|Agencia Brasil""), ""Agência Brasil"",
IF(REGEXMATCH(S9, ""Brasil de Fato""), ""Brasil de Fato"",
"&amp;"IF(REGEXMATCH(S9, ""Ponte Jornalismo|pontejornalismo""), ""Ponte Jornalismo"",
IF(REGEXMATCH(S9, ""letras\.mus\.br|Letras,""), ""Letras"",
IF(REGEXMATCH(S9, ""YouTube|youtube""), 
   ""YouTube (""&amp;
   IF(REGEXMATCH(S9, ""Itaú Cultural""), ""Itaú Cultural"&amp;""",
   IF(REGEXMATCH(S9, ""Rede TVT""), ""Rede TVT"",
   IF(REGEXMATCH(S9, ""Frente pelo Desencarceramento SP""), ""Frente Pelo Desencarceramento SP"",
   IF(REGEXMATCH(S9, ""TV ABA""), ""TV ABA"",
   IF(REGEXMATCH(S9, ""TV SENADO""), ""TV Senado"",
   IF"&amp;"(REGEXMATCH(S9, ""Canal USP""), ""Canal USP"",
   IF(REGEXMATCH(S9, ""Douer, Zack|Zack Douer""), ""Douer Zack"",
   IF(REGEXMATCH(S9, ""PRISIONEIRO 84\.901|PRISIONEIRO 84""), ""Prisioneiro 84.901"",
   IF(REGEXMATCH(S9, ""^[^,]*, ""), 
        PROPER(REGE"&amp;"XREPLACE(REGEXEXTRACT(S9, ""^([^.]*)\.""), ""^([^,]*), (.*)"", ""$2 $1"")),
        PROPER(REGEXEXTRACT(S9, ""^([^.]*)\.""))
   )))))))))&amp;"")"",
IF(REGEXMATCH(S9, ""Spotify|spotify""), 
   ""Spotify (""&amp;
   IF(REGEXMATCH(S9, ""ESTRANHO SORRISO""), ""Estr"&amp;"anho Sorriso"",
   PROPER(REGEXEXTRACT(S9, ""^([^.]*)\.""))
   )&amp;"")"",
IF(REGEXMATCH(S9, ""Vimeo|vimeo""), 
   ""Vimeo (""&amp;
   IF(REGEXMATCH(S9, ""Passa Palavra""), ""Passa Palavra"",
   PROPER(REGEXEXTRACT(S9, ""^([^.]*)\.""))
   )&amp;"")"",
IF(REGEXMATC"&amp;"H(S9, ""Blogspot""), 
   ""Blogspot (""&amp;
   IF(REGEXMATCH(S9, ""rede2deoutubro""), ""Rede 02 de Outubro"",
   PROPER(REGEXEXTRACT(S9, ""^([^.]*)\.""))
   )&amp;"")"",
IF(REGEXMATCH(S9, ""Facebook""), 
   ""Facebook (""&amp;
   IF(REGEXMATCH(S9, ""Mídia Ninja""),"&amp;" ""Mídia Ninja"",
   PROPER(REGEXEXTRACT(S9, ""^([^.]*)\.""))
   )&amp;"")"",
IF(REGEXMATCH(S9, ""Instagram""), 
   ""Instagram (""&amp;
   IF(REGEXMATCH(S9, ""Memórias Carandiru""), ""Memórias Carandiru"",
   PROPER(REGEXEXTRACT(S9, ""^([^.]*)\.""))
   )&amp;"")"","&amp;"
IF(REGEXMATCH(S9, ""Folha de S\. Paulo|FOLHA DE S\. PAULO""), ""Folha de S. Paulo"",
IF(REGEXMATCH(S9, ""O Estado de S\. Paulo|ESTADAO""), ""O Estado de S. Paulo"",
IF(REGEXMATCH(S9, ""salasecreta""), ""Wordpress (Sala Secreta)"",
IF(REGEXMATCH(S9, ""Wi"&amp;"kipedia|Wikipédia|WIKIPÉDIA""), ""Wikipedia"",
IF(REGEXMATCH(S9, ""VEJA|Veja""), ""Veja Abril"",
IF(REGEXMATCH(S281, ""Rede Globo|REDE GLOBO""), ""Rede Globo"",
IF(REGEXMATCH(S281, ""G1|globo\.com""), ""G1"",
IF(REGEXMATCH(S9, ""Deutsche Welle|DW\.com""),"&amp;" ""Deutsche Welle"",
IF(REGEXMATCH(S9, ""CIDH|Comissão Interamericana""), ""Comissão Interamericana de Direitos Humanos (CIDH)"",
IF(REGEXMATCH(S9, ""Pastoral Carcerária""), ""Pastoral Carcerária"",
IF(REGEXMATCH(S9, ""Esquerda Web""), ""Esquerda Web"",
I"&amp;"F(REGEXMATCH(S9, ""ONU|Organização das Nações Unidas""), ""ONU Brasil"",
IF(REGEXMATCH(S9, ""Quilombo Invisível""), ""Quilombo Invisível"",
IF(REGEXMATCH(S9, ""ALESP|Assembleia Legislativa""), ""ALESP"",
IF(REGEXMATCH(S9, ""Revista Opera""), ""Revista Ope"&amp;"ra"",
IF(REGEXMATCH(S9, ""SP Escola de Teatro""), ""SP Escola de Teatro"",
IF(REGEXMATCH(S9, ""EMC|Espaço Memória Carandiru""), ""EMC Espaço Memória Carandiru"",
IF(REGEXMATCH(S9, ""^RAMOS, Nuno|Nuno Ramos""), ""Nuno Ramos"",
IF(REGEXMATCH(S9, ""^VELOSO,"&amp;" Caetano|Caetano Veloso""), ""YouTube (Caetano Veloso)"",
IF(REGEXMATCH(S9, ""^FATOS REAIS""), ""YouTube (Fatos Reais - Topic)"",
IF(REGEXMATCH(S9, ""^SALA SECRETA""), ""Wordpress (Sala Secreta)"",
PROPER(REGEXEXTRACT(S9, ""^([^.]*)\.""))
))))))))))))))"&amp;"))))))))))))))))))))))))))))))))))))))))))"),"YouTube (Stracker)")</f>
        <v>YouTube (Stracker)</v>
      </c>
      <c r="N9" s="14" t="s">
        <v>47</v>
      </c>
      <c r="O9" s="14" t="s">
        <v>342</v>
      </c>
      <c r="P9" s="178">
        <v>45945.0</v>
      </c>
      <c r="Q9" s="14" t="s">
        <v>154</v>
      </c>
      <c r="R9" s="179" t="str">
        <f t="shared" si="2"/>
        <v>Aqui</v>
      </c>
      <c r="S9" s="180" t="s">
        <v>357</v>
      </c>
    </row>
    <row r="10">
      <c r="A10" s="11">
        <v>8.0</v>
      </c>
      <c r="B10" s="11" t="s">
        <v>333</v>
      </c>
      <c r="C10" s="12" t="str">
        <f>IFERROR(__xludf.DUMMYFUNCTION("IF(B10="""","""",IF(OR(
  REGEXMATCH(B10,""Performance|Instalação|Álbum|Música|Poema|Livro|Filme|Documentário|Recitação|Espetáculo|Peça|Intervenção|Desfile|Fotografia|Exposição|Charge|Grafite|Leitura pública|Fabricação de cachaça artesanal""),
  REGEXMATC"&amp;"H(B10,""dança|teatral|artístico|musical|artística"")
),""Manifestação artístico-cultural"",
IF(OR(
  REGEXMATCH(B10,""Crônica|Série|Reportagem|Podcast|Audiotour|Entrevista|Vídeo|Rádio""),
  REGEXMATCH(B10,""midiática"")
),""Produção midiática"","""")))
"),"Produção midiática")</f>
        <v>Produção midiática</v>
      </c>
      <c r="D10" s="13" t="str">
        <f>IFERROR(__xludf.DUMMYFUNCTION("IF(B10="""","""",IF(OR(
  REGEXMATCH(B10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REGEXMATCH(B10,""público|Imediato|artística|teatral|memória"")
),""Público Imediato"",
IF(REGEXMATCH(B10,""Música|Álbum|Filme|Documentário|Série|Podcast|"&amp;"Rádio|Audiotour|Entrevista|Reportagem|Crônica|Relatório|Abaixo-assinado|Manifesto|Petição|Poema|Livro|Fotografia|Curta|Live|Webinário|Charge|Leitura pública|Vídeo""),
""Público Mediado"","""")))
"),"Público Mediado")</f>
        <v>Público Mediado</v>
      </c>
      <c r="E10" s="13" t="str">
        <f>IFERROR(__xludf.DUMMYFUNCTION("IF(B10="""","""",IF(OR(
  REGEXMATCH(B10,""Live|Webinário|Virtual""),
  REGEXMATCH(B10,""online"")
),""Virtual"",
IF(REGEXMATCH(B10,""Música|Álbum|Filme|Documentário|Série|Podcast|Rádio|Audiotour|Episódio|Reportagem|Curta|Charge|Livro|Vídeo|Entrevista""),"&amp;"
""Midiático"",
IF(REGEXMATCH(B10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0" s="11">
        <v>1992.0</v>
      </c>
      <c r="G10" s="15">
        <f t="shared" si="1"/>
        <v>1992</v>
      </c>
      <c r="H10" s="181" t="s">
        <v>347</v>
      </c>
      <c r="I10" s="16" t="s">
        <v>361</v>
      </c>
      <c r="J10" s="169" t="str">
        <f>IFERROR(__xludf.DUMMYFUNCTION("REGEXEXTRACT(S10, ""\.\s(.*?)\s*YouTube"")"),"Massacre no Carandiru 1992. Reportagem original da Rede Globo.")</f>
        <v>Massacre no Carandiru 1992. Reportagem original da Rede Globo.</v>
      </c>
      <c r="K10" s="16" t="s">
        <v>83</v>
      </c>
      <c r="L10" s="18" t="s">
        <v>329</v>
      </c>
      <c r="M10" s="15" t="str">
        <f>IFERROR(__xludf.DUMMYFUNCTION("IF(REGEXMATCH(S10, ""Companhia das Letras""), ""Companhia das Letras"",
IF(REGEXMATCH(S10, ""Labortexto Editorial""), ""Labortexto Editorial"",
IF(REGEXMATCH(S10, ""Geração Editorial""), ""Geração Editorial"",
IF(REGEXMATCH(S10, ""Editora Imprensa Oficial"&amp;"|Imprensa Oficial""), ""Editora Imprensa Oficial"",
IF(REGEXMATCH(S10, ""Folha Online""), ""Folha Online"",
IF(REGEXMATCH(S10, ""FGV DIREITO SP|FGV Direito SP""), ""FGV DIREITO SP"",
IF(REGEXMATCH(S10, ""massacrecarandiru\.org\.br""), ""Memória Massacre C"&amp;"arandiru"",
IF(REGEXMATCH(S10, ""Itaú Cultural""), ""YouTube (Itaú Cultural)"",
IF(REGEXMATCH(S10, ""Passa Palavra""), ""Vimeo (Passa Palavra)"",
IF(REGEXMATCH(S10, ""rede2deoutubro\.blogspot""), ""Blogspot (Rede 02 de Outubro)"",
IF(REGEXMATCH(S10, ""Red"&amp;"e TVT""), ""YouTube (Rede TVT)"",
IF(REGEXMATCH(S10, ""Esquerda Diário""), ""Esquerda Diário"",
IF(REGEXMATCH(S10, ""GZH""), ""GZH"",
IF(REGEXMATCH(S10, ""TVPUC""), ""TVPUC"",
IF(REGEXMATCH(S10, ""Mídia Ninja.*Facebook""), ""Facebook (Mídia Ninja)"",
IF(R"&amp;"EGEXMATCH(S10, ""Memórias Carandiru.*Instagram""), ""Instagram (Memórias Carandiru)"",
IF(REGEXMATCH(S10, ""Frente pelo Desencarceramento SP""), ""YouTube (Frente Pelo Desencarceramento SP)"",
IF(REGEXMATCH(S10, ""TV ABA""), ""YouTube (TV ABA)"",
IF(REGEX"&amp;"MATCH(S10, ""TV SENADO""), ""YouTube (TV Senado)"",
IF(REGEXMATCH(S10, ""Google Arts &amp; Culture""), ""Google Arts &amp; Culture (Memória Massacre Carandiru)"",
IF(REGEXMATCH(S10, ""Anistia Internacional|ANISTIA INTERNACIONAL""), ""Anistia Internacional"",
IF(R"&amp;"EGEXMATCH(S10, ""47\.mostra|47a Mostra""), ""47a Mostra Internacional de Cinema em São Paulo"",
IF(REGEXMATCH(S10, ""Canal USP""), ""YouTube (Canal USP)"",
IF(AND(
  REGEXMATCH(S10, ""(?i)(teses?\.usp\.br|dissertacoes?\.usp\.br|repositorio\.usp\.br)""),
 "&amp;" NOT(REGEXMATCH(S10, ""Canal USP""))
), ""Biblioteca Digital de Teses e Dissertações da USP"",
IF(REGEXMATCH(S10, ""SINTRAJUSC""), ""SINTRAJUSC"",
IF(REGEXMATCH(S10, ""Agência Brasil|Agencia Brasil""), ""Agência Brasil"",
IF(REGEXMATCH(S10, ""Brasil de Fa"&amp;"to""), ""Brasil de Fato"",
IF(REGEXMATCH(S10, ""Ponte Jornalismo|pontejornalismo""), ""Ponte Jornalismo"",
IF(REGEXMATCH(S10, ""letras\.mus\.br|Letras,""), ""Letras"",
IF(REGEXMATCH(S10, ""YouTube|youtube""), 
   ""YouTube (""&amp;
   IF(REGEXMATCH(S10, ""It"&amp;"aú Cultural""), ""Itaú Cultural"",
   IF(REGEXMATCH(S10, ""Rede TVT""), ""Rede TVT"",
   IF(REGEXMATCH(S10, ""Frente pelo Desencarceramento SP""), ""Frente Pelo Desencarceramento SP"",
   IF(REGEXMATCH(S10, ""TV ABA""), ""TV ABA"",
   IF(REGEXMATCH(S10, "&amp;"""TV SENADO""), ""TV Senado"",
   IF(REGEXMATCH(S10, ""Canal USP""), ""Canal USP"",
   IF(REGEXMATCH(S10, ""Douer, Zack|Zack Douer""), ""Douer Zack"",
   IF(REGEXMATCH(S10, ""PRISIONEIRO 84\.901|PRISIONEIRO 84""), ""Prisioneiro 84.901"",
   IF(REGEXMATCH("&amp;"S10, ""^[^,]*, ""), 
        PROPER(REGEXREPLACE(REGEXEXTRACT(S10, ""^([^.]*)\.""), ""^([^,]*), (.*)"", ""$2 $1"")),
        PROPER(REGEXEXTRACT(S10, ""^([^.]*)\.""))
   )))))))))&amp;"")"",
IF(REGEXMATCH(S10, ""Spotify|spotify""), 
   ""Spotify (""&amp;
   IF(R"&amp;"EGEXMATCH(S10, ""ESTRANHO SORRISO""), ""Estranho Sorriso"",
   PROPER(REGEXEXTRACT(S10, ""^([^.]*)\.""))
   )&amp;"")"",
IF(REGEXMATCH(S10, ""Vimeo|vimeo""), 
   ""Vimeo (""&amp;
   IF(REGEXMATCH(S10, ""Passa Palavra""), ""Passa Palavra"",
   PROPER(REGEXEXTRACT"&amp;"(S10, ""^([^.]*)\.""))
   )&amp;"")"",
IF(REGEXMATCH(S10, ""Blogspot""), 
   ""Blogspot (""&amp;
   IF(REGEXMATCH(S10, ""rede2deoutubro""), ""Rede 02 de Outubro"",
   PROPER(REGEXEXTRACT(S10, ""^([^.]*)\.""))
   )&amp;"")"",
IF(REGEXMATCH(S10, ""Facebook""), 
   """&amp;"Facebook (""&amp;
   IF(REGEXMATCH(S10, ""Mídia Ninja""), ""Mídia Ninja"",
   PROPER(REGEXEXTRACT(S10, ""^([^.]*)\.""))
   )&amp;"")"",
IF(REGEXMATCH(S10, ""Instagram""), 
   ""Instagram (""&amp;
   IF(REGEXMATCH(S10, ""Memórias Carandiru""), ""Memórias Carandiru"","&amp;"
   PROPER(REGEXEXTRACT(S10, ""^([^.]*)\.""))
   )&amp;"")"",
IF(REGEXMATCH(S10, ""Folha de S\. Paulo|FOLHA DE S\. PAULO""), ""Folha de S. Paulo"",
IF(REGEXMATCH(S10, ""O Estado de S\. Paulo|ESTADAO""), ""O Estado de S. Paulo"",
IF(REGEXMATCH(S10, ""salasecr"&amp;"eta""), ""Wordpress (Sala Secreta)"",
IF(REGEXMATCH(S10, ""Wikipedia|Wikipédia|WIKIPÉDIA""), ""Wikipedia"",
IF(REGEXMATCH(S10, ""VEJA|Veja""), ""Veja Abril"",
IF(REGEXMATCH(S282, ""Rede Globo|REDE GLOBO""), ""Rede Globo"",
IF(REGEXMATCH(S282, ""G1|globo\."&amp;"com""), ""G1"",
IF(REGEXMATCH(S10, ""Deutsche Welle|DW\.com""), ""Deutsche Welle"",
IF(REGEXMATCH(S10, ""CIDH|Comissão Interamericana""), ""Comissão Interamericana de Direitos Humanos (CIDH)"",
IF(REGEXMATCH(S10, ""Pastoral Carcerária""), ""Pastoral Carce"&amp;"rária"",
IF(REGEXMATCH(S10, ""Esquerda Web""), ""Esquerda Web"",
IF(REGEXMATCH(S10, ""ONU|Organização das Nações Unidas""), ""ONU Brasil"",
IF(REGEXMATCH(S10, ""Quilombo Invisível""), ""Quilombo Invisível"",
IF(REGEXMATCH(S10, ""ALESP|Assembleia Legislati"&amp;"va""), ""ALESP"",
IF(REGEXMATCH(S10, ""Revista Opera""), ""Revista Opera"",
IF(REGEXMATCH(S10, ""SP Escola de Teatro""), ""SP Escola de Teatro"",
IF(REGEXMATCH(S10, ""EMC|Espaço Memória Carandiru""), ""EMC Espaço Memória Carandiru"",
IF(REGEXMATCH(S10, "&amp;"""^RAMOS, Nuno|Nuno Ramos""), ""Nuno Ramos"",
IF(REGEXMATCH(S10, ""^VELOSO, Caetano|Caetano Veloso""), ""YouTube (Caetano Veloso)"",
IF(REGEXMATCH(S10, ""^FATOS REAIS""), ""YouTube (Fatos Reais - Topic)"",
IF(REGEXMATCH(S10, ""^SALA SECRETA""), ""Wordpres"&amp;"s (Sala Secreta)"",
PROPER(REGEXEXTRACT(S10, ""^([^.]*)\.""))
))))))))))))))))))))))))))))))))))))))))))))))))))))))))"),"YouTube (Memórias Brasil)")</f>
        <v>YouTube (Memórias Brasil)</v>
      </c>
      <c r="N10" s="11" t="s">
        <v>47</v>
      </c>
      <c r="O10" s="14" t="s">
        <v>374</v>
      </c>
      <c r="P10" s="171">
        <v>45946.0</v>
      </c>
      <c r="Q10" s="11" t="s">
        <v>154</v>
      </c>
      <c r="R10" s="70" t="str">
        <f t="shared" si="2"/>
        <v>Aqui</v>
      </c>
      <c r="S10" s="75" t="s">
        <v>375</v>
      </c>
    </row>
    <row r="11">
      <c r="A11" s="11">
        <v>9.0</v>
      </c>
      <c r="B11" s="11" t="s">
        <v>211</v>
      </c>
      <c r="C11" s="12" t="str">
        <f>IFERROR(__xludf.DUMMYFUNCTION("IF(B11="""","""",IF(OR(
  REGEXMATCH(B11,""Performance|Instalação|Álbum|Música|Poema|Livro|Filme|Documentário|Recitação|Espetáculo|Peça|Intervenção|Desfile|Fotografia|Exposição|Charge|Grafite|Leitura pública|Fabricação de cachaça artesanal""),
  REGEXMATC"&amp;"H(B11,""dança|teatral|artístico|musical|artística"")
),""Manifestação artístico-cultural"",
IF(OR(
  REGEXMATCH(B11,""Crônica|Série|Reportagem|Podcast|Audiotour|Entrevista|Vídeo|Rádio""),
  REGEXMATCH(B11,""midiática"")
),""Produção midiática"","""")))
"),"Manifestação artístico-cultural")</f>
        <v>Manifestação artístico-cultural</v>
      </c>
      <c r="D11" s="13" t="str">
        <f>IFERROR(__xludf.DUMMYFUNCTION("IF(B11="""","""",IF(OR(
  REGEXMATCH(B11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REGEXMATCH(B11,""público|Imediato|artística|teatral|memória"")
),""Público Imediato"",
IF(REGEXMATCH(B11,""Música|Álbum|Filme|Documentário|Série|Podcast|"&amp;"Rádio|Audiotour|Entrevista|Reportagem|Crônica|Relatório|Abaixo-assinado|Manifesto|Petição|Poema|Livro|Fotografia|Curta|Live|Webinário|Charge|Leitura pública|Vídeo""),
""Público Mediado"","""")))
"),"Público Mediado")</f>
        <v>Público Mediado</v>
      </c>
      <c r="E11" s="13" t="str">
        <f>IFERROR(__xludf.DUMMYFUNCTION("IF(B11="""","""",IF(OR(
  REGEXMATCH(B11,""Live|Webinário|Virtual""),
  REGEXMATCH(B11,""online"")
),""Virtual"",
IF(REGEXMATCH(B11,""Música|Álbum|Filme|Documentário|Série|Podcast|Rádio|Audiotour|Episódio|Reportagem|Curta|Charge|Livro|Vídeo|Entrevista""),"&amp;"
""Midiático"",
IF(REGEXMATCH(B11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1" s="14">
        <v>1993.0</v>
      </c>
      <c r="G11" s="15">
        <f t="shared" si="1"/>
        <v>1993</v>
      </c>
      <c r="H11" s="11" t="s">
        <v>336</v>
      </c>
      <c r="I11" s="16" t="s">
        <v>167</v>
      </c>
      <c r="J11" s="17" t="s">
        <v>380</v>
      </c>
      <c r="K11" s="16" t="s">
        <v>83</v>
      </c>
      <c r="L11" s="18" t="s">
        <v>329</v>
      </c>
      <c r="M11" s="15" t="str">
        <f>IFERROR(__xludf.DUMMYFUNCTION("IF(REGEXMATCH(S11, ""Companhia das Letras""), ""Companhia das Letras"",
IF(REGEXMATCH(S11, ""Labortexto Editorial""), ""Labortexto Editorial"",
IF(REGEXMATCH(S11, ""Geração Editorial""), ""Geração Editorial"",
IF(REGEXMATCH(S11, ""Editora Imprensa Oficial"&amp;"|Imprensa Oficial""), ""Editora Imprensa Oficial"",
IF(REGEXMATCH(S11, ""Folha Online""), ""Folha Online"",
IF(REGEXMATCH(S11, ""FGV DIREITO SP|FGV Direito SP""), ""FGV DIREITO SP"",
IF(REGEXMATCH(S11, ""massacrecarandiru\.org\.br""), ""Memória Massacre C"&amp;"arandiru"",
IF(REGEXMATCH(S11, ""Itaú Cultural""), ""YouTube (Itaú Cultural)"",
IF(REGEXMATCH(S11, ""Passa Palavra""), ""Vimeo (Passa Palavra)"",
IF(REGEXMATCH(S11, ""rede2deoutubro\.blogspot""), ""Blogspot (Rede 02 de Outubro)"",
IF(REGEXMATCH(S11, ""Red"&amp;"e TVT""), ""YouTube (Rede TVT)"",
IF(REGEXMATCH(S11, ""Esquerda Diário""), ""Esquerda Diário"",
IF(REGEXMATCH(S11, ""GZH""), ""GZH"",
IF(REGEXMATCH(S11, ""TVPUC""), ""TVPUC"",
IF(REGEXMATCH(S11, ""Mídia Ninja.*Facebook""), ""Facebook (Mídia Ninja)"",
IF(R"&amp;"EGEXMATCH(S11, ""Memórias Carandiru.*Instagram""), ""Instagram (Memórias Carandiru)"",
IF(REGEXMATCH(S11, ""Frente pelo Desencarceramento SP""), ""YouTube (Frente Pelo Desencarceramento SP)"",
IF(REGEXMATCH(S11, ""TV ABA""), ""YouTube (TV ABA)"",
IF(REGEX"&amp;"MATCH(S11, ""TV SENADO""), ""YouTube (TV Senado)"",
IF(REGEXMATCH(S11, ""Google Arts &amp; Culture""), ""Google Arts &amp; Culture (Memória Massacre Carandiru)"",
IF(REGEXMATCH(S11, ""Anistia Internacional|ANISTIA INTERNACIONAL""), ""Anistia Internacional"",
IF(R"&amp;"EGEXMATCH(S11, ""47\.mostra|47a Mostra""), ""47a Mostra Internacional de Cinema em São Paulo"",
IF(REGEXMATCH(S11, ""Canal USP""), ""YouTube (Canal USP)"",
IF(AND(
  REGEXMATCH(S11, ""(?i)(teses?\.usp\.br|dissertacoes?\.usp\.br|repositorio\.usp\.br)""),
 "&amp;" NOT(REGEXMATCH(S11, ""Canal USP""))
), ""Biblioteca Digital de Teses e Dissertações da USP"",
IF(REGEXMATCH(S11, ""SINTRAJUSC""), ""SINTRAJUSC"",
IF(REGEXMATCH(S11, ""Agência Brasil|Agencia Brasil""), ""Agência Brasil"",
IF(REGEXMATCH(S11, ""Brasil de Fa"&amp;"to""), ""Brasil de Fato"",
IF(REGEXMATCH(S11, ""Ponte Jornalismo|pontejornalismo""), ""Ponte Jornalismo"",
IF(REGEXMATCH(S11, ""letras\.mus\.br|Letras,""), ""Letras"",
IF(REGEXMATCH(S11, ""YouTube|youtube""), 
   ""YouTube (""&amp;
   IF(REGEXMATCH(S11, ""It"&amp;"aú Cultural""), ""Itaú Cultural"",
   IF(REGEXMATCH(S11, ""Rede TVT""), ""Rede TVT"",
   IF(REGEXMATCH(S11, ""Frente pelo Desencarceramento SP""), ""Frente Pelo Desencarceramento SP"",
   IF(REGEXMATCH(S11, ""TV ABA""), ""TV ABA"",
   IF(REGEXMATCH(S11, "&amp;"""TV SENADO""), ""TV Senado"",
   IF(REGEXMATCH(S11, ""Canal USP""), ""Canal USP"",
   IF(REGEXMATCH(S11, ""Douer, Zack|Zack Douer""), ""Douer Zack"",
   IF(REGEXMATCH(S11, ""PRISIONEIRO 84\.901|PRISIONEIRO 84""), ""Prisioneiro 84.901"",
   IF(REGEXMATCH("&amp;"S11, ""^[^,]*, ""), 
        PROPER(REGEXREPLACE(REGEXEXTRACT(S11, ""^([^.]*)\.""), ""^([^,]*), (.*)"", ""$2 $1"")),
        PROPER(REGEXEXTRACT(S11, ""^([^.]*)\.""))
   )))))))))&amp;"")"",
IF(REGEXMATCH(S11, ""Spotify|spotify""), 
   ""Spotify (""&amp;
   IF(R"&amp;"EGEXMATCH(S11, ""ESTRANHO SORRISO""), ""Estranho Sorriso"",
   PROPER(REGEXEXTRACT(S11, ""^([^.]*)\.""))
   )&amp;"")"",
IF(REGEXMATCH(S11, ""Vimeo|vimeo""), 
   ""Vimeo (""&amp;
   IF(REGEXMATCH(S11, ""Passa Palavra""), ""Passa Palavra"",
   PROPER(REGEXEXTRACT"&amp;"(S11, ""^([^.]*)\.""))
   )&amp;"")"",
IF(REGEXMATCH(S11, ""Blogspot""), 
   ""Blogspot (""&amp;
   IF(REGEXMATCH(S11, ""rede2deoutubro""), ""Rede 02 de Outubro"",
   PROPER(REGEXEXTRACT(S11, ""^([^.]*)\.""))
   )&amp;"")"",
IF(REGEXMATCH(S11, ""Facebook""), 
   """&amp;"Facebook (""&amp;
   IF(REGEXMATCH(S11, ""Mídia Ninja""), ""Mídia Ninja"",
   PROPER(REGEXEXTRACT(S11, ""^([^.]*)\.""))
   )&amp;"")"",
IF(REGEXMATCH(S11, ""Instagram""), 
   ""Instagram (""&amp;
   IF(REGEXMATCH(S11, ""Memórias Carandiru""), ""Memórias Carandiru"","&amp;"
   PROPER(REGEXEXTRACT(S11, ""^([^.]*)\.""))
   )&amp;"")"",
IF(REGEXMATCH(S11, ""Folha de S\. Paulo|FOLHA DE S\. PAULO""), ""Folha de S. Paulo"",
IF(REGEXMATCH(S11, ""O Estado de S\. Paulo|ESTADAO""), ""O Estado de S. Paulo"",
IF(REGEXMATCH(S11, ""salasecr"&amp;"eta""), ""Wordpress (Sala Secreta)"",
IF(REGEXMATCH(S11, ""Wikipedia|Wikipédia|WIKIPÉDIA""), ""Wikipedia"",
IF(REGEXMATCH(S11, ""VEJA|Veja""), ""Veja Abril"",
IF(REGEXMATCH(S283, ""Rede Globo|REDE GLOBO""), ""Rede Globo"",
IF(REGEXMATCH(S283, ""G1|globo\."&amp;"com""), ""G1"",
IF(REGEXMATCH(S11, ""Deutsche Welle|DW\.com""), ""Deutsche Welle"",
IF(REGEXMATCH(S11, ""CIDH|Comissão Interamericana""), ""Comissão Interamericana de Direitos Humanos (CIDH)"",
IF(REGEXMATCH(S11, ""Pastoral Carcerária""), ""Pastoral Carce"&amp;"rária"",
IF(REGEXMATCH(S11, ""Esquerda Web""), ""Esquerda Web"",
IF(REGEXMATCH(S11, ""ONU|Organização das Nações Unidas""), ""ONU Brasil"",
IF(REGEXMATCH(S11, ""Quilombo Invisível""), ""Quilombo Invisível"",
IF(REGEXMATCH(S11, ""ALESP|Assembleia Legislati"&amp;"va""), ""ALESP"",
IF(REGEXMATCH(S11, ""Revista Opera""), ""Revista Opera"",
IF(REGEXMATCH(S11, ""SP Escola de Teatro""), ""SP Escola de Teatro"",
IF(REGEXMATCH(S11, ""EMC|Espaço Memória Carandiru""), ""EMC Espaço Memória Carandiru"",
IF(REGEXMATCH(S11, "&amp;"""^RAMOS, Nuno|Nuno Ramos""), ""Nuno Ramos"",
IF(REGEXMATCH(S11, ""^VELOSO, Caetano|Caetano Veloso""), ""YouTube (Caetano Veloso)"",
IF(REGEXMATCH(S11, ""^FATOS REAIS""), ""YouTube (Fatos Reais - Topic)"",
IF(REGEXMATCH(S11, ""^SALA SECRETA""), ""Wordpres"&amp;"s (Sala Secreta)"",
PROPER(REGEXEXTRACT(S11, ""^([^.]*)\.""))
))))))))))))))))))))))))))))))))))))))))))))))))))))))))"),"YouTube (Caetano Veloso)")</f>
        <v>YouTube (Caetano Veloso)</v>
      </c>
      <c r="N11" s="11" t="s">
        <v>47</v>
      </c>
      <c r="O11" s="11" t="s">
        <v>149</v>
      </c>
      <c r="P11" s="183">
        <v>45855.0</v>
      </c>
      <c r="Q11" s="11" t="s">
        <v>154</v>
      </c>
      <c r="R11" s="70" t="str">
        <f t="shared" si="2"/>
        <v>Aqui</v>
      </c>
      <c r="S11" s="75" t="s">
        <v>387</v>
      </c>
    </row>
    <row r="12">
      <c r="A12" s="11">
        <v>10.0</v>
      </c>
      <c r="B12" s="11" t="s">
        <v>211</v>
      </c>
      <c r="C12" s="12" t="str">
        <f>IFERROR(__xludf.DUMMYFUNCTION("IF(B12="""","""",IF(OR(
  REGEXMATCH(B12,""Performance|Instalação|Álbum|Música|Poema|Livro|Filme|Documentário|Recitação|Espetáculo|Peça|Intervenção|Desfile|Fotografia|Exposição|Charge|Grafite|Leitura pública|Fabricação de cachaça artesanal""),
  REGEXMATC"&amp;"H(B12,""dança|teatral|artístico|musical|artística"")
),""Manifestação artístico-cultural"",
IF(OR(
  REGEXMATCH(B12,""Crônica|Série|Reportagem|Podcast|Audiotour|Entrevista|Vídeo|Rádio""),
  REGEXMATCH(B12,""midiática"")
),""Produção midiática"","""")))
"),"Manifestação artístico-cultural")</f>
        <v>Manifestação artístico-cultural</v>
      </c>
      <c r="D12" s="13" t="str">
        <f>IFERROR(__xludf.DUMMYFUNCTION("IF(B12="""","""",IF(OR(
  REGEXMATCH(B12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REGEXMATCH(B12,""público|Imediato|artística|teatral|memória"")
),""Público Imediato"",
IF(REGEXMATCH(B12,""Música|Álbum|Filme|Documentário|Série|Podcast|"&amp;"Rádio|Audiotour|Entrevista|Reportagem|Crônica|Relatório|Abaixo-assinado|Manifesto|Petição|Poema|Livro|Fotografia|Curta|Live|Webinário|Charge|Leitura pública|Vídeo""),
""Público Mediado"","""")))
"),"Público Mediado")</f>
        <v>Público Mediado</v>
      </c>
      <c r="E12" s="13" t="str">
        <f>IFERROR(__xludf.DUMMYFUNCTION("IF(B12="""","""",IF(OR(
  REGEXMATCH(B12,""Live|Webinário|Virtual""),
  REGEXMATCH(B12,""online"")
),""Virtual"",
IF(REGEXMATCH(B12,""Música|Álbum|Filme|Documentário|Série|Podcast|Rádio|Audiotour|Episódio|Reportagem|Curta|Charge|Livro|Vídeo|Entrevista""),"&amp;"
""Midiático"",
IF(REGEXMATCH(B12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2" s="14">
        <v>1993.0</v>
      </c>
      <c r="G12" s="15">
        <f t="shared" si="1"/>
        <v>1993</v>
      </c>
      <c r="H12" s="11" t="s">
        <v>23</v>
      </c>
      <c r="I12" s="16" t="s">
        <v>392</v>
      </c>
      <c r="J12" s="17" t="s">
        <v>393</v>
      </c>
      <c r="K12" s="16" t="s">
        <v>222</v>
      </c>
      <c r="L12" s="18" t="s">
        <v>106</v>
      </c>
      <c r="M12" s="15" t="str">
        <f>IFERROR(__xludf.DUMMYFUNCTION("IF(REGEXMATCH(S12, ""Companhia das Letras""), ""Companhia das Letras"",
IF(REGEXMATCH(S12, ""Labortexto Editorial""), ""Labortexto Editorial"",
IF(REGEXMATCH(S12, ""Geração Editorial""), ""Geração Editorial"",
IF(REGEXMATCH(S12, ""Editora Imprensa Oficial"&amp;"|Imprensa Oficial""), ""Editora Imprensa Oficial"",
IF(REGEXMATCH(S12, ""Folha Online""), ""Folha Online"",
IF(REGEXMATCH(S12, ""FGV DIREITO SP|FGV Direito SP""), ""FGV DIREITO SP"",
IF(REGEXMATCH(S12, ""massacrecarandiru\.org\.br""), ""Memória Massacre C"&amp;"arandiru"",
IF(REGEXMATCH(S12, ""Itaú Cultural""), ""YouTube (Itaú Cultural)"",
IF(REGEXMATCH(S12, ""Passa Palavra""), ""Vimeo (Passa Palavra)"",
IF(REGEXMATCH(S12, ""rede2deoutubro\.blogspot""), ""Blogspot (Rede 02 de Outubro)"",
IF(REGEXMATCH(S12, ""Red"&amp;"e TVT""), ""YouTube (Rede TVT)"",
IF(REGEXMATCH(S12, ""Esquerda Diário""), ""Esquerda Diário"",
IF(REGEXMATCH(S12, ""GZH""), ""GZH"",
IF(REGEXMATCH(S12, ""TVPUC""), ""TVPUC"",
IF(REGEXMATCH(S12, ""Mídia Ninja.*Facebook""), ""Facebook (Mídia Ninja)"",
IF(R"&amp;"EGEXMATCH(S12, ""Memórias Carandiru.*Instagram""), ""Instagram (Memórias Carandiru)"",
IF(REGEXMATCH(S12, ""Frente pelo Desencarceramento SP""), ""YouTube (Frente Pelo Desencarceramento SP)"",
IF(REGEXMATCH(S12, ""TV ABA""), ""YouTube (TV ABA)"",
IF(REGEX"&amp;"MATCH(S12, ""TV SENADO""), ""YouTube (TV Senado)"",
IF(REGEXMATCH(S12, ""Google Arts &amp; Culture""), ""Google Arts &amp; Culture (Memória Massacre Carandiru)"",
IF(REGEXMATCH(S12, ""Anistia Internacional|ANISTIA INTERNACIONAL""), ""Anistia Internacional"",
IF(R"&amp;"EGEXMATCH(S12, ""47\.mostra|47a Mostra""), ""47a Mostra Internacional de Cinema em São Paulo"",
IF(REGEXMATCH(S12, ""Canal USP""), ""YouTube (Canal USP)"",
IF(AND(
  REGEXMATCH(S12, ""(?i)(teses?\.usp\.br|dissertacoes?\.usp\.br|repositorio\.usp\.br)""),
 "&amp;" NOT(REGEXMATCH(S12, ""Canal USP""))
), ""Biblioteca Digital de Teses e Dissertações da USP"",
IF(REGEXMATCH(S12, ""SINTRAJUSC""), ""SINTRAJUSC"",
IF(REGEXMATCH(S12, ""Agência Brasil|Agencia Brasil""), ""Agência Brasil"",
IF(REGEXMATCH(S12, ""Brasil de Fa"&amp;"to""), ""Brasil de Fato"",
IF(REGEXMATCH(S12, ""Ponte Jornalismo|pontejornalismo""), ""Ponte Jornalismo"",
IF(REGEXMATCH(S12, ""letras\.mus\.br|Letras,""), ""Letras"",
IF(REGEXMATCH(S12, ""YouTube|youtube""), 
   ""YouTube (""&amp;
   IF(REGEXMATCH(S12, ""It"&amp;"aú Cultural""), ""Itaú Cultural"",
   IF(REGEXMATCH(S12, ""Rede TVT""), ""Rede TVT"",
   IF(REGEXMATCH(S12, ""Frente pelo Desencarceramento SP""), ""Frente Pelo Desencarceramento SP"",
   IF(REGEXMATCH(S12, ""TV ABA""), ""TV ABA"",
   IF(REGEXMATCH(S12, "&amp;"""TV SENADO""), ""TV Senado"",
   IF(REGEXMATCH(S12, ""Canal USP""), ""Canal USP"",
   IF(REGEXMATCH(S12, ""Douer, Zack|Zack Douer""), ""Douer Zack"",
   IF(REGEXMATCH(S12, ""PRISIONEIRO 84\.901|PRISIONEIRO 84""), ""Prisioneiro 84.901"",
   IF(REGEXMATCH("&amp;"S12, ""^[^,]*, ""), 
        PROPER(REGEXREPLACE(REGEXEXTRACT(S12, ""^([^.]*)\.""), ""^([^,]*), (.*)"", ""$2 $1"")),
        PROPER(REGEXEXTRACT(S12, ""^([^.]*)\.""))
   )))))))))&amp;"")"",
IF(REGEXMATCH(S12, ""Spotify|spotify""), 
   ""Spotify (""&amp;
   IF(R"&amp;"EGEXMATCH(S12, ""ESTRANHO SORRISO""), ""Estranho Sorriso"",
   PROPER(REGEXEXTRACT(S12, ""^([^.]*)\.""))
   )&amp;"")"",
IF(REGEXMATCH(S12, ""Vimeo|vimeo""), 
   ""Vimeo (""&amp;
   IF(REGEXMATCH(S12, ""Passa Palavra""), ""Passa Palavra"",
   PROPER(REGEXEXTRACT"&amp;"(S12, ""^([^.]*)\.""))
   )&amp;"")"",
IF(REGEXMATCH(S12, ""Blogspot""), 
   ""Blogspot (""&amp;
   IF(REGEXMATCH(S12, ""rede2deoutubro""), ""Rede 02 de Outubro"",
   PROPER(REGEXEXTRACT(S12, ""^([^.]*)\.""))
   )&amp;"")"",
IF(REGEXMATCH(S12, ""Facebook""), 
   """&amp;"Facebook (""&amp;
   IF(REGEXMATCH(S12, ""Mídia Ninja""), ""Mídia Ninja"",
   PROPER(REGEXEXTRACT(S12, ""^([^.]*)\.""))
   )&amp;"")"",
IF(REGEXMATCH(S12, ""Instagram""), 
   ""Instagram (""&amp;
   IF(REGEXMATCH(S12, ""Memórias Carandiru""), ""Memórias Carandiru"","&amp;"
   PROPER(REGEXEXTRACT(S12, ""^([^.]*)\.""))
   )&amp;"")"",
IF(REGEXMATCH(S12, ""Folha de S\. Paulo|FOLHA DE S\. PAULO""), ""Folha de S. Paulo"",
IF(REGEXMATCH(S12, ""O Estado de S\. Paulo|ESTADAO""), ""O Estado de S. Paulo"",
IF(REGEXMATCH(S12, ""salasecr"&amp;"eta""), ""Wordpress (Sala Secreta)"",
IF(REGEXMATCH(S12, ""Wikipedia|Wikipédia|WIKIPÉDIA""), ""Wikipedia"",
IF(REGEXMATCH(S12, ""VEJA|Veja""), ""Veja Abril"",
IF(REGEXMATCH(S284, ""Rede Globo|REDE GLOBO""), ""Rede Globo"",
IF(REGEXMATCH(S284, ""G1|globo\."&amp;"com""), ""G1"",
IF(REGEXMATCH(S12, ""Deutsche Welle|DW\.com""), ""Deutsche Welle"",
IF(REGEXMATCH(S12, ""CIDH|Comissão Interamericana""), ""Comissão Interamericana de Direitos Humanos (CIDH)"",
IF(REGEXMATCH(S12, ""Pastoral Carcerária""), ""Pastoral Carce"&amp;"rária"",
IF(REGEXMATCH(S12, ""Esquerda Web""), ""Esquerda Web"",
IF(REGEXMATCH(S12, ""ONU|Organização das Nações Unidas""), ""ONU Brasil"",
IF(REGEXMATCH(S12, ""Quilombo Invisível""), ""Quilombo Invisível"",
IF(REGEXMATCH(S12, ""ALESP|Assembleia Legislati"&amp;"va""), ""ALESP"",
IF(REGEXMATCH(S12, ""Revista Opera""), ""Revista Opera"",
IF(REGEXMATCH(S12, ""SP Escola de Teatro""), ""SP Escola de Teatro"",
IF(REGEXMATCH(S12, ""EMC|Espaço Memória Carandiru""), ""EMC Espaço Memória Carandiru"",
IF(REGEXMATCH(S12, "&amp;"""^RAMOS, Nuno|Nuno Ramos""), ""Nuno Ramos"",
IF(REGEXMATCH(S12, ""^VELOSO, Caetano|Caetano Veloso""), ""YouTube (Caetano Veloso)"",
IF(REGEXMATCH(S12, ""^FATOS REAIS""), ""YouTube (Fatos Reais - Topic)"",
IF(REGEXMATCH(S12, ""^SALA SECRETA""), ""Wordpres"&amp;"s (Sala Secreta)"",
PROPER(REGEXEXTRACT(S12, ""^([^.]*)\.""))
))))))))))))))))))))))))))))))))))))))))))))))))))))))))"),"YouTube (Sepultura)")</f>
        <v>YouTube (Sepultura)</v>
      </c>
      <c r="N12" s="11" t="s">
        <v>47</v>
      </c>
      <c r="O12" s="11" t="s">
        <v>149</v>
      </c>
      <c r="P12" s="183">
        <v>45855.0</v>
      </c>
      <c r="Q12" s="11" t="s">
        <v>154</v>
      </c>
      <c r="R12" s="70" t="str">
        <f t="shared" si="2"/>
        <v>Aqui</v>
      </c>
      <c r="S12" s="75" t="s">
        <v>406</v>
      </c>
    </row>
    <row r="13">
      <c r="A13" s="11">
        <v>11.0</v>
      </c>
      <c r="B13" s="11" t="s">
        <v>211</v>
      </c>
      <c r="C13" s="12" t="str">
        <f>IFERROR(__xludf.DUMMYFUNCTION("IF(B13="""","""",IF(OR(
  REGEXMATCH(B13,""Performance|Instalação|Álbum|Música|Poema|Livro|Filme|Documentário|Recitação|Espetáculo|Peça|Intervenção|Desfile|Fotografia|Exposição|Charge|Grafite|Leitura pública|Fabricação de cachaça artesanal""),
  REGEXMATC"&amp;"H(B13,""dança|teatral|artístico|musical|artística"")
),""Manifestação artístico-cultural"",
IF(OR(
  REGEXMATCH(B13,""Crônica|Série|Reportagem|Podcast|Audiotour|Entrevista|Vídeo|Rádio""),
  REGEXMATCH(B13,""midiática"")
),""Produção midiática"","""")))
"),"Manifestação artístico-cultural")</f>
        <v>Manifestação artístico-cultural</v>
      </c>
      <c r="D13" s="13" t="str">
        <f>IFERROR(__xludf.DUMMYFUNCTION("IF(B13="""","""",IF(OR(
  REGEXMATCH(B13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REGEXMATCH(B13,""público|Imediato|artística|teatral|memória"")
),""Público Imediato"",
IF(REGEXMATCH(B13,""Música|Álbum|Filme|Documentário|Série|Podcast|"&amp;"Rádio|Audiotour|Entrevista|Reportagem|Crônica|Relatório|Abaixo-assinado|Manifesto|Petição|Poema|Livro|Fotografia|Curta|Live|Webinário|Charge|Leitura pública|Vídeo""),
""Público Mediado"","""")))
"),"Público Mediado")</f>
        <v>Público Mediado</v>
      </c>
      <c r="E13" s="13" t="str">
        <f>IFERROR(__xludf.DUMMYFUNCTION("IF(B13="""","""",IF(OR(
  REGEXMATCH(B13,""Live|Webinário|Virtual""),
  REGEXMATCH(B13,""online"")
),""Virtual"",
IF(REGEXMATCH(B13,""Música|Álbum|Filme|Documentário|Série|Podcast|Rádio|Audiotour|Episódio|Reportagem|Curta|Charge|Livro|Vídeo|Entrevista""),"&amp;"
""Midiático"",
IF(REGEXMATCH(B13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3" s="14">
        <v>1993.0</v>
      </c>
      <c r="G13" s="15">
        <f t="shared" si="1"/>
        <v>1993</v>
      </c>
      <c r="H13" s="11" t="s">
        <v>23</v>
      </c>
      <c r="I13" s="16" t="s">
        <v>415</v>
      </c>
      <c r="J13" s="17" t="s">
        <v>416</v>
      </c>
      <c r="K13" s="16" t="s">
        <v>222</v>
      </c>
      <c r="L13" s="18" t="s">
        <v>106</v>
      </c>
      <c r="M13" s="15" t="str">
        <f>IFERROR(__xludf.DUMMYFUNCTION("IF(REGEXMATCH(S13, ""Companhia das Letras""), ""Companhia das Letras"",
IF(REGEXMATCH(S13, ""Labortexto Editorial""), ""Labortexto Editorial"",
IF(REGEXMATCH(S13, ""Geração Editorial""), ""Geração Editorial"",
IF(REGEXMATCH(S13, ""Editora Imprensa Oficial"&amp;"|Imprensa Oficial""), ""Editora Imprensa Oficial"",
IF(REGEXMATCH(S13, ""Folha Online""), ""Folha Online"",
IF(REGEXMATCH(S13, ""FGV DIREITO SP|FGV Direito SP""), ""FGV DIREITO SP"",
IF(REGEXMATCH(S13, ""massacrecarandiru\.org\.br""), ""Memória Massacre C"&amp;"arandiru"",
IF(REGEXMATCH(S13, ""Itaú Cultural""), ""YouTube (Itaú Cultural)"",
IF(REGEXMATCH(S13, ""Passa Palavra""), ""Vimeo (Passa Palavra)"",
IF(REGEXMATCH(S13, ""rede2deoutubro\.blogspot""), ""Blogspot (Rede 02 de Outubro)"",
IF(REGEXMATCH(S13, ""Red"&amp;"e TVT""), ""YouTube (Rede TVT)"",
IF(REGEXMATCH(S13, ""Esquerda Diário""), ""Esquerda Diário"",
IF(REGEXMATCH(S13, ""GZH""), ""GZH"",
IF(REGEXMATCH(S13, ""TVPUC""), ""TVPUC"",
IF(REGEXMATCH(S13, ""Mídia Ninja.*Facebook""), ""Facebook (Mídia Ninja)"",
IF(R"&amp;"EGEXMATCH(S13, ""Memórias Carandiru.*Instagram""), ""Instagram (Memórias Carandiru)"",
IF(REGEXMATCH(S13, ""Frente pelo Desencarceramento SP""), ""YouTube (Frente Pelo Desencarceramento SP)"",
IF(REGEXMATCH(S13, ""TV ABA""), ""YouTube (TV ABA)"",
IF(REGEX"&amp;"MATCH(S13, ""TV SENADO""), ""YouTube (TV Senado)"",
IF(REGEXMATCH(S13, ""Google Arts &amp; Culture""), ""Google Arts &amp; Culture (Memória Massacre Carandiru)"",
IF(REGEXMATCH(S13, ""Anistia Internacional|ANISTIA INTERNACIONAL""), ""Anistia Internacional"",
IF(R"&amp;"EGEXMATCH(S13, ""47\.mostra|47a Mostra""), ""47a Mostra Internacional de Cinema em São Paulo"",
IF(REGEXMATCH(S13, ""Canal USP""), ""YouTube (Canal USP)"",
IF(AND(
  REGEXMATCH(S13, ""(?i)(teses?\.usp\.br|dissertacoes?\.usp\.br|repositorio\.usp\.br)""),
 "&amp;" NOT(REGEXMATCH(S13, ""Canal USP""))
), ""Biblioteca Digital de Teses e Dissertações da USP"",
IF(REGEXMATCH(S13, ""SINTRAJUSC""), ""SINTRAJUSC"",
IF(REGEXMATCH(S13, ""Agência Brasil|Agencia Brasil""), ""Agência Brasil"",
IF(REGEXMATCH(S13, ""Brasil de Fa"&amp;"to""), ""Brasil de Fato"",
IF(REGEXMATCH(S13, ""Ponte Jornalismo|pontejornalismo""), ""Ponte Jornalismo"",
IF(REGEXMATCH(S13, ""letras\.mus\.br|Letras,""), ""Letras"",
IF(REGEXMATCH(S13, ""YouTube|youtube""), 
   ""YouTube (""&amp;
   IF(REGEXMATCH(S13, ""It"&amp;"aú Cultural""), ""Itaú Cultural"",
   IF(REGEXMATCH(S13, ""Rede TVT""), ""Rede TVT"",
   IF(REGEXMATCH(S13, ""Frente pelo Desencarceramento SP""), ""Frente Pelo Desencarceramento SP"",
   IF(REGEXMATCH(S13, ""TV ABA""), ""TV ABA"",
   IF(REGEXMATCH(S13, "&amp;"""TV SENADO""), ""TV Senado"",
   IF(REGEXMATCH(S13, ""Canal USP""), ""Canal USP"",
   IF(REGEXMATCH(S13, ""Douer, Zack|Zack Douer""), ""Douer Zack"",
   IF(REGEXMATCH(S13, ""PRISIONEIRO 84\.901|PRISIONEIRO 84""), ""Prisioneiro 84.901"",
   IF(REGEXMATCH("&amp;"S13, ""^[^,]*, ""), 
        PROPER(REGEXREPLACE(REGEXEXTRACT(S13, ""^([^.]*)\.""), ""^([^,]*), (.*)"", ""$2 $1"")),
        PROPER(REGEXEXTRACT(S13, ""^([^.]*)\.""))
   )))))))))&amp;"")"",
IF(REGEXMATCH(S13, ""Spotify|spotify""), 
   ""Spotify (""&amp;
   IF(R"&amp;"EGEXMATCH(S13, ""ESTRANHO SORRISO""), ""Estranho Sorriso"",
   PROPER(REGEXEXTRACT(S13, ""^([^.]*)\.""))
   )&amp;"")"",
IF(REGEXMATCH(S13, ""Vimeo|vimeo""), 
   ""Vimeo (""&amp;
   IF(REGEXMATCH(S13, ""Passa Palavra""), ""Passa Palavra"",
   PROPER(REGEXEXTRACT"&amp;"(S13, ""^([^.]*)\.""))
   )&amp;"")"",
IF(REGEXMATCH(S13, ""Blogspot""), 
   ""Blogspot (""&amp;
   IF(REGEXMATCH(S13, ""rede2deoutubro""), ""Rede 02 de Outubro"",
   PROPER(REGEXEXTRACT(S13, ""^([^.]*)\.""))
   )&amp;"")"",
IF(REGEXMATCH(S13, ""Facebook""), 
   """&amp;"Facebook (""&amp;
   IF(REGEXMATCH(S13, ""Mídia Ninja""), ""Mídia Ninja"",
   PROPER(REGEXEXTRACT(S13, ""^([^.]*)\.""))
   )&amp;"")"",
IF(REGEXMATCH(S13, ""Instagram""), 
   ""Instagram (""&amp;
   IF(REGEXMATCH(S13, ""Memórias Carandiru""), ""Memórias Carandiru"","&amp;"
   PROPER(REGEXEXTRACT(S13, ""^([^.]*)\.""))
   )&amp;"")"",
IF(REGEXMATCH(S13, ""Folha de S\. Paulo|FOLHA DE S\. PAULO""), ""Folha de S. Paulo"",
IF(REGEXMATCH(S13, ""O Estado de S\. Paulo|ESTADAO""), ""O Estado de S. Paulo"",
IF(REGEXMATCH(S13, ""salasecr"&amp;"eta""), ""Wordpress (Sala Secreta)"",
IF(REGEXMATCH(S13, ""Wikipedia|Wikipédia|WIKIPÉDIA""), ""Wikipedia"",
IF(REGEXMATCH(S13, ""VEJA|Veja""), ""Veja Abril"",
IF(REGEXMATCH(S285, ""Rede Globo|REDE GLOBO""), ""Rede Globo"",
IF(REGEXMATCH(S285, ""G1|globo\."&amp;"com""), ""G1"",
IF(REGEXMATCH(S13, ""Deutsche Welle|DW\.com""), ""Deutsche Welle"",
IF(REGEXMATCH(S13, ""CIDH|Comissão Interamericana""), ""Comissão Interamericana de Direitos Humanos (CIDH)"",
IF(REGEXMATCH(S13, ""Pastoral Carcerária""), ""Pastoral Carce"&amp;"rária"",
IF(REGEXMATCH(S13, ""Esquerda Web""), ""Esquerda Web"",
IF(REGEXMATCH(S13, ""ONU|Organização das Nações Unidas""), ""ONU Brasil"",
IF(REGEXMATCH(S13, ""Quilombo Invisível""), ""Quilombo Invisível"",
IF(REGEXMATCH(S13, ""ALESP|Assembleia Legislati"&amp;"va""), ""ALESP"",
IF(REGEXMATCH(S13, ""Revista Opera""), ""Revista Opera"",
IF(REGEXMATCH(S13, ""SP Escola de Teatro""), ""SP Escola de Teatro"",
IF(REGEXMATCH(S13, ""EMC|Espaço Memória Carandiru""), ""EMC Espaço Memória Carandiru"",
IF(REGEXMATCH(S13, "&amp;"""^RAMOS, Nuno|Nuno Ramos""), ""Nuno Ramos"",
IF(REGEXMATCH(S13, ""^VELOSO, Caetano|Caetano Veloso""), ""YouTube (Caetano Veloso)"",
IF(REGEXMATCH(S13, ""^FATOS REAIS""), ""YouTube (Fatos Reais - Topic)"",
IF(REGEXMATCH(S13, ""^SALA SECRETA""), ""Wordpres"&amp;"s (Sala Secreta)"",
PROPER(REGEXEXTRACT(S13, ""^([^.]*)\.""))
))))))))))))))))))))))))))))))))))))))))))))))))))))))))"),"YouTube (Fatos Reais – Topic)")</f>
        <v>YouTube (Fatos Reais – Topic)</v>
      </c>
      <c r="N13" s="11" t="s">
        <v>47</v>
      </c>
      <c r="O13" s="11" t="s">
        <v>149</v>
      </c>
      <c r="P13" s="183">
        <v>45856.0</v>
      </c>
      <c r="Q13" s="11" t="s">
        <v>154</v>
      </c>
      <c r="R13" s="70" t="str">
        <f t="shared" si="2"/>
        <v>Aqui</v>
      </c>
      <c r="S13" s="75" t="s">
        <v>427</v>
      </c>
    </row>
    <row r="14">
      <c r="A14" s="11">
        <v>12.0</v>
      </c>
      <c r="B14" s="11" t="s">
        <v>274</v>
      </c>
      <c r="C14" s="122" t="s">
        <v>165</v>
      </c>
      <c r="D14" s="13" t="str">
        <f>IFERROR(__xludf.DUMMYFUNCTION("IF(B14="""","""",IF(OR(
  REGEXMATCH(B14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REGEXMATCH(B14,""público|Imediato|artística|teatral|memória"")
),""Público Imediato"",
IF(REGEXMATCH(B14,""Música|Álbum|Filme|Documentário|Série|Podcast|"&amp;"Rádio|Audiotour|Entrevista|Reportagem|Crônica|Relatório|Abaixo-assinado|Manifesto|Petição|Poema|Livro|Fotografia|Curta|Live|Webinário|Charge|Leitura pública|Vídeo""),
""Público Mediado"","""")))
"),"Público Mediado")</f>
        <v>Público Mediado</v>
      </c>
      <c r="E14" s="13" t="str">
        <f>IFERROR(__xludf.DUMMYFUNCTION("IF(B14="""","""",IF(OR(
  REGEXMATCH(B14,""Live|Webinário|Virtual""),
  REGEXMATCH(B14,""online"")
),""Virtual"",
IF(REGEXMATCH(B14,""Música|Álbum|Filme|Documentário|Série|Podcast|Rádio|Audiotour|Episódio|Reportagem|Curta|Charge|Livro|Vídeo|Entrevista""),"&amp;"
""Midiático"",
IF(REGEXMATCH(B14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4" s="186">
        <v>34089.0</v>
      </c>
      <c r="G14" s="15">
        <f t="shared" si="1"/>
        <v>1993</v>
      </c>
      <c r="H14" s="11" t="s">
        <v>23</v>
      </c>
      <c r="I14" s="16" t="s">
        <v>176</v>
      </c>
      <c r="J14" s="17" t="s">
        <v>432</v>
      </c>
      <c r="K14" s="16" t="s">
        <v>233</v>
      </c>
      <c r="L14" s="18" t="s">
        <v>325</v>
      </c>
      <c r="M14" s="15" t="str">
        <f>IFERROR(__xludf.DUMMYFUNCTION("IF(REGEXMATCH(S14, ""Companhia das Letras""), ""Companhia das Letras"",
IF(REGEXMATCH(S14, ""Labortexto Editorial""), ""Labortexto Editorial"",
IF(REGEXMATCH(S14, ""Geração Editorial""), ""Geração Editorial"",
IF(REGEXMATCH(S14, ""Editora Imprensa Oficial"&amp;"|Imprensa Oficial""), ""Editora Imprensa Oficial"",
IF(REGEXMATCH(S14, ""Folha Online""), ""Folha Online"",
IF(REGEXMATCH(S14, ""FGV DIREITO SP|FGV Direito SP""), ""FGV DIREITO SP"",
IF(REGEXMATCH(S14, ""massacrecarandiru\.org\.br""), ""Memória Massacre C"&amp;"arandiru"",
IF(REGEXMATCH(S14, ""Itaú Cultural""), ""YouTube (Itaú Cultural)"",
IF(REGEXMATCH(S14, ""Passa Palavra""), ""Vimeo (Passa Palavra)"",
IF(REGEXMATCH(S14, ""rede2deoutubro\.blogspot""), ""Blogspot (Rede 02 de Outubro)"",
IF(REGEXMATCH(S14, ""Red"&amp;"e TVT""), ""YouTube (Rede TVT)"",
IF(REGEXMATCH(S14, ""Esquerda Diário""), ""Esquerda Diário"",
IF(REGEXMATCH(S14, ""GZH""), ""GZH"",
IF(REGEXMATCH(S14, ""TVPUC""), ""TVPUC"",
IF(REGEXMATCH(S14, ""Mídia Ninja.*Facebook""), ""Facebook (Mídia Ninja)"",
IF(R"&amp;"EGEXMATCH(S14, ""Memórias Carandiru.*Instagram""), ""Instagram (Memórias Carandiru)"",
IF(REGEXMATCH(S14, ""Frente pelo Desencarceramento SP""), ""YouTube (Frente Pelo Desencarceramento SP)"",
IF(REGEXMATCH(S14, ""TV ABA""), ""YouTube (TV ABA)"",
IF(REGEX"&amp;"MATCH(S14, ""TV SENADO""), ""YouTube (TV Senado)"",
IF(REGEXMATCH(S14, ""Google Arts &amp; Culture""), ""Google Arts &amp; Culture (Memória Massacre Carandiru)"",
IF(REGEXMATCH(S14, ""Anistia Internacional|ANISTIA INTERNACIONAL""), ""Anistia Internacional"",
IF(R"&amp;"EGEXMATCH(S14, ""47\.mostra|47a Mostra""), ""47a Mostra Internacional de Cinema em São Paulo"",
IF(REGEXMATCH(S14, ""Canal USP""), ""YouTube (Canal USP)"",
IF(AND(
  REGEXMATCH(S14, ""(?i)(teses?\.usp\.br|dissertacoes?\.usp\.br|repositorio\.usp\.br)""),
 "&amp;" NOT(REGEXMATCH(S14, ""Canal USP""))
), ""Biblioteca Digital de Teses e Dissertações da USP"",
IF(REGEXMATCH(S14, ""SINTRAJUSC""), ""SINTRAJUSC"",
IF(REGEXMATCH(S14, ""Agência Brasil|Agencia Brasil""), ""Agência Brasil"",
IF(REGEXMATCH(S14, ""Brasil de Fa"&amp;"to""), ""Brasil de Fato"",
IF(REGEXMATCH(S14, ""Ponte Jornalismo|pontejornalismo""), ""Ponte Jornalismo"",
IF(REGEXMATCH(S14, ""letras\.mus\.br|Letras,""), ""Letras"",
IF(REGEXMATCH(S14, ""YouTube|youtube""), 
   ""YouTube (""&amp;
   IF(REGEXMATCH(S14, ""It"&amp;"aú Cultural""), ""Itaú Cultural"",
   IF(REGEXMATCH(S14, ""Rede TVT""), ""Rede TVT"",
   IF(REGEXMATCH(S14, ""Frente pelo Desencarceramento SP""), ""Frente Pelo Desencarceramento SP"",
   IF(REGEXMATCH(S14, ""TV ABA""), ""TV ABA"",
   IF(REGEXMATCH(S14, "&amp;"""TV SENADO""), ""TV Senado"",
   IF(REGEXMATCH(S14, ""Canal USP""), ""Canal USP"",
   IF(REGEXMATCH(S14, ""Douer, Zack|Zack Douer""), ""Douer Zack"",
   IF(REGEXMATCH(S14, ""PRISIONEIRO 84\.901|PRISIONEIRO 84""), ""Prisioneiro 84.901"",
   IF(REGEXMATCH("&amp;"S14, ""^[^,]*, ""), 
        PROPER(REGEXREPLACE(REGEXEXTRACT(S14, ""^([^.]*)\.""), ""^([^,]*), (.*)"", ""$2 $1"")),
        PROPER(REGEXEXTRACT(S14, ""^([^.]*)\.""))
   )))))))))&amp;"")"",
IF(REGEXMATCH(S14, ""Spotify|spotify""), 
   ""Spotify (""&amp;
   IF(R"&amp;"EGEXMATCH(S14, ""ESTRANHO SORRISO""), ""Estranho Sorriso"",
   PROPER(REGEXEXTRACT(S14, ""^([^.]*)\.""))
   )&amp;"")"",
IF(REGEXMATCH(S14, ""Vimeo|vimeo""), 
   ""Vimeo (""&amp;
   IF(REGEXMATCH(S14, ""Passa Palavra""), ""Passa Palavra"",
   PROPER(REGEXEXTRACT"&amp;"(S14, ""^([^.]*)\.""))
   )&amp;"")"",
IF(REGEXMATCH(S14, ""Blogspot""), 
   ""Blogspot (""&amp;
   IF(REGEXMATCH(S14, ""rede2deoutubro""), ""Rede 02 de Outubro"",
   PROPER(REGEXEXTRACT(S14, ""^([^.]*)\.""))
   )&amp;"")"",
IF(REGEXMATCH(S14, ""Facebook""), 
   """&amp;"Facebook (""&amp;
   IF(REGEXMATCH(S14, ""Mídia Ninja""), ""Mídia Ninja"",
   PROPER(REGEXEXTRACT(S14, ""^([^.]*)\.""))
   )&amp;"")"",
IF(REGEXMATCH(S14, ""Instagram""), 
   ""Instagram (""&amp;
   IF(REGEXMATCH(S14, ""Memórias Carandiru""), ""Memórias Carandiru"","&amp;"
   PROPER(REGEXEXTRACT(S14, ""^([^.]*)\.""))
   )&amp;"")"",
IF(REGEXMATCH(S14, ""Folha de S\. Paulo|FOLHA DE S\. PAULO""), ""Folha de S. Paulo"",
IF(REGEXMATCH(S14, ""O Estado de S\. Paulo|ESTADAO""), ""O Estado de S. Paulo"",
IF(REGEXMATCH(S14, ""salasecr"&amp;"eta""), ""Wordpress (Sala Secreta)"",
IF(REGEXMATCH(S14, ""Wikipedia|Wikipédia|WIKIPÉDIA""), ""Wikipedia"",
IF(REGEXMATCH(S14, ""VEJA|Veja""), ""Veja Abril"",
IF(REGEXMATCH(S286, ""Rede Globo|REDE GLOBO""), ""Rede Globo"",
IF(REGEXMATCH(S286, ""G1|globo\."&amp;"com""), ""G1"",
IF(REGEXMATCH(S14, ""Deutsche Welle|DW\.com""), ""Deutsche Welle"",
IF(REGEXMATCH(S14, ""CIDH|Comissão Interamericana""), ""Comissão Interamericana de Direitos Humanos (CIDH)"",
IF(REGEXMATCH(S14, ""Pastoral Carcerária""), ""Pastoral Carce"&amp;"rária"",
IF(REGEXMATCH(S14, ""Esquerda Web""), ""Esquerda Web"",
IF(REGEXMATCH(S14, ""ONU|Organização das Nações Unidas""), ""ONU Brasil"",
IF(REGEXMATCH(S14, ""Quilombo Invisível""), ""Quilombo Invisível"",
IF(REGEXMATCH(S14, ""ALESP|Assembleia Legislati"&amp;"va""), ""ALESP"",
IF(REGEXMATCH(S14, ""Revista Opera""), ""Revista Opera"",
IF(REGEXMATCH(S14, ""SP Escola de Teatro""), ""SP Escola de Teatro"",
IF(REGEXMATCH(S14, ""EMC|Espaço Memória Carandiru""), ""EMC Espaço Memória Carandiru"",
IF(REGEXMATCH(S14, "&amp;"""^RAMOS, Nuno|Nuno Ramos""), ""Nuno Ramos"",
IF(REGEXMATCH(S14, ""^VELOSO, Caetano|Caetano Veloso""), ""YouTube (Caetano Veloso)"",
IF(REGEXMATCH(S14, ""^FATOS REAIS""), ""YouTube (Fatos Reais - Topic)"",
IF(REGEXMATCH(S14, ""^SALA SECRETA""), ""Wordpres"&amp;"s (Sala Secreta)"",
PROPER(REGEXEXTRACT(S14, ""^([^.]*)\.""))
))))))))))))))))))))))))))))))))))))))))))))))))))))))))"),"Anistia Internacional")</f>
        <v>Anistia Internacional</v>
      </c>
      <c r="N14" s="11" t="s">
        <v>47</v>
      </c>
      <c r="O14" s="11" t="s">
        <v>149</v>
      </c>
      <c r="P14" s="183">
        <v>45855.0</v>
      </c>
      <c r="Q14" s="11" t="s">
        <v>154</v>
      </c>
      <c r="R14" s="70" t="str">
        <f t="shared" si="2"/>
        <v>Aqui</v>
      </c>
      <c r="S14" s="75" t="s">
        <v>441</v>
      </c>
    </row>
    <row r="15">
      <c r="A15" s="11">
        <v>13.0</v>
      </c>
      <c r="B15" s="11" t="s">
        <v>442</v>
      </c>
      <c r="C15" s="12" t="str">
        <f>IFERROR(__xludf.DUMMYFUNCTION("IF(B15="""","""",IF(OR(
  REGEXMATCH(B15,""Performance|Instalação|Álbum|Música|Poema|Livro|Filme|Documentário|Recitação|Espetáculo|Peça|Intervenção|Desfile|Fotografia|Exposição|Charge|Grafite|Leitura pública|Fabricação de cachaça artesanal""),
  REGEXMATC"&amp;"H(B15,""dança|teatral|artístico|musical|artística"")
),""Manifestação artístico-cultural"",
IF(OR(
  REGEXMATCH(B15,""Crônica|Série|Reportagem|Podcast|Audiotour|Entrevista|Vídeo|Rádio""),
  REGEXMATCH(B15,""midiática"")
),""Produção midiática"","""")))
"),"Produção midiática")</f>
        <v>Produção midiática</v>
      </c>
      <c r="D15" s="13" t="str">
        <f>IFERROR(__xludf.DUMMYFUNCTION("IF(B15="""","""",IF(OR(
  REGEXMATCH(B15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REGEXMATCH(B15,""público|Imediato|artística|teatral|memória"")
),""Público Imediato"",
IF(REGEXMATCH(B15,""Música|Álbum|Filme|Documentário|Série|Podcast|"&amp;"Rádio|Audiotour|Entrevista|Reportagem|Crônica|Relatório|Abaixo-assinado|Manifesto|Petição|Poema|Livro|Fotografia|Curta|Live|Webinário|Charge|Leitura pública|Vídeo""),
""Público Mediado"","""")))
"),"Público Mediado")</f>
        <v>Público Mediado</v>
      </c>
      <c r="E15" s="13" t="str">
        <f>IFERROR(__xludf.DUMMYFUNCTION("IF(B15="""","""",IF(OR(
  REGEXMATCH(B15,""Live|Webinário|Virtual""),
  REGEXMATCH(B15,""online"")
),""Virtual"",
IF(REGEXMATCH(B15,""Música|Álbum|Filme|Documentário|Série|Podcast|Rádio|Audiotour|Episódio|Reportagem|Curta|Charge|Livro|Vídeo|Entrevista""),"&amp;"
""Midiático"",
IF(REGEXMATCH(B15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5" s="186">
        <v>34215.0</v>
      </c>
      <c r="G15" s="15">
        <f t="shared" si="1"/>
        <v>1993</v>
      </c>
      <c r="H15" s="11" t="s">
        <v>23</v>
      </c>
      <c r="I15" s="16" t="s">
        <v>444</v>
      </c>
      <c r="J15" s="17" t="s">
        <v>445</v>
      </c>
      <c r="K15" s="16" t="s">
        <v>26</v>
      </c>
      <c r="L15" s="18" t="s">
        <v>27</v>
      </c>
      <c r="M15" s="15" t="str">
        <f>IFERROR(__xludf.DUMMYFUNCTION("IF(REGEXMATCH(S15, ""Companhia das Letras""), ""Companhia das Letras"",
IF(REGEXMATCH(S15, ""Labortexto Editorial""), ""Labortexto Editorial"",
IF(REGEXMATCH(S15, ""Geração Editorial""), ""Geração Editorial"",
IF(REGEXMATCH(S15, ""Editora Imprensa Oficial"&amp;"|Imprensa Oficial""), ""Editora Imprensa Oficial"",
IF(REGEXMATCH(S15, ""Folha Online""), ""Folha Online"",
IF(REGEXMATCH(S15, ""FGV DIREITO SP|FGV Direito SP""), ""FGV DIREITO SP"",
IF(REGEXMATCH(S15, ""massacrecarandiru\.org\.br""), ""Memória Massacre C"&amp;"arandiru"",
IF(REGEXMATCH(S15, ""Itaú Cultural""), ""YouTube (Itaú Cultural)"",
IF(REGEXMATCH(S15, ""Passa Palavra""), ""Vimeo (Passa Palavra)"",
IF(REGEXMATCH(S15, ""rede2deoutubro\.blogspot""), ""Blogspot (Rede 02 de Outubro)"",
IF(REGEXMATCH(S15, ""Red"&amp;"e TVT""), ""YouTube (Rede TVT)"",
IF(REGEXMATCH(S15, ""Esquerda Diário""), ""Esquerda Diário"",
IF(REGEXMATCH(S15, ""GZH""), ""GZH"",
IF(REGEXMATCH(S15, ""TVPUC""), ""TVPUC"",
IF(REGEXMATCH(S15, ""Mídia Ninja.*Facebook""), ""Facebook (Mídia Ninja)"",
IF(R"&amp;"EGEXMATCH(S15, ""Memórias Carandiru.*Instagram""), ""Instagram (Memórias Carandiru)"",
IF(REGEXMATCH(S15, ""Frente pelo Desencarceramento SP""), ""YouTube (Frente Pelo Desencarceramento SP)"",
IF(REGEXMATCH(S15, ""TV ABA""), ""YouTube (TV ABA)"",
IF(REGEX"&amp;"MATCH(S15, ""TV SENADO""), ""YouTube (TV Senado)"",
IF(REGEXMATCH(S15, ""Google Arts &amp; Culture""), ""Google Arts &amp; Culture (Memória Massacre Carandiru)"",
IF(REGEXMATCH(S15, ""Anistia Internacional|ANISTIA INTERNACIONAL""), ""Anistia Internacional"",
IF(R"&amp;"EGEXMATCH(S15, ""47\.mostra|47a Mostra""), ""47a Mostra Internacional de Cinema em São Paulo"",
IF(REGEXMATCH(S15, ""Canal USP""), ""YouTube (Canal USP)"",
IF(AND(
  REGEXMATCH(S15, ""(?i)(teses?\.usp\.br|dissertacoes?\.usp\.br|repositorio\.usp\.br)""),
 "&amp;" NOT(REGEXMATCH(S15, ""Canal USP""))
), ""Biblioteca Digital de Teses e Dissertações da USP"",
IF(REGEXMATCH(S15, ""SINTRAJUSC""), ""SINTRAJUSC"",
IF(REGEXMATCH(S15, ""Agência Brasil|Agencia Brasil""), ""Agência Brasil"",
IF(REGEXMATCH(S15, ""Brasil de Fa"&amp;"to""), ""Brasil de Fato"",
IF(REGEXMATCH(S15, ""Ponte Jornalismo|pontejornalismo""), ""Ponte Jornalismo"",
IF(REGEXMATCH(S15, ""letras\.mus\.br|Letras,""), ""Letras"",
IF(REGEXMATCH(S15, ""YouTube|youtube""), 
   ""YouTube (""&amp;
   IF(REGEXMATCH(S15, ""It"&amp;"aú Cultural""), ""Itaú Cultural"",
   IF(REGEXMATCH(S15, ""Rede TVT""), ""Rede TVT"",
   IF(REGEXMATCH(S15, ""Frente pelo Desencarceramento SP""), ""Frente Pelo Desencarceramento SP"",
   IF(REGEXMATCH(S15, ""TV ABA""), ""TV ABA"",
   IF(REGEXMATCH(S15, "&amp;"""TV SENADO""), ""TV Senado"",
   IF(REGEXMATCH(S15, ""Canal USP""), ""Canal USP"",
   IF(REGEXMATCH(S15, ""Douer, Zack|Zack Douer""), ""Douer Zack"",
   IF(REGEXMATCH(S15, ""PRISIONEIRO 84\.901|PRISIONEIRO 84""), ""Prisioneiro 84.901"",
   IF(REGEXMATCH("&amp;"S15, ""^[^,]*, ""), 
        PROPER(REGEXREPLACE(REGEXEXTRACT(S15, ""^([^.]*)\.""), ""^([^,]*), (.*)"", ""$2 $1"")),
        PROPER(REGEXEXTRACT(S15, ""^([^.]*)\.""))
   )))))))))&amp;"")"",
IF(REGEXMATCH(S15, ""Spotify|spotify""), 
   ""Spotify (""&amp;
   IF(R"&amp;"EGEXMATCH(S15, ""ESTRANHO SORRISO""), ""Estranho Sorriso"",
   PROPER(REGEXEXTRACT(S15, ""^([^.]*)\.""))
   )&amp;"")"",
IF(REGEXMATCH(S15, ""Vimeo|vimeo""), 
   ""Vimeo (""&amp;
   IF(REGEXMATCH(S15, ""Passa Palavra""), ""Passa Palavra"",
   PROPER(REGEXEXTRACT"&amp;"(S15, ""^([^.]*)\.""))
   )&amp;"")"",
IF(REGEXMATCH(S15, ""Blogspot""), 
   ""Blogspot (""&amp;
   IF(REGEXMATCH(S15, ""rede2deoutubro""), ""Rede 02 de Outubro"",
   PROPER(REGEXEXTRACT(S15, ""^([^.]*)\.""))
   )&amp;"")"",
IF(REGEXMATCH(S15, ""Facebook""), 
   """&amp;"Facebook (""&amp;
   IF(REGEXMATCH(S15, ""Mídia Ninja""), ""Mídia Ninja"",
   PROPER(REGEXEXTRACT(S15, ""^([^.]*)\.""))
   )&amp;"")"",
IF(REGEXMATCH(S15, ""Instagram""), 
   ""Instagram (""&amp;
   IF(REGEXMATCH(S15, ""Memórias Carandiru""), ""Memórias Carandiru"","&amp;"
   PROPER(REGEXEXTRACT(S15, ""^([^.]*)\.""))
   )&amp;"")"",
IF(REGEXMATCH(S15, ""Folha de S\. Paulo|FOLHA DE S\. PAULO""), ""Folha de S. Paulo"",
IF(REGEXMATCH(S15, ""O Estado de S\. Paulo|ESTADAO""), ""O Estado de S. Paulo"",
IF(REGEXMATCH(S15, ""salasecr"&amp;"eta""), ""Wordpress (Sala Secreta)"",
IF(REGEXMATCH(S15, ""Wikipedia|Wikipédia|WIKIPÉDIA""), ""Wikipedia"",
IF(REGEXMATCH(S15, ""VEJA|Veja""), ""Veja Abril"",
IF(REGEXMATCH(S287, ""Rede Globo|REDE GLOBO""), ""Rede Globo"",
IF(REGEXMATCH(S287, ""G1|globo\."&amp;"com""), ""G1"",
IF(REGEXMATCH(S15, ""Deutsche Welle|DW\.com""), ""Deutsche Welle"",
IF(REGEXMATCH(S15, ""CIDH|Comissão Interamericana""), ""Comissão Interamericana de Direitos Humanos (CIDH)"",
IF(REGEXMATCH(S15, ""Pastoral Carcerária""), ""Pastoral Carce"&amp;"rária"",
IF(REGEXMATCH(S15, ""Esquerda Web""), ""Esquerda Web"",
IF(REGEXMATCH(S15, ""ONU|Organização das Nações Unidas""), ""ONU Brasil"",
IF(REGEXMATCH(S15, ""Quilombo Invisível""), ""Quilombo Invisível"",
IF(REGEXMATCH(S15, ""ALESP|Assembleia Legislati"&amp;"va""), ""ALESP"",
IF(REGEXMATCH(S15, ""Revista Opera""), ""Revista Opera"",
IF(REGEXMATCH(S15, ""SP Escola de Teatro""), ""SP Escola de Teatro"",
IF(REGEXMATCH(S15, ""EMC|Espaço Memória Carandiru""), ""EMC Espaço Memória Carandiru"",
IF(REGEXMATCH(S15, "&amp;"""^RAMOS, Nuno|Nuno Ramos""), ""Nuno Ramos"",
IF(REGEXMATCH(S15, ""^VELOSO, Caetano|Caetano Veloso""), ""YouTube (Caetano Veloso)"",
IF(REGEXMATCH(S15, ""^FATOS REAIS""), ""YouTube (Fatos Reais - Topic)"",
IF(REGEXMATCH(S15, ""^SALA SECRETA""), ""Wordpres"&amp;"s (Sala Secreta)"",
PROPER(REGEXEXTRACT(S15, ""^([^.]*)\.""))
))))))))))))))))))))))))))))))))))))))))))))))))))))))))"),"O Estado de S. Paulo")</f>
        <v>O Estado de S. Paulo</v>
      </c>
      <c r="N15" s="11" t="s">
        <v>47</v>
      </c>
      <c r="O15" s="11" t="s">
        <v>450</v>
      </c>
      <c r="P15" s="183">
        <v>45855.0</v>
      </c>
      <c r="Q15" s="11" t="s">
        <v>53</v>
      </c>
      <c r="R15" s="70" t="str">
        <f t="shared" si="2"/>
        <v>Aqui</v>
      </c>
      <c r="S15" s="75" t="s">
        <v>453</v>
      </c>
    </row>
    <row r="16">
      <c r="A16" s="11">
        <v>14.0</v>
      </c>
      <c r="B16" s="11" t="s">
        <v>454</v>
      </c>
      <c r="C16" s="122" t="s">
        <v>165</v>
      </c>
      <c r="D16" s="13" t="str">
        <f>IFERROR(__xludf.DUMMYFUNCTION("IF(B16="""","""",IF(OR(
  REGEXMATCH(B16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REGEXMATCH(B16,""público|Imediato|artística|teatral|memória"")
),""Público Imediato"",
IF(REGEXMATCH(B16,""Música|Álbum|Filme|Documentário|Série|Podcast|"&amp;"Rádio|Audiotour|Entrevista|Reportagem|Crônica|Relatório|Abaixo-assinado|Manifesto|Petição|Poema|Livro|Fotografia|Curta|Live|Webinário|Charge|Leitura pública|Vídeo""),
""Público Mediado"","""")))
"),"Público Mediado")</f>
        <v>Público Mediado</v>
      </c>
      <c r="E16" s="13" t="str">
        <f>IFERROR(__xludf.DUMMYFUNCTION("IF(B16="""","""",IF(OR(
  REGEXMATCH(B16,""Live|Webinário|Virtual""),
  REGEXMATCH(B16,""online"")
),""Virtual"",
IF(REGEXMATCH(B16,""Música|Álbum|Filme|Documentário|Série|Podcast|Rádio|Audiotour|Episódio|Reportagem|Curta|Charge|Livro|Vídeo|Entrevista""),"&amp;"
""Midiático"",
IF(REGEXMATCH(B16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6" s="186">
        <v>34255.0</v>
      </c>
      <c r="G16" s="15">
        <f t="shared" si="1"/>
        <v>1993</v>
      </c>
      <c r="H16" s="11" t="s">
        <v>23</v>
      </c>
      <c r="I16" s="16" t="s">
        <v>260</v>
      </c>
      <c r="J16" s="17" t="s">
        <v>457</v>
      </c>
      <c r="K16" s="16" t="s">
        <v>26</v>
      </c>
      <c r="L16" s="18" t="s">
        <v>27</v>
      </c>
      <c r="M16" s="15" t="str">
        <f>IFERROR(__xludf.DUMMYFUNCTION("IF(REGEXMATCH(S16, ""Companhia das Letras""), ""Companhia das Letras"",
IF(REGEXMATCH(S16, ""Labortexto Editorial""), ""Labortexto Editorial"",
IF(REGEXMATCH(S16, ""Geração Editorial""), ""Geração Editorial"",
IF(REGEXMATCH(S16, ""Editora Imprensa Oficial"&amp;"|Imprensa Oficial""), ""Editora Imprensa Oficial"",
IF(REGEXMATCH(S16, ""Folha Online""), ""Folha Online"",
IF(REGEXMATCH(S16, ""FGV DIREITO SP|FGV Direito SP""), ""FGV DIREITO SP"",
IF(REGEXMATCH(S16, ""massacrecarandiru\.org\.br""), ""Memória Massacre C"&amp;"arandiru"",
IF(REGEXMATCH(S16, ""Itaú Cultural""), ""YouTube (Itaú Cultural)"",
IF(REGEXMATCH(S16, ""Passa Palavra""), ""Vimeo (Passa Palavra)"",
IF(REGEXMATCH(S16, ""rede2deoutubro\.blogspot""), ""Blogspot (Rede 02 de Outubro)"",
IF(REGEXMATCH(S16, ""Red"&amp;"e TVT""), ""YouTube (Rede TVT)"",
IF(REGEXMATCH(S16, ""Esquerda Diário""), ""Esquerda Diário"",
IF(REGEXMATCH(S16, ""GZH""), ""GZH"",
IF(REGEXMATCH(S16, ""TVPUC""), ""TVPUC"",
IF(REGEXMATCH(S16, ""Mídia Ninja.*Facebook""), ""Facebook (Mídia Ninja)"",
IF(R"&amp;"EGEXMATCH(S16, ""Memórias Carandiru.*Instagram""), ""Instagram (Memórias Carandiru)"",
IF(REGEXMATCH(S16, ""Frente pelo Desencarceramento SP""), ""YouTube (Frente Pelo Desencarceramento SP)"",
IF(REGEXMATCH(S16, ""TV ABA""), ""YouTube (TV ABA)"",
IF(REGEX"&amp;"MATCH(S16, ""TV SENADO""), ""YouTube (TV Senado)"",
IF(REGEXMATCH(S16, ""Google Arts &amp; Culture""), ""Google Arts &amp; Culture (Memória Massacre Carandiru)"",
IF(REGEXMATCH(S16, ""Anistia Internacional|ANISTIA INTERNACIONAL""), ""Anistia Internacional"",
IF(R"&amp;"EGEXMATCH(S16, ""47\.mostra|47a Mostra""), ""47a Mostra Internacional de Cinema em São Paulo"",
IF(REGEXMATCH(S16, ""Canal USP""), ""YouTube (Canal USP)"",
IF(AND(
  REGEXMATCH(S16, ""(?i)(teses?\.usp\.br|dissertacoes?\.usp\.br|repositorio\.usp\.br)""),
 "&amp;" NOT(REGEXMATCH(S16, ""Canal USP""))
), ""Biblioteca Digital de Teses e Dissertações da USP"",
IF(REGEXMATCH(S16, ""SINTRAJUSC""), ""SINTRAJUSC"",
IF(REGEXMATCH(S16, ""Agência Brasil|Agencia Brasil""), ""Agência Brasil"",
IF(REGEXMATCH(S16, ""Brasil de Fa"&amp;"to""), ""Brasil de Fato"",
IF(REGEXMATCH(S16, ""Ponte Jornalismo|pontejornalismo""), ""Ponte Jornalismo"",
IF(REGEXMATCH(S16, ""letras\.mus\.br|Letras,""), ""Letras"",
IF(REGEXMATCH(S16, ""YouTube|youtube""), 
   ""YouTube (""&amp;
   IF(REGEXMATCH(S16, ""It"&amp;"aú Cultural""), ""Itaú Cultural"",
   IF(REGEXMATCH(S16, ""Rede TVT""), ""Rede TVT"",
   IF(REGEXMATCH(S16, ""Frente pelo Desencarceramento SP""), ""Frente Pelo Desencarceramento SP"",
   IF(REGEXMATCH(S16, ""TV ABA""), ""TV ABA"",
   IF(REGEXMATCH(S16, "&amp;"""TV SENADO""), ""TV Senado"",
   IF(REGEXMATCH(S16, ""Canal USP""), ""Canal USP"",
   IF(REGEXMATCH(S16, ""Douer, Zack|Zack Douer""), ""Douer Zack"",
   IF(REGEXMATCH(S16, ""PRISIONEIRO 84\.901|PRISIONEIRO 84""), ""Prisioneiro 84.901"",
   IF(REGEXMATCH("&amp;"S16, ""^[^,]*, ""), 
        PROPER(REGEXREPLACE(REGEXEXTRACT(S16, ""^([^.]*)\.""), ""^([^,]*), (.*)"", ""$2 $1"")),
        PROPER(REGEXEXTRACT(S16, ""^([^.]*)\.""))
   )))))))))&amp;"")"",
IF(REGEXMATCH(S16, ""Spotify|spotify""), 
   ""Spotify (""&amp;
   IF(R"&amp;"EGEXMATCH(S16, ""ESTRANHO SORRISO""), ""Estranho Sorriso"",
   PROPER(REGEXEXTRACT(S16, ""^([^.]*)\.""))
   )&amp;"")"",
IF(REGEXMATCH(S16, ""Vimeo|vimeo""), 
   ""Vimeo (""&amp;
   IF(REGEXMATCH(S16, ""Passa Palavra""), ""Passa Palavra"",
   PROPER(REGEXEXTRACT"&amp;"(S16, ""^([^.]*)\.""))
   )&amp;"")"",
IF(REGEXMATCH(S16, ""Blogspot""), 
   ""Blogspot (""&amp;
   IF(REGEXMATCH(S16, ""rede2deoutubro""), ""Rede 02 de Outubro"",
   PROPER(REGEXEXTRACT(S16, ""^([^.]*)\.""))
   )&amp;"")"",
IF(REGEXMATCH(S16, ""Facebook""), 
   """&amp;"Facebook (""&amp;
   IF(REGEXMATCH(S16, ""Mídia Ninja""), ""Mídia Ninja"",
   PROPER(REGEXEXTRACT(S16, ""^([^.]*)\.""))
   )&amp;"")"",
IF(REGEXMATCH(S16, ""Instagram""), 
   ""Instagram (""&amp;
   IF(REGEXMATCH(S16, ""Memórias Carandiru""), ""Memórias Carandiru"","&amp;"
   PROPER(REGEXEXTRACT(S16, ""^([^.]*)\.""))
   )&amp;"")"",
IF(REGEXMATCH(S16, ""Folha de S\. Paulo|FOLHA DE S\. PAULO""), ""Folha de S. Paulo"",
IF(REGEXMATCH(S16, ""O Estado de S\. Paulo|ESTADAO""), ""O Estado de S. Paulo"",
IF(REGEXMATCH(S16, ""salasecr"&amp;"eta""), ""Wordpress (Sala Secreta)"",
IF(REGEXMATCH(S16, ""Wikipedia|Wikipédia|WIKIPÉDIA""), ""Wikipedia"",
IF(REGEXMATCH(S16, ""VEJA|Veja""), ""Veja Abril"",
IF(REGEXMATCH(S288, ""Rede Globo|REDE GLOBO""), ""Rede Globo"",
IF(REGEXMATCH(S288, ""G1|globo\."&amp;"com""), ""G1"",
IF(REGEXMATCH(S16, ""Deutsche Welle|DW\.com""), ""Deutsche Welle"",
IF(REGEXMATCH(S16, ""CIDH|Comissão Interamericana""), ""Comissão Interamericana de Direitos Humanos (CIDH)"",
IF(REGEXMATCH(S16, ""Pastoral Carcerária""), ""Pastoral Carce"&amp;"rária"",
IF(REGEXMATCH(S16, ""Esquerda Web""), ""Esquerda Web"",
IF(REGEXMATCH(S16, ""ONU|Organização das Nações Unidas""), ""ONU Brasil"",
IF(REGEXMATCH(S16, ""Quilombo Invisível""), ""Quilombo Invisível"",
IF(REGEXMATCH(S16, ""ALESP|Assembleia Legislati"&amp;"va""), ""ALESP"",
IF(REGEXMATCH(S16, ""Revista Opera""), ""Revista Opera"",
IF(REGEXMATCH(S16, ""SP Escola de Teatro""), ""SP Escola de Teatro"",
IF(REGEXMATCH(S16, ""EMC|Espaço Memória Carandiru""), ""EMC Espaço Memória Carandiru"",
IF(REGEXMATCH(S16, "&amp;"""^RAMOS, Nuno|Nuno Ramos""), ""Nuno Ramos"",
IF(REGEXMATCH(S16, ""^VELOSO, Caetano|Caetano Veloso""), ""YouTube (Caetano Veloso)"",
IF(REGEXMATCH(S16, ""^FATOS REAIS""), ""YouTube (Fatos Reais - Topic)"",
IF(REGEXMATCH(S16, ""^SALA SECRETA""), ""Wordpres"&amp;"s (Sala Secreta)"",
PROPER(REGEXEXTRACT(S16, ""^([^.]*)\.""))
))))))))))))))))))))))))))))))))))))))))))))))))))))))))"),"Folha de S. Paulo")</f>
        <v>Folha de S. Paulo</v>
      </c>
      <c r="N16" s="11" t="s">
        <v>47</v>
      </c>
      <c r="O16" s="11" t="s">
        <v>460</v>
      </c>
      <c r="P16" s="183">
        <v>45855.0</v>
      </c>
      <c r="Q16" s="11" t="s">
        <v>53</v>
      </c>
      <c r="R16" s="70" t="str">
        <f t="shared" si="2"/>
        <v>Aqui</v>
      </c>
      <c r="S16" s="75" t="s">
        <v>461</v>
      </c>
    </row>
    <row r="17">
      <c r="A17" s="11">
        <v>15.0</v>
      </c>
      <c r="B17" s="11" t="s">
        <v>462</v>
      </c>
      <c r="C17" s="122" t="s">
        <v>165</v>
      </c>
      <c r="D17" s="13" t="str">
        <f>IFERROR(__xludf.DUMMYFUNCTION("IF(B17="""","""",IF(OR(
  REGEXMATCH(B17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REGEXMATCH(B17,""público|Imediato|artística|teatral|memória"")
),""Público Imediato"",
IF(REGEXMATCH(B17,""Música|Álbum|Filme|Documentário|Série|Podcast|"&amp;"Rádio|Audiotour|Entrevista|Reportagem|Crônica|Relatório|Abaixo-assinado|Manifesto|Petição|Poema|Livro|Fotografia|Curta|Live|Webinário|Charge|Leitura pública|Vídeo""),
""Público Mediado"","""")))
"),"Público Mediado")</f>
        <v>Público Mediado</v>
      </c>
      <c r="E17" s="13" t="str">
        <f>IFERROR(__xludf.DUMMYFUNCTION("IF(B17="""","""",IF(OR(
  REGEXMATCH(B17,""Live|Webinário|Virtual""),
  REGEXMATCH(B17,""online"")
),""Virtual"",
IF(REGEXMATCH(B17,""Música|Álbum|Filme|Documentário|Série|Podcast|Rádio|Audiotour|Episódio|Reportagem|Curta|Charge|Livro|Vídeo|Entrevista""),"&amp;"
""Midiático"",
IF(REGEXMATCH(B17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7" s="186">
        <v>34255.0</v>
      </c>
      <c r="G17" s="15">
        <f t="shared" si="1"/>
        <v>1993</v>
      </c>
      <c r="H17" s="11" t="s">
        <v>23</v>
      </c>
      <c r="I17" s="16" t="s">
        <v>464</v>
      </c>
      <c r="J17" s="17" t="s">
        <v>457</v>
      </c>
      <c r="K17" s="16" t="s">
        <v>26</v>
      </c>
      <c r="L17" s="18" t="s">
        <v>27</v>
      </c>
      <c r="M17" s="15" t="str">
        <f>IFERROR(__xludf.DUMMYFUNCTION("IF(REGEXMATCH(S17, ""Companhia das Letras""), ""Companhia das Letras"",
IF(REGEXMATCH(S17, ""Labortexto Editorial""), ""Labortexto Editorial"",
IF(REGEXMATCH(S17, ""Geração Editorial""), ""Geração Editorial"",
IF(REGEXMATCH(S17, ""Editora Imprensa Oficial"&amp;"|Imprensa Oficial""), ""Editora Imprensa Oficial"",
IF(REGEXMATCH(S17, ""Folha Online""), ""Folha Online"",
IF(REGEXMATCH(S17, ""FGV DIREITO SP|FGV Direito SP""), ""FGV DIREITO SP"",
IF(REGEXMATCH(S17, ""massacrecarandiru\.org\.br""), ""Memória Massacre C"&amp;"arandiru"",
IF(REGEXMATCH(S17, ""Itaú Cultural""), ""YouTube (Itaú Cultural)"",
IF(REGEXMATCH(S17, ""Passa Palavra""), ""Vimeo (Passa Palavra)"",
IF(REGEXMATCH(S17, ""rede2deoutubro\.blogspot""), ""Blogspot (Rede 02 de Outubro)"",
IF(REGEXMATCH(S17, ""Red"&amp;"e TVT""), ""YouTube (Rede TVT)"",
IF(REGEXMATCH(S17, ""Esquerda Diário""), ""Esquerda Diário"",
IF(REGEXMATCH(S17, ""GZH""), ""GZH"",
IF(REGEXMATCH(S17, ""TVPUC""), ""TVPUC"",
IF(REGEXMATCH(S17, ""Mídia Ninja.*Facebook""), ""Facebook (Mídia Ninja)"",
IF(R"&amp;"EGEXMATCH(S17, ""Memórias Carandiru.*Instagram""), ""Instagram (Memórias Carandiru)"",
IF(REGEXMATCH(S17, ""Frente pelo Desencarceramento SP""), ""YouTube (Frente Pelo Desencarceramento SP)"",
IF(REGEXMATCH(S17, ""TV ABA""), ""YouTube (TV ABA)"",
IF(REGEX"&amp;"MATCH(S17, ""TV SENADO""), ""YouTube (TV Senado)"",
IF(REGEXMATCH(S17, ""Google Arts &amp; Culture""), ""Google Arts &amp; Culture (Memória Massacre Carandiru)"",
IF(REGEXMATCH(S17, ""Anistia Internacional|ANISTIA INTERNACIONAL""), ""Anistia Internacional"",
IF(R"&amp;"EGEXMATCH(S17, ""47\.mostra|47a Mostra""), ""47a Mostra Internacional de Cinema em São Paulo"",
IF(REGEXMATCH(S17, ""Canal USP""), ""YouTube (Canal USP)"",
IF(AND(
  REGEXMATCH(S17, ""(?i)(teses?\.usp\.br|dissertacoes?\.usp\.br|repositorio\.usp\.br)""),
 "&amp;" NOT(REGEXMATCH(S17, ""Canal USP""))
), ""Biblioteca Digital de Teses e Dissertações da USP"",
IF(REGEXMATCH(S17, ""SINTRAJUSC""), ""SINTRAJUSC"",
IF(REGEXMATCH(S17, ""Agência Brasil|Agencia Brasil""), ""Agência Brasil"",
IF(REGEXMATCH(S17, ""Brasil de Fa"&amp;"to""), ""Brasil de Fato"",
IF(REGEXMATCH(S17, ""Ponte Jornalismo|pontejornalismo""), ""Ponte Jornalismo"",
IF(REGEXMATCH(S17, ""letras\.mus\.br|Letras,""), ""Letras"",
IF(REGEXMATCH(S17, ""YouTube|youtube""), 
   ""YouTube (""&amp;
   IF(REGEXMATCH(S17, ""It"&amp;"aú Cultural""), ""Itaú Cultural"",
   IF(REGEXMATCH(S17, ""Rede TVT""), ""Rede TVT"",
   IF(REGEXMATCH(S17, ""Frente pelo Desencarceramento SP""), ""Frente Pelo Desencarceramento SP"",
   IF(REGEXMATCH(S17, ""TV ABA""), ""TV ABA"",
   IF(REGEXMATCH(S17, "&amp;"""TV SENADO""), ""TV Senado"",
   IF(REGEXMATCH(S17, ""Canal USP""), ""Canal USP"",
   IF(REGEXMATCH(S17, ""Douer, Zack|Zack Douer""), ""Douer Zack"",
   IF(REGEXMATCH(S17, ""PRISIONEIRO 84\.901|PRISIONEIRO 84""), ""Prisioneiro 84.901"",
   IF(REGEXMATCH("&amp;"S17, ""^[^,]*, ""), 
        PROPER(REGEXREPLACE(REGEXEXTRACT(S17, ""^([^.]*)\.""), ""^([^,]*), (.*)"", ""$2 $1"")),
        PROPER(REGEXEXTRACT(S17, ""^([^.]*)\.""))
   )))))))))&amp;"")"",
IF(REGEXMATCH(S17, ""Spotify|spotify""), 
   ""Spotify (""&amp;
   IF(R"&amp;"EGEXMATCH(S17, ""ESTRANHO SORRISO""), ""Estranho Sorriso"",
   PROPER(REGEXEXTRACT(S17, ""^([^.]*)\.""))
   )&amp;"")"",
IF(REGEXMATCH(S17, ""Vimeo|vimeo""), 
   ""Vimeo (""&amp;
   IF(REGEXMATCH(S17, ""Passa Palavra""), ""Passa Palavra"",
   PROPER(REGEXEXTRACT"&amp;"(S17, ""^([^.]*)\.""))
   )&amp;"")"",
IF(REGEXMATCH(S17, ""Blogspot""), 
   ""Blogspot (""&amp;
   IF(REGEXMATCH(S17, ""rede2deoutubro""), ""Rede 02 de Outubro"",
   PROPER(REGEXEXTRACT(S17, ""^([^.]*)\.""))
   )&amp;"")"",
IF(REGEXMATCH(S17, ""Facebook""), 
   """&amp;"Facebook (""&amp;
   IF(REGEXMATCH(S17, ""Mídia Ninja""), ""Mídia Ninja"",
   PROPER(REGEXEXTRACT(S17, ""^([^.]*)\.""))
   )&amp;"")"",
IF(REGEXMATCH(S17, ""Instagram""), 
   ""Instagram (""&amp;
   IF(REGEXMATCH(S17, ""Memórias Carandiru""), ""Memórias Carandiru"","&amp;"
   PROPER(REGEXEXTRACT(S17, ""^([^.]*)\.""))
   )&amp;"")"",
IF(REGEXMATCH(S17, ""Folha de S\. Paulo|FOLHA DE S\. PAULO""), ""Folha de S. Paulo"",
IF(REGEXMATCH(S17, ""O Estado de S\. Paulo|ESTADAO""), ""O Estado de S. Paulo"",
IF(REGEXMATCH(S17, ""salasecr"&amp;"eta""), ""Wordpress (Sala Secreta)"",
IF(REGEXMATCH(S17, ""Wikipedia|Wikipédia|WIKIPÉDIA""), ""Wikipedia"",
IF(REGEXMATCH(S17, ""VEJA|Veja""), ""Veja Abril"",
IF(REGEXMATCH(S289, ""Rede Globo|REDE GLOBO""), ""Rede Globo"",
IF(REGEXMATCH(S289, ""G1|globo\."&amp;"com""), ""G1"",
IF(REGEXMATCH(S17, ""Deutsche Welle|DW\.com""), ""Deutsche Welle"",
IF(REGEXMATCH(S17, ""CIDH|Comissão Interamericana""), ""Comissão Interamericana de Direitos Humanos (CIDH)"",
IF(REGEXMATCH(S17, ""Pastoral Carcerária""), ""Pastoral Carce"&amp;"rária"",
IF(REGEXMATCH(S17, ""Esquerda Web""), ""Esquerda Web"",
IF(REGEXMATCH(S17, ""ONU|Organização das Nações Unidas""), ""ONU Brasil"",
IF(REGEXMATCH(S17, ""Quilombo Invisível""), ""Quilombo Invisível"",
IF(REGEXMATCH(S17, ""ALESP|Assembleia Legislati"&amp;"va""), ""ALESP"",
IF(REGEXMATCH(S17, ""Revista Opera""), ""Revista Opera"",
IF(REGEXMATCH(S17, ""SP Escola de Teatro""), ""SP Escola de Teatro"",
IF(REGEXMATCH(S17, ""EMC|Espaço Memória Carandiru""), ""EMC Espaço Memória Carandiru"",
IF(REGEXMATCH(S17, "&amp;"""^RAMOS, Nuno|Nuno Ramos""), ""Nuno Ramos"",
IF(REGEXMATCH(S17, ""^VELOSO, Caetano|Caetano Veloso""), ""YouTube (Caetano Veloso)"",
IF(REGEXMATCH(S17, ""^FATOS REAIS""), ""YouTube (Fatos Reais - Topic)"",
IF(REGEXMATCH(S17, ""^SALA SECRETA""), ""Wordpres"&amp;"s (Sala Secreta)"",
PROPER(REGEXEXTRACT(S17, ""^([^.]*)\.""))
))))))))))))))))))))))))))))))))))))))))))))))))))))))))"),"Folha de S. Paulo")</f>
        <v>Folha de S. Paulo</v>
      </c>
      <c r="N17" s="11" t="s">
        <v>47</v>
      </c>
      <c r="O17" s="11" t="s">
        <v>460</v>
      </c>
      <c r="P17" s="183">
        <v>45855.0</v>
      </c>
      <c r="Q17" s="11" t="s">
        <v>53</v>
      </c>
      <c r="R17" s="70" t="str">
        <f t="shared" si="2"/>
        <v>Aqui</v>
      </c>
      <c r="S17" s="75" t="s">
        <v>461</v>
      </c>
    </row>
    <row r="18">
      <c r="A18" s="11">
        <v>16.0</v>
      </c>
      <c r="B18" s="11" t="s">
        <v>203</v>
      </c>
      <c r="C18" s="12" t="str">
        <f>IFERROR(__xludf.DUMMYFUNCTION("IF(B18="""","""",IF(OR(
  REGEXMATCH(B18,""Performance|Instalação|Álbum|Música|Poema|Livro|Filme|Documentário|Recitação|Espetáculo|Peça|Intervenção|Desfile|Fotografia|Exposição|Charge|Grafite|Leitura pública|Fabricação de cachaça artesanal""),
  REGEXMATC"&amp;"H(B18,""dança|teatral|artístico|musical|artística"")
),""Manifestação artístico-cultural"",
IF(OR(
  REGEXMATCH(B18,""Crônica|Série|Reportagem|Podcast|Audiotour|Entrevista|Vídeo|Rádio""),
  REGEXMATCH(B18,""midiática"")
),""Produção midiática"","""")))
"),"Manifestação artístico-cultural")</f>
        <v>Manifestação artístico-cultural</v>
      </c>
      <c r="D18" s="13" t="str">
        <f>IFERROR(__xludf.DUMMYFUNCTION("IF(B18="""","""",IF(OR(
  REGEXMATCH(B18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REGEXMATCH(B18,""público|Imediato|artística|teatral|memória"")
),""Público Imediato"",
IF(REGEXMATCH(B18,""Música|Álbum|Filme|Documentário|Série|Podcast|"&amp;"Rádio|Audiotour|Entrevista|Reportagem|Crônica|Relatório|Abaixo-assinado|Manifesto|Petição|Poema|Livro|Fotografia|Curta|Live|Webinário|Charge|Leitura pública|Vídeo""),
""Público Mediado"","""")))
"),"Público Mediado")</f>
        <v>Público Mediado</v>
      </c>
      <c r="E18" s="13" t="str">
        <f>IFERROR(__xludf.DUMMYFUNCTION("IF(B18="""","""",IF(OR(
  REGEXMATCH(B18,""Live|Webinário|Virtual""),
  REGEXMATCH(B18,""online"")
),""Virtual"",
IF(REGEXMATCH(B18,""Música|Álbum|Filme|Documentário|Série|Podcast|Rádio|Audiotour|Episódio|Reportagem|Curta|Charge|Livro|Vídeo|Entrevista""),"&amp;"
""Midiático"",
IF(REGEXMATCH(B18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8" s="11">
        <v>1993.0</v>
      </c>
      <c r="G18" s="15">
        <f t="shared" si="1"/>
        <v>1993</v>
      </c>
      <c r="H18" s="11" t="s">
        <v>23</v>
      </c>
      <c r="I18" s="16" t="s">
        <v>472</v>
      </c>
      <c r="J18" s="17" t="s">
        <v>474</v>
      </c>
      <c r="K18" s="16" t="s">
        <v>103</v>
      </c>
      <c r="L18" s="18" t="s">
        <v>475</v>
      </c>
      <c r="M18" s="15" t="str">
        <f>IFERROR(__xludf.DUMMYFUNCTION("IF(REGEXMATCH(S18, ""Companhia das Letras""), ""Companhia das Letras"",
IF(REGEXMATCH(S18, ""Labortexto Editorial""), ""Labortexto Editorial"",
IF(REGEXMATCH(S18, ""Geração Editorial""), ""Geração Editorial"",
IF(REGEXMATCH(S18, ""Editora Imprensa Oficial"&amp;"|Imprensa Oficial""), ""Editora Imprensa Oficial"",
IF(REGEXMATCH(S18, ""Folha Online""), ""Folha Online"",
IF(REGEXMATCH(S18, ""FGV DIREITO SP|FGV Direito SP""), ""FGV DIREITO SP"",
IF(REGEXMATCH(S18, ""massacrecarandiru\.org\.br""), ""Memória Massacre C"&amp;"arandiru"",
IF(REGEXMATCH(S18, ""Itaú Cultural""), ""YouTube (Itaú Cultural)"",
IF(REGEXMATCH(S18, ""Passa Palavra""), ""Vimeo (Passa Palavra)"",
IF(REGEXMATCH(S18, ""rede2deoutubro\.blogspot""), ""Blogspot (Rede 02 de Outubro)"",
IF(REGEXMATCH(S18, ""Red"&amp;"e TVT""), ""YouTube (Rede TVT)"",
IF(REGEXMATCH(S18, ""Esquerda Diário""), ""Esquerda Diário"",
IF(REGEXMATCH(S18, ""GZH""), ""GZH"",
IF(REGEXMATCH(S18, ""TVPUC""), ""TVPUC"",
IF(REGEXMATCH(S18, ""Mídia Ninja.*Facebook""), ""Facebook (Mídia Ninja)"",
IF(R"&amp;"EGEXMATCH(S18, ""Memórias Carandiru.*Instagram""), ""Instagram (Memórias Carandiru)"",
IF(REGEXMATCH(S18, ""Frente pelo Desencarceramento SP""), ""YouTube (Frente Pelo Desencarceramento SP)"",
IF(REGEXMATCH(S18, ""TV ABA""), ""YouTube (TV ABA)"",
IF(REGEX"&amp;"MATCH(S18, ""TV SENADO""), ""YouTube (TV Senado)"",
IF(REGEXMATCH(S18, ""Google Arts &amp; Culture""), ""Google Arts &amp; Culture (Memória Massacre Carandiru)"",
IF(REGEXMATCH(S18, ""Anistia Internacional|ANISTIA INTERNACIONAL""), ""Anistia Internacional"",
IF(R"&amp;"EGEXMATCH(S18, ""47\.mostra|47a Mostra""), ""47a Mostra Internacional de Cinema em São Paulo"",
IF(REGEXMATCH(S18, ""Canal USP""), ""YouTube (Canal USP)"",
IF(AND(
  REGEXMATCH(S18, ""(?i)(teses?\.usp\.br|dissertacoes?\.usp\.br|repositorio\.usp\.br)""),
 "&amp;" NOT(REGEXMATCH(S18, ""Canal USP""))
), ""Biblioteca Digital de Teses e Dissertações da USP"",
IF(REGEXMATCH(S18, ""SINTRAJUSC""), ""SINTRAJUSC"",
IF(REGEXMATCH(S18, ""Agência Brasil|Agencia Brasil""), ""Agência Brasil"",
IF(REGEXMATCH(S18, ""Brasil de Fa"&amp;"to""), ""Brasil de Fato"",
IF(REGEXMATCH(S18, ""Ponte Jornalismo|pontejornalismo""), ""Ponte Jornalismo"",
IF(REGEXMATCH(S18, ""letras\.mus\.br|Letras,""), ""Letras"",
IF(REGEXMATCH(S18, ""YouTube|youtube""), 
   ""YouTube (""&amp;
   IF(REGEXMATCH(S18, ""It"&amp;"aú Cultural""), ""Itaú Cultural"",
   IF(REGEXMATCH(S18, ""Rede TVT""), ""Rede TVT"",
   IF(REGEXMATCH(S18, ""Frente pelo Desencarceramento SP""), ""Frente Pelo Desencarceramento SP"",
   IF(REGEXMATCH(S18, ""TV ABA""), ""TV ABA"",
   IF(REGEXMATCH(S18, "&amp;"""TV SENADO""), ""TV Senado"",
   IF(REGEXMATCH(S18, ""Canal USP""), ""Canal USP"",
   IF(REGEXMATCH(S18, ""Douer, Zack|Zack Douer""), ""Douer Zack"",
   IF(REGEXMATCH(S18, ""PRISIONEIRO 84\.901|PRISIONEIRO 84""), ""Prisioneiro 84.901"",
   IF(REGEXMATCH("&amp;"S18, ""^[^,]*, ""), 
        PROPER(REGEXREPLACE(REGEXEXTRACT(S18, ""^([^.]*)\.""), ""^([^,]*), (.*)"", ""$2 $1"")),
        PROPER(REGEXEXTRACT(S18, ""^([^.]*)\.""))
   )))))))))&amp;"")"",
IF(REGEXMATCH(S18, ""Spotify|spotify""), 
   ""Spotify (""&amp;
   IF(R"&amp;"EGEXMATCH(S18, ""ESTRANHO SORRISO""), ""Estranho Sorriso"",
   PROPER(REGEXEXTRACT(S18, ""^([^.]*)\.""))
   )&amp;"")"",
IF(REGEXMATCH(S18, ""Vimeo|vimeo""), 
   ""Vimeo (""&amp;
   IF(REGEXMATCH(S18, ""Passa Palavra""), ""Passa Palavra"",
   PROPER(REGEXEXTRACT"&amp;"(S18, ""^([^.]*)\.""))
   )&amp;"")"",
IF(REGEXMATCH(S18, ""Blogspot""), 
   ""Blogspot (""&amp;
   IF(REGEXMATCH(S18, ""rede2deoutubro""), ""Rede 02 de Outubro"",
   PROPER(REGEXEXTRACT(S18, ""^([^.]*)\.""))
   )&amp;"")"",
IF(REGEXMATCH(S18, ""Facebook""), 
   """&amp;"Facebook (""&amp;
   IF(REGEXMATCH(S18, ""Mídia Ninja""), ""Mídia Ninja"",
   PROPER(REGEXEXTRACT(S18, ""^([^.]*)\.""))
   )&amp;"")"",
IF(REGEXMATCH(S18, ""Instagram""), 
   ""Instagram (""&amp;
   IF(REGEXMATCH(S18, ""Memórias Carandiru""), ""Memórias Carandiru"","&amp;"
   PROPER(REGEXEXTRACT(S18, ""^([^.]*)\.""))
   )&amp;"")"",
IF(REGEXMATCH(S18, ""Folha de S\. Paulo|FOLHA DE S\. PAULO""), ""Folha de S. Paulo"",
IF(REGEXMATCH(S18, ""O Estado de S\. Paulo|ESTADAO""), ""O Estado de S. Paulo"",
IF(REGEXMATCH(S18, ""salasecr"&amp;"eta""), ""Wordpress (Sala Secreta)"",
IF(REGEXMATCH(S18, ""Wikipedia|Wikipédia|WIKIPÉDIA""), ""Wikipedia"",
IF(REGEXMATCH(S18, ""VEJA|Veja""), ""Veja Abril"",
IF(REGEXMATCH(S290, ""Rede Globo|REDE GLOBO""), ""Rede Globo"",
IF(REGEXMATCH(S290, ""G1|globo\."&amp;"com""), ""G1"",
IF(REGEXMATCH(S18, ""Deutsche Welle|DW\.com""), ""Deutsche Welle"",
IF(REGEXMATCH(S18, ""CIDH|Comissão Interamericana""), ""Comissão Interamericana de Direitos Humanos (CIDH)"",
IF(REGEXMATCH(S18, ""Pastoral Carcerária""), ""Pastoral Carce"&amp;"rária"",
IF(REGEXMATCH(S18, ""Esquerda Web""), ""Esquerda Web"",
IF(REGEXMATCH(S18, ""ONU|Organização das Nações Unidas""), ""ONU Brasil"",
IF(REGEXMATCH(S18, ""Quilombo Invisível""), ""Quilombo Invisível"",
IF(REGEXMATCH(S18, ""ALESP|Assembleia Legislati"&amp;"va""), ""ALESP"",
IF(REGEXMATCH(S18, ""Revista Opera""), ""Revista Opera"",
IF(REGEXMATCH(S18, ""SP Escola de Teatro""), ""SP Escola de Teatro"",
IF(REGEXMATCH(S18, ""EMC|Espaço Memória Carandiru""), ""EMC Espaço Memória Carandiru"",
IF(REGEXMATCH(S18, "&amp;"""^RAMOS, Nuno|Nuno Ramos""), ""Nuno Ramos"",
IF(REGEXMATCH(S18, ""^VELOSO, Caetano|Caetano Veloso""), ""YouTube (Caetano Veloso)"",
IF(REGEXMATCH(S18, ""^FATOS REAIS""), ""YouTube (Fatos Reais - Topic)"",
IF(REGEXMATCH(S18, ""^SALA SECRETA""), ""Wordpres"&amp;"s (Sala Secreta)"",
PROPER(REGEXEXTRACT(S18, ""^([^.]*)\.""))
))))))))))))))))))))))))))))))))))))))))))))))))))))))))"),"Biblioteca Digital de Teses e Dissertações da USP")</f>
        <v>Biblioteca Digital de Teses e Dissertações da USP</v>
      </c>
      <c r="N18" s="11" t="s">
        <v>47</v>
      </c>
      <c r="O18" s="14" t="s">
        <v>477</v>
      </c>
      <c r="P18" s="171">
        <v>45945.0</v>
      </c>
      <c r="Q18" s="11" t="s">
        <v>154</v>
      </c>
      <c r="R18" s="70" t="s">
        <v>478</v>
      </c>
      <c r="S18" s="172" t="s">
        <v>479</v>
      </c>
    </row>
    <row r="19">
      <c r="A19" s="11">
        <v>17.0</v>
      </c>
      <c r="B19" s="11" t="s">
        <v>230</v>
      </c>
      <c r="C19" s="122" t="s">
        <v>165</v>
      </c>
      <c r="D19" s="13" t="str">
        <f>IFERROR(__xludf.DUMMYFUNCTION("IF(B19="""","""",IF(OR(
  REGEXMATCH(B19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REGEXMATCH(B19,""público|Imediato|artística|teatral|memória"")
),""Público Imediato"",
IF(REGEXMATCH(B19,""Música|Álbum|Filme|Documentário|Série|Podcast|"&amp;"Rádio|Audiotour|Entrevista|Reportagem|Crônica|Relatório|Abaixo-assinado|Manifesto|Petição|Poema|Livro|Fotografia|Curta|Live|Webinário|Charge|Leitura pública|Vídeo""),
""Público Mediado"","""")))
"),"Público Mediado")</f>
        <v>Público Mediado</v>
      </c>
      <c r="E19" s="13" t="str">
        <f>IFERROR(__xludf.DUMMYFUNCTION("IF(B19="""","""",IF(OR(
  REGEXMATCH(B19,""Live|Webinário|Virtual""),
  REGEXMATCH(B19,""online"")
),""Virtual"",
IF(REGEXMATCH(B19,""Música|Álbum|Filme|Documentário|Série|Podcast|Rádio|Audiotour|Episódio|Reportagem|Curta|Charge|Livro|Vídeo|Entrevista""),"&amp;"
""Midiático"",
IF(REGEXMATCH(B19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9" s="171">
        <v>34387.0</v>
      </c>
      <c r="G19" s="15">
        <f t="shared" si="1"/>
        <v>1994</v>
      </c>
      <c r="H19" s="11" t="s">
        <v>23</v>
      </c>
      <c r="I19" s="16" t="s">
        <v>482</v>
      </c>
      <c r="J19" s="17" t="s">
        <v>483</v>
      </c>
      <c r="K19" s="16" t="s">
        <v>233</v>
      </c>
      <c r="L19" s="18" t="s">
        <v>325</v>
      </c>
      <c r="M19" s="15" t="str">
        <f>IFERROR(__xludf.DUMMYFUNCTION("IF(REGEXMATCH(S19, ""Companhia das Letras""), ""Companhia das Letras"",
IF(REGEXMATCH(S19, ""Labortexto Editorial""), ""Labortexto Editorial"",
IF(REGEXMATCH(S19, ""Geração Editorial""), ""Geração Editorial"",
IF(REGEXMATCH(S19, ""Editora Imprensa Oficial"&amp;"|Imprensa Oficial""), ""Editora Imprensa Oficial"",
IF(REGEXMATCH(S19, ""Folha Online""), ""Folha Online"",
IF(REGEXMATCH(S19, ""FGV DIREITO SP|FGV Direito SP""), ""FGV DIREITO SP"",
IF(REGEXMATCH(S19, ""massacrecarandiru\.org\.br""), ""Memória Massacre C"&amp;"arandiru"",
IF(REGEXMATCH(S19, ""Itaú Cultural""), ""YouTube (Itaú Cultural)"",
IF(REGEXMATCH(S19, ""Passa Palavra""), ""Vimeo (Passa Palavra)"",
IF(REGEXMATCH(S19, ""rede2deoutubro\.blogspot""), ""Blogspot (Rede 02 de Outubro)"",
IF(REGEXMATCH(S19, ""Red"&amp;"e TVT""), ""YouTube (Rede TVT)"",
IF(REGEXMATCH(S19, ""Esquerda Diário""), ""Esquerda Diário"",
IF(REGEXMATCH(S19, ""GZH""), ""GZH"",
IF(REGEXMATCH(S19, ""TVPUC""), ""TVPUC"",
IF(REGEXMATCH(S19, ""Mídia Ninja.*Facebook""), ""Facebook (Mídia Ninja)"",
IF(R"&amp;"EGEXMATCH(S19, ""Memórias Carandiru.*Instagram""), ""Instagram (Memórias Carandiru)"",
IF(REGEXMATCH(S19, ""Frente pelo Desencarceramento SP""), ""YouTube (Frente Pelo Desencarceramento SP)"",
IF(REGEXMATCH(S19, ""TV ABA""), ""YouTube (TV ABA)"",
IF(REGEX"&amp;"MATCH(S19, ""TV SENADO""), ""YouTube (TV Senado)"",
IF(REGEXMATCH(S19, ""Google Arts &amp; Culture""), ""Google Arts &amp; Culture (Memória Massacre Carandiru)"",
IF(REGEXMATCH(S19, ""Anistia Internacional|ANISTIA INTERNACIONAL""), ""Anistia Internacional"",
IF(R"&amp;"EGEXMATCH(S19, ""47\.mostra|47a Mostra""), ""47a Mostra Internacional de Cinema em São Paulo"",
IF(REGEXMATCH(S19, ""Canal USP""), ""YouTube (Canal USP)"",
IF(AND(
  REGEXMATCH(S19, ""(?i)(teses?\.usp\.br|dissertacoes?\.usp\.br|repositorio\.usp\.br)""),
 "&amp;" NOT(REGEXMATCH(S19, ""Canal USP""))
), ""Biblioteca Digital de Teses e Dissertações da USP"",
IF(REGEXMATCH(S19, ""SINTRAJUSC""), ""SINTRAJUSC"",
IF(REGEXMATCH(S19, ""Agência Brasil|Agencia Brasil""), ""Agência Brasil"",
IF(REGEXMATCH(S19, ""Brasil de Fa"&amp;"to""), ""Brasil de Fato"",
IF(REGEXMATCH(S19, ""Ponte Jornalismo|pontejornalismo""), ""Ponte Jornalismo"",
IF(REGEXMATCH(S19, ""letras\.mus\.br|Letras,""), ""Letras"",
IF(REGEXMATCH(S19, ""YouTube|youtube""), 
   ""YouTube (""&amp;
   IF(REGEXMATCH(S19, ""It"&amp;"aú Cultural""), ""Itaú Cultural"",
   IF(REGEXMATCH(S19, ""Rede TVT""), ""Rede TVT"",
   IF(REGEXMATCH(S19, ""Frente pelo Desencarceramento SP""), ""Frente Pelo Desencarceramento SP"",
   IF(REGEXMATCH(S19, ""TV ABA""), ""TV ABA"",
   IF(REGEXMATCH(S19, "&amp;"""TV SENADO""), ""TV Senado"",
   IF(REGEXMATCH(S19, ""Canal USP""), ""Canal USP"",
   IF(REGEXMATCH(S19, ""Douer, Zack|Zack Douer""), ""Douer Zack"",
   IF(REGEXMATCH(S19, ""PRISIONEIRO 84\.901|PRISIONEIRO 84""), ""Prisioneiro 84.901"",
   IF(REGEXMATCH("&amp;"S19, ""^[^,]*, ""), 
        PROPER(REGEXREPLACE(REGEXEXTRACT(S19, ""^([^.]*)\.""), ""^([^,]*), (.*)"", ""$2 $1"")),
        PROPER(REGEXEXTRACT(S19, ""^([^.]*)\.""))
   )))))))))&amp;"")"",
IF(REGEXMATCH(S19, ""Spotify|spotify""), 
   ""Spotify (""&amp;
   IF(R"&amp;"EGEXMATCH(S19, ""ESTRANHO SORRISO""), ""Estranho Sorriso"",
   PROPER(REGEXEXTRACT(S19, ""^([^.]*)\.""))
   )&amp;"")"",
IF(REGEXMATCH(S19, ""Vimeo|vimeo""), 
   ""Vimeo (""&amp;
   IF(REGEXMATCH(S19, ""Passa Palavra""), ""Passa Palavra"",
   PROPER(REGEXEXTRACT"&amp;"(S19, ""^([^.]*)\.""))
   )&amp;"")"",
IF(REGEXMATCH(S19, ""Blogspot""), 
   ""Blogspot (""&amp;
   IF(REGEXMATCH(S19, ""rede2deoutubro""), ""Rede 02 de Outubro"",
   PROPER(REGEXEXTRACT(S19, ""^([^.]*)\.""))
   )&amp;"")"",
IF(REGEXMATCH(S19, ""Facebook""), 
   """&amp;"Facebook (""&amp;
   IF(REGEXMATCH(S19, ""Mídia Ninja""), ""Mídia Ninja"",
   PROPER(REGEXEXTRACT(S19, ""^([^.]*)\.""))
   )&amp;"")"",
IF(REGEXMATCH(S19, ""Instagram""), 
   ""Instagram (""&amp;
   IF(REGEXMATCH(S19, ""Memórias Carandiru""), ""Memórias Carandiru"","&amp;"
   PROPER(REGEXEXTRACT(S19, ""^([^.]*)\.""))
   )&amp;"")"",
IF(REGEXMATCH(S19, ""Folha de S\. Paulo|FOLHA DE S\. PAULO""), ""Folha de S. Paulo"",
IF(REGEXMATCH(S19, ""O Estado de S\. Paulo|ESTADAO""), ""O Estado de S. Paulo"",
IF(REGEXMATCH(S19, ""salasecr"&amp;"eta""), ""Wordpress (Sala Secreta)"",
IF(REGEXMATCH(S19, ""Wikipedia|Wikipédia|WIKIPÉDIA""), ""Wikipedia"",
IF(REGEXMATCH(S19, ""VEJA|Veja""), ""Veja Abril"",
IF(REGEXMATCH(S291, ""Rede Globo|REDE GLOBO""), ""Rede Globo"",
IF(REGEXMATCH(S291, ""G1|globo\."&amp;"com""), ""G1"",
IF(REGEXMATCH(S19, ""Deutsche Welle|DW\.com""), ""Deutsche Welle"",
IF(REGEXMATCH(S19, ""CIDH|Comissão Interamericana""), ""Comissão Interamericana de Direitos Humanos (CIDH)"",
IF(REGEXMATCH(S19, ""Pastoral Carcerária""), ""Pastoral Carce"&amp;"rária"",
IF(REGEXMATCH(S19, ""Esquerda Web""), ""Esquerda Web"",
IF(REGEXMATCH(S19, ""ONU|Organização das Nações Unidas""), ""ONU Brasil"",
IF(REGEXMATCH(S19, ""Quilombo Invisível""), ""Quilombo Invisível"",
IF(REGEXMATCH(S19, ""ALESP|Assembleia Legislati"&amp;"va""), ""ALESP"",
IF(REGEXMATCH(S19, ""Revista Opera""), ""Revista Opera"",
IF(REGEXMATCH(S19, ""SP Escola de Teatro""), ""SP Escola de Teatro"",
IF(REGEXMATCH(S19, ""EMC|Espaço Memória Carandiru""), ""EMC Espaço Memória Carandiru"",
IF(REGEXMATCH(S19, "&amp;"""^RAMOS, Nuno|Nuno Ramos""), ""Nuno Ramos"",
IF(REGEXMATCH(S19, ""^VELOSO, Caetano|Caetano Veloso""), ""YouTube (Caetano Veloso)"",
IF(REGEXMATCH(S19, ""^FATOS REAIS""), ""YouTube (Fatos Reais - Topic)"",
IF(REGEXMATCH(S19, ""^SALA SECRETA""), ""Wordpres"&amp;"s (Sala Secreta)"",
PROPER(REGEXEXTRACT(S19, ""^([^.]*)\.""))
))))))))))))))))))))))))))))))))))))))))))))))))))))))))"),"Comissão Interamericana de Direitos Humanos (CIDH)")</f>
        <v>Comissão Interamericana de Direitos Humanos (CIDH)</v>
      </c>
      <c r="N19" s="11" t="s">
        <v>47</v>
      </c>
      <c r="O19" s="11" t="s">
        <v>149</v>
      </c>
      <c r="P19" s="51">
        <v>45856.0</v>
      </c>
      <c r="Q19" s="11" t="s">
        <v>154</v>
      </c>
      <c r="R19" s="70" t="str">
        <f t="shared" ref="R19:R22" si="3">HYPERLINK(LEFT(MID(S19,FIND("http",S19),LEN(S19)),FIND(". Acesso em",S19)-FIND("http",S19)),"Aqui")</f>
        <v>Aqui</v>
      </c>
      <c r="S19" s="75" t="s">
        <v>484</v>
      </c>
    </row>
    <row r="20">
      <c r="A20" s="11">
        <v>18.0</v>
      </c>
      <c r="B20" s="11" t="s">
        <v>485</v>
      </c>
      <c r="C20" s="12" t="str">
        <f>IFERROR(__xludf.DUMMYFUNCTION("IF(B20="""","""",IF(OR(
  REGEXMATCH(B20,""Performance|Instalação|Álbum|Música|Poema|Livro|Filme|Documentário|Recitação|Espetáculo|Peça|Intervenção|Desfile|Fotografia|Exposição|Charge|Grafite|Leitura pública|Fabricação de cachaça artesanal""),
  REGEXMATC"&amp;"H(B20,""dança|teatral|artístico|musical|artística"")
),""Manifestação artístico-cultural"",
IF(OR(
  REGEXMATCH(B20,""Crônica|Série|Reportagem|Podcast|Audiotour|Entrevista|Vídeo|Rádio""),
  REGEXMATCH(B20,""midiática"")
),""Produção midiática"","""")))
"),"Manifestação artístico-cultural")</f>
        <v>Manifestação artístico-cultural</v>
      </c>
      <c r="D20" s="13" t="str">
        <f>IFERROR(__xludf.DUMMYFUNCTION("IF(B20="""","""",IF(OR(
  REGEXMATCH(B20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REGEXMATCH(B20,""público|Imediato|artística|teatral|memória"")
),""Público Imediato"",
IF(REGEXMATCH(B20,""Música|Álbum|Filme|Documentário|Série|Podcast|"&amp;"Rádio|Audiotour|Entrevista|Reportagem|Crônica|Relatório|Abaixo-assinado|Manifesto|Petição|Poema|Livro|Fotografia|Curta|Live|Webinário|Charge|Leitura pública|Vídeo""),
""Público Mediado"","""")))
"),"Público Imediato")</f>
        <v>Público Imediato</v>
      </c>
      <c r="E20" s="13" t="str">
        <f>IFERROR(__xludf.DUMMYFUNCTION("IF(B20="""","""",IF(OR(
  REGEXMATCH(B20,""Live|Webinário|Virtual""),
  REGEXMATCH(B20,""online"")
),""Virtual"",
IF(REGEXMATCH(B20,""Música|Álbum|Filme|Documentário|Série|Podcast|Rádio|Audiotour|Episódio|Reportagem|Curta|Charge|Livro|Vídeo|Entrevista""),"&amp;"
""Midiático"",
IF(REGEXMATCH(B20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0" s="171">
        <v>34609.0</v>
      </c>
      <c r="G20" s="15">
        <f t="shared" si="1"/>
        <v>1994</v>
      </c>
      <c r="H20" s="11" t="s">
        <v>486</v>
      </c>
      <c r="I20" s="16" t="s">
        <v>487</v>
      </c>
      <c r="J20" s="189" t="s">
        <v>488</v>
      </c>
      <c r="K20" s="16" t="s">
        <v>26</v>
      </c>
      <c r="L20" s="18" t="s">
        <v>489</v>
      </c>
      <c r="M20" s="15" t="str">
        <f>IFERROR(__xludf.DUMMYFUNCTION("IF(REGEXMATCH(S20, ""Companhia das Letras""), ""Companhia das Letras"",
IF(REGEXMATCH(S20, ""Labortexto Editorial""), ""Labortexto Editorial"",
IF(REGEXMATCH(S20, ""Geração Editorial""), ""Geração Editorial"",
IF(REGEXMATCH(S20, ""Editora Imprensa Oficial"&amp;"|Imprensa Oficial""), ""Editora Imprensa Oficial"",
IF(REGEXMATCH(S20, ""Folha Online""), ""Folha Online"",
IF(REGEXMATCH(S20, ""FGV DIREITO SP|FGV Direito SP""), ""FGV DIREITO SP"",
IF(REGEXMATCH(S20, ""massacrecarandiru\.org\.br""), ""Memória Massacre C"&amp;"arandiru"",
IF(REGEXMATCH(S20, ""Itaú Cultural""), ""YouTube (Itaú Cultural)"",
IF(REGEXMATCH(S20, ""Passa Palavra""), ""Vimeo (Passa Palavra)"",
IF(REGEXMATCH(S20, ""rede2deoutubro\.blogspot""), ""Blogspot (Rede 02 de Outubro)"",
IF(REGEXMATCH(S20, ""Red"&amp;"e TVT""), ""YouTube (Rede TVT)"",
IF(REGEXMATCH(S20, ""Esquerda Diário""), ""Esquerda Diário"",
IF(REGEXMATCH(S20, ""GZH""), ""GZH"",
IF(REGEXMATCH(S20, ""TVPUC""), ""TVPUC"",
IF(REGEXMATCH(S20, ""Mídia Ninja.*Facebook""), ""Facebook (Mídia Ninja)"",
IF(R"&amp;"EGEXMATCH(S20, ""Memórias Carandiru.*Instagram""), ""Instagram (Memórias Carandiru)"",
IF(REGEXMATCH(S20, ""Frente pelo Desencarceramento SP""), ""YouTube (Frente Pelo Desencarceramento SP)"",
IF(REGEXMATCH(S20, ""TV ABA""), ""YouTube (TV ABA)"",
IF(REGEX"&amp;"MATCH(S20, ""TV SENADO""), ""YouTube (TV Senado)"",
IF(REGEXMATCH(S20, ""Google Arts &amp; Culture""), ""Google Arts &amp; Culture (Memória Massacre Carandiru)"",
IF(REGEXMATCH(S20, ""Anistia Internacional|ANISTIA INTERNACIONAL""), ""Anistia Internacional"",
IF(R"&amp;"EGEXMATCH(S20, ""47\.mostra|47a Mostra""), ""47a Mostra Internacional de Cinema em São Paulo"",
IF(REGEXMATCH(S20, ""Canal USP""), ""YouTube (Canal USP)"",
IF(AND(
  REGEXMATCH(S20, ""(?i)(teses?\.usp\.br|dissertacoes?\.usp\.br|repositorio\.usp\.br)""),
 "&amp;" NOT(REGEXMATCH(S20, ""Canal USP""))
), ""Biblioteca Digital de Teses e Dissertações da USP"",
IF(REGEXMATCH(S20, ""SINTRAJUSC""), ""SINTRAJUSC"",
IF(REGEXMATCH(S20, ""Agência Brasil|Agencia Brasil""), ""Agência Brasil"",
IF(REGEXMATCH(S20, ""Brasil de Fa"&amp;"to""), ""Brasil de Fato"",
IF(REGEXMATCH(S20, ""Ponte Jornalismo|pontejornalismo""), ""Ponte Jornalismo"",
IF(REGEXMATCH(S20, ""letras\.mus\.br|Letras,""), ""Letras"",
IF(REGEXMATCH(S20, ""YouTube|youtube""), 
   ""YouTube (""&amp;
   IF(REGEXMATCH(S20, ""It"&amp;"aú Cultural""), ""Itaú Cultural"",
   IF(REGEXMATCH(S20, ""Rede TVT""), ""Rede TVT"",
   IF(REGEXMATCH(S20, ""Frente pelo Desencarceramento SP""), ""Frente Pelo Desencarceramento SP"",
   IF(REGEXMATCH(S20, ""TV ABA""), ""TV ABA"",
   IF(REGEXMATCH(S20, "&amp;"""TV SENADO""), ""TV Senado"",
   IF(REGEXMATCH(S20, ""Canal USP""), ""Canal USP"",
   IF(REGEXMATCH(S20, ""Douer, Zack|Zack Douer""), ""Douer Zack"",
   IF(REGEXMATCH(S20, ""PRISIONEIRO 84\.901|PRISIONEIRO 84""), ""Prisioneiro 84.901"",
   IF(REGEXMATCH("&amp;"S20, ""^[^,]*, ""), 
        PROPER(REGEXREPLACE(REGEXEXTRACT(S20, ""^([^.]*)\.""), ""^([^,]*), (.*)"", ""$2 $1"")),
        PROPER(REGEXEXTRACT(S20, ""^([^.]*)\.""))
   )))))))))&amp;"")"",
IF(REGEXMATCH(S20, ""Spotify|spotify""), 
   ""Spotify (""&amp;
   IF(R"&amp;"EGEXMATCH(S20, ""ESTRANHO SORRISO""), ""Estranho Sorriso"",
   PROPER(REGEXEXTRACT(S20, ""^([^.]*)\.""))
   )&amp;"")"",
IF(REGEXMATCH(S20, ""Vimeo|vimeo""), 
   ""Vimeo (""&amp;
   IF(REGEXMATCH(S20, ""Passa Palavra""), ""Passa Palavra"",
   PROPER(REGEXEXTRACT"&amp;"(S20, ""^([^.]*)\.""))
   )&amp;"")"",
IF(REGEXMATCH(S20, ""Blogspot""), 
   ""Blogspot (""&amp;
   IF(REGEXMATCH(S20, ""rede2deoutubro""), ""Rede 02 de Outubro"",
   PROPER(REGEXEXTRACT(S20, ""^([^.]*)\.""))
   )&amp;"")"",
IF(REGEXMATCH(S20, ""Facebook""), 
   """&amp;"Facebook (""&amp;
   IF(REGEXMATCH(S20, ""Mídia Ninja""), ""Mídia Ninja"",
   PROPER(REGEXEXTRACT(S20, ""^([^.]*)\.""))
   )&amp;"")"",
IF(REGEXMATCH(S20, ""Instagram""), 
   ""Instagram (""&amp;
   IF(REGEXMATCH(S20, ""Memórias Carandiru""), ""Memórias Carandiru"","&amp;"
   PROPER(REGEXEXTRACT(S20, ""^([^.]*)\.""))
   )&amp;"")"",
IF(REGEXMATCH(S20, ""Folha de S\. Paulo|FOLHA DE S\. PAULO""), ""Folha de S. Paulo"",
IF(REGEXMATCH(S20, ""O Estado de S\. Paulo|ESTADAO""), ""O Estado de S. Paulo"",
IF(REGEXMATCH(S20, ""salasecr"&amp;"eta""), ""Wordpress (Sala Secreta)"",
IF(REGEXMATCH(S20, ""Wikipedia|Wikipédia|WIKIPÉDIA""), ""Wikipedia"",
IF(REGEXMATCH(S20, ""VEJA|Veja""), ""Veja Abril"",
IF(REGEXMATCH(S292, ""Rede Globo|REDE GLOBO""), ""Rede Globo"",
IF(REGEXMATCH(S292, ""G1|globo\."&amp;"com""), ""G1"",
IF(REGEXMATCH(S20, ""Deutsche Welle|DW\.com""), ""Deutsche Welle"",
IF(REGEXMATCH(S20, ""CIDH|Comissão Interamericana""), ""Comissão Interamericana de Direitos Humanos (CIDH)"",
IF(REGEXMATCH(S20, ""Pastoral Carcerária""), ""Pastoral Carce"&amp;"rária"",
IF(REGEXMATCH(S20, ""Esquerda Web""), ""Esquerda Web"",
IF(REGEXMATCH(S20, ""ONU|Organização das Nações Unidas""), ""ONU Brasil"",
IF(REGEXMATCH(S20, ""Quilombo Invisível""), ""Quilombo Invisível"",
IF(REGEXMATCH(S20, ""ALESP|Assembleia Legislati"&amp;"va""), ""ALESP"",
IF(REGEXMATCH(S20, ""Revista Opera""), ""Revista Opera"",
IF(REGEXMATCH(S20, ""SP Escola de Teatro""), ""SP Escola de Teatro"",
IF(REGEXMATCH(S20, ""EMC|Espaço Memória Carandiru""), ""EMC Espaço Memória Carandiru"",
IF(REGEXMATCH(S20, "&amp;"""^RAMOS, Nuno|Nuno Ramos""), ""Nuno Ramos"",
IF(REGEXMATCH(S20, ""^VELOSO, Caetano|Caetano Veloso""), ""YouTube (Caetano Veloso)"",
IF(REGEXMATCH(S20, ""^FATOS REAIS""), ""YouTube (Fatos Reais - Topic)"",
IF(REGEXMATCH(S20, ""^SALA SECRETA""), ""Wordpres"&amp;"s (Sala Secreta)"",
PROPER(REGEXEXTRACT(S20, ""^([^.]*)\.""))
))))))))))))))))))))))))))))))))))))))))))))))))))))))))"),"Folha de S. Paulo")</f>
        <v>Folha de S. Paulo</v>
      </c>
      <c r="N20" s="11" t="s">
        <v>47</v>
      </c>
      <c r="O20" s="11" t="s">
        <v>490</v>
      </c>
      <c r="P20" s="51">
        <v>45854.0</v>
      </c>
      <c r="Q20" s="11" t="s">
        <v>154</v>
      </c>
      <c r="R20" s="70" t="str">
        <f t="shared" si="3"/>
        <v>Aqui</v>
      </c>
      <c r="S20" s="75" t="s">
        <v>491</v>
      </c>
    </row>
    <row r="21">
      <c r="A21" s="11">
        <v>19.0</v>
      </c>
      <c r="B21" s="11" t="s">
        <v>492</v>
      </c>
      <c r="C21" s="122" t="s">
        <v>165</v>
      </c>
      <c r="D21" s="13" t="str">
        <f>IFERROR(__xludf.DUMMYFUNCTION("IF(B21="""","""",IF(OR(
  REGEXMATCH(B21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REGEXMATCH(B21,""público|Imediato|artística|teatral|memória"")
),""Público Imediato"",
IF(REGEXMATCH(B21,""Música|Álbum|Filme|Documentário|Série|Podcast|"&amp;"Rádio|Audiotour|Entrevista|Reportagem|Crônica|Relatório|Abaixo-assinado|Manifesto|Petição|Poema|Livro|Fotografia|Curta|Live|Webinário|Charge|Leitura pública|Vídeo""),
""Público Mediado"","""")))
"),"Público Imediato")</f>
        <v>Público Imediato</v>
      </c>
      <c r="E21" s="13" t="str">
        <f>IFERROR(__xludf.DUMMYFUNCTION("IF(B21="""","""",IF(OR(
  REGEXMATCH(B21,""Live|Webinário|Virtual""),
  REGEXMATCH(B21,""online"")
),""Virtual"",
IF(REGEXMATCH(B21,""Música|Álbum|Filme|Documentário|Série|Podcast|Rádio|Audiotour|Episódio|Reportagem|Curta|Charge|Livro|Vídeo|Entrevista""),"&amp;"
""Midiático"",
IF(REGEXMATCH(B21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1" s="171">
        <v>34609.0</v>
      </c>
      <c r="G21" s="15">
        <f t="shared" si="1"/>
        <v>1994</v>
      </c>
      <c r="H21" s="11" t="s">
        <v>493</v>
      </c>
      <c r="I21" s="16" t="s">
        <v>494</v>
      </c>
      <c r="J21" s="189" t="s">
        <v>488</v>
      </c>
      <c r="K21" s="16" t="s">
        <v>26</v>
      </c>
      <c r="L21" s="190" t="s">
        <v>489</v>
      </c>
      <c r="M21" s="15" t="str">
        <f>IFERROR(__xludf.DUMMYFUNCTION("IF(REGEXMATCH(S21, ""Companhia das Letras""), ""Companhia das Letras"",
IF(REGEXMATCH(S21, ""Labortexto Editorial""), ""Labortexto Editorial"",
IF(REGEXMATCH(S21, ""Geração Editorial""), ""Geração Editorial"",
IF(REGEXMATCH(S21, ""Editora Imprensa Oficial"&amp;"|Imprensa Oficial""), ""Editora Imprensa Oficial"",
IF(REGEXMATCH(S21, ""Folha Online""), ""Folha Online"",
IF(REGEXMATCH(S21, ""FGV DIREITO SP|FGV Direito SP""), ""FGV DIREITO SP"",
IF(REGEXMATCH(S21, ""massacrecarandiru\.org\.br""), ""Memória Massacre C"&amp;"arandiru"",
IF(REGEXMATCH(S21, ""Itaú Cultural""), ""YouTube (Itaú Cultural)"",
IF(REGEXMATCH(S21, ""Passa Palavra""), ""Vimeo (Passa Palavra)"",
IF(REGEXMATCH(S21, ""rede2deoutubro\.blogspot""), ""Blogspot (Rede 02 de Outubro)"",
IF(REGEXMATCH(S21, ""Red"&amp;"e TVT""), ""YouTube (Rede TVT)"",
IF(REGEXMATCH(S21, ""Esquerda Diário""), ""Esquerda Diário"",
IF(REGEXMATCH(S21, ""GZH""), ""GZH"",
IF(REGEXMATCH(S21, ""TVPUC""), ""TVPUC"",
IF(REGEXMATCH(S21, ""Mídia Ninja.*Facebook""), ""Facebook (Mídia Ninja)"",
IF(R"&amp;"EGEXMATCH(S21, ""Memórias Carandiru.*Instagram""), ""Instagram (Memórias Carandiru)"",
IF(REGEXMATCH(S21, ""Frente pelo Desencarceramento SP""), ""YouTube (Frente Pelo Desencarceramento SP)"",
IF(REGEXMATCH(S21, ""TV ABA""), ""YouTube (TV ABA)"",
IF(REGEX"&amp;"MATCH(S21, ""TV SENADO""), ""YouTube (TV Senado)"",
IF(REGEXMATCH(S21, ""Google Arts &amp; Culture""), ""Google Arts &amp; Culture (Memória Massacre Carandiru)"",
IF(REGEXMATCH(S21, ""Anistia Internacional|ANISTIA INTERNACIONAL""), ""Anistia Internacional"",
IF(R"&amp;"EGEXMATCH(S21, ""47\.mostra|47a Mostra""), ""47a Mostra Internacional de Cinema em São Paulo"",
IF(REGEXMATCH(S21, ""Canal USP""), ""YouTube (Canal USP)"",
IF(AND(
  REGEXMATCH(S21, ""(?i)(teses?\.usp\.br|dissertacoes?\.usp\.br|repositorio\.usp\.br)""),
 "&amp;" NOT(REGEXMATCH(S21, ""Canal USP""))
), ""Biblioteca Digital de Teses e Dissertações da USP"",
IF(REGEXMATCH(S21, ""SINTRAJUSC""), ""SINTRAJUSC"",
IF(REGEXMATCH(S21, ""Agência Brasil|Agencia Brasil""), ""Agência Brasil"",
IF(REGEXMATCH(S21, ""Brasil de Fa"&amp;"to""), ""Brasil de Fato"",
IF(REGEXMATCH(S21, ""Ponte Jornalismo|pontejornalismo""), ""Ponte Jornalismo"",
IF(REGEXMATCH(S21, ""letras\.mus\.br|Letras,""), ""Letras"",
IF(REGEXMATCH(S21, ""YouTube|youtube""), 
   ""YouTube (""&amp;
   IF(REGEXMATCH(S21, ""It"&amp;"aú Cultural""), ""Itaú Cultural"",
   IF(REGEXMATCH(S21, ""Rede TVT""), ""Rede TVT"",
   IF(REGEXMATCH(S21, ""Frente pelo Desencarceramento SP""), ""Frente Pelo Desencarceramento SP"",
   IF(REGEXMATCH(S21, ""TV ABA""), ""TV ABA"",
   IF(REGEXMATCH(S21, "&amp;"""TV SENADO""), ""TV Senado"",
   IF(REGEXMATCH(S21, ""Canal USP""), ""Canal USP"",
   IF(REGEXMATCH(S21, ""Douer, Zack|Zack Douer""), ""Douer Zack"",
   IF(REGEXMATCH(S21, ""PRISIONEIRO 84\.901|PRISIONEIRO 84""), ""Prisioneiro 84.901"",
   IF(REGEXMATCH("&amp;"S21, ""^[^,]*, ""), 
        PROPER(REGEXREPLACE(REGEXEXTRACT(S21, ""^([^.]*)\.""), ""^([^,]*), (.*)"", ""$2 $1"")),
        PROPER(REGEXEXTRACT(S21, ""^([^.]*)\.""))
   )))))))))&amp;"")"",
IF(REGEXMATCH(S21, ""Spotify|spotify""), 
   ""Spotify (""&amp;
   IF(R"&amp;"EGEXMATCH(S21, ""ESTRANHO SORRISO""), ""Estranho Sorriso"",
   PROPER(REGEXEXTRACT(S21, ""^([^.]*)\.""))
   )&amp;"")"",
IF(REGEXMATCH(S21, ""Vimeo|vimeo""), 
   ""Vimeo (""&amp;
   IF(REGEXMATCH(S21, ""Passa Palavra""), ""Passa Palavra"",
   PROPER(REGEXEXTRACT"&amp;"(S21, ""^([^.]*)\.""))
   )&amp;"")"",
IF(REGEXMATCH(S21, ""Blogspot""), 
   ""Blogspot (""&amp;
   IF(REGEXMATCH(S21, ""rede2deoutubro""), ""Rede 02 de Outubro"",
   PROPER(REGEXEXTRACT(S21, ""^([^.]*)\.""))
   )&amp;"")"",
IF(REGEXMATCH(S21, ""Facebook""), 
   """&amp;"Facebook (""&amp;
   IF(REGEXMATCH(S21, ""Mídia Ninja""), ""Mídia Ninja"",
   PROPER(REGEXEXTRACT(S21, ""^([^.]*)\.""))
   )&amp;"")"",
IF(REGEXMATCH(S21, ""Instagram""), 
   ""Instagram (""&amp;
   IF(REGEXMATCH(S21, ""Memórias Carandiru""), ""Memórias Carandiru"","&amp;"
   PROPER(REGEXEXTRACT(S21, ""^([^.]*)\.""))
   )&amp;"")"",
IF(REGEXMATCH(S21, ""Folha de S\. Paulo|FOLHA DE S\. PAULO""), ""Folha de S. Paulo"",
IF(REGEXMATCH(S21, ""O Estado de S\. Paulo|ESTADAO""), ""O Estado de S. Paulo"",
IF(REGEXMATCH(S21, ""salasecr"&amp;"eta""), ""Wordpress (Sala Secreta)"",
IF(REGEXMATCH(S21, ""Wikipedia|Wikipédia|WIKIPÉDIA""), ""Wikipedia"",
IF(REGEXMATCH(S21, ""VEJA|Veja""), ""Veja Abril"",
IF(REGEXMATCH(S293, ""Rede Globo|REDE GLOBO""), ""Rede Globo"",
IF(REGEXMATCH(S293, ""G1|globo\."&amp;"com""), ""G1"",
IF(REGEXMATCH(S21, ""Deutsche Welle|DW\.com""), ""Deutsche Welle"",
IF(REGEXMATCH(S21, ""CIDH|Comissão Interamericana""), ""Comissão Interamericana de Direitos Humanos (CIDH)"",
IF(REGEXMATCH(S21, ""Pastoral Carcerária""), ""Pastoral Carce"&amp;"rária"",
IF(REGEXMATCH(S21, ""Esquerda Web""), ""Esquerda Web"",
IF(REGEXMATCH(S21, ""ONU|Organização das Nações Unidas""), ""ONU Brasil"",
IF(REGEXMATCH(S21, ""Quilombo Invisível""), ""Quilombo Invisível"",
IF(REGEXMATCH(S21, ""ALESP|Assembleia Legislati"&amp;"va""), ""ALESP"",
IF(REGEXMATCH(S21, ""Revista Opera""), ""Revista Opera"",
IF(REGEXMATCH(S21, ""SP Escola de Teatro""), ""SP Escola de Teatro"",
IF(REGEXMATCH(S21, ""EMC|Espaço Memória Carandiru""), ""EMC Espaço Memória Carandiru"",
IF(REGEXMATCH(S21, "&amp;"""^RAMOS, Nuno|Nuno Ramos""), ""Nuno Ramos"",
IF(REGEXMATCH(S21, ""^VELOSO, Caetano|Caetano Veloso""), ""YouTube (Caetano Veloso)"",
IF(REGEXMATCH(S21, ""^FATOS REAIS""), ""YouTube (Fatos Reais - Topic)"",
IF(REGEXMATCH(S21, ""^SALA SECRETA""), ""Wordpres"&amp;"s (Sala Secreta)"",
PROPER(REGEXEXTRACT(S21, ""^([^.]*)\.""))
))))))))))))))))))))))))))))))))))))))))))))))))))))))))"),"Folha de S. Paulo")</f>
        <v>Folha de S. Paulo</v>
      </c>
      <c r="N21" s="11" t="s">
        <v>47</v>
      </c>
      <c r="O21" s="11" t="s">
        <v>490</v>
      </c>
      <c r="P21" s="51">
        <v>45854.0</v>
      </c>
      <c r="Q21" s="11" t="s">
        <v>154</v>
      </c>
      <c r="R21" s="70" t="str">
        <f t="shared" si="3"/>
        <v>Aqui</v>
      </c>
      <c r="S21" s="75" t="s">
        <v>495</v>
      </c>
    </row>
    <row r="22">
      <c r="A22" s="11">
        <v>20.0</v>
      </c>
      <c r="B22" s="11" t="s">
        <v>496</v>
      </c>
      <c r="C22" s="122" t="s">
        <v>165</v>
      </c>
      <c r="D22" s="13" t="str">
        <f>IFERROR(__xludf.DUMMYFUNCTION("IF(B22="""","""",IF(OR(
  REGEXMATCH(B22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REGEXMATCH(B22,""público|Imediato|artística|teatral|memória"")
),""Público Imediato"",
IF(REGEXMATCH(B22,""Música|Álbum|Filme|Documentário|Série|Podcast|"&amp;"Rádio|Audiotour|Entrevista|Reportagem|Crônica|Relatório|Abaixo-assinado|Manifesto|Petição|Poema|Livro|Fotografia|Curta|Live|Webinário|Charge|Leitura pública|Vídeo""),
""Público Mediado"","""")))
"),"Público Imediato")</f>
        <v>Público Imediato</v>
      </c>
      <c r="E22" s="13" t="str">
        <f>IFERROR(__xludf.DUMMYFUNCTION("IF(B22="""","""",IF(OR(
  REGEXMATCH(B22,""Live|Webinário|Virtual""),
  REGEXMATCH(B22,""online"")
),""Virtual"",
IF(REGEXMATCH(B22,""Música|Álbum|Filme|Documentário|Série|Podcast|Rádio|Audiotour|Episódio|Reportagem|Curta|Charge|Livro|Vídeo|Entrevista""),"&amp;"
""Midiático"",
IF(REGEXMATCH(B22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2" s="183">
        <v>34612.0</v>
      </c>
      <c r="G22" s="15">
        <f t="shared" si="1"/>
        <v>1994</v>
      </c>
      <c r="H22" s="11" t="s">
        <v>497</v>
      </c>
      <c r="I22" s="191" t="s">
        <v>498</v>
      </c>
      <c r="J22" s="189" t="s">
        <v>488</v>
      </c>
      <c r="K22" s="16" t="s">
        <v>26</v>
      </c>
      <c r="L22" s="18" t="s">
        <v>489</v>
      </c>
      <c r="M22" s="15" t="str">
        <f>IFERROR(__xludf.DUMMYFUNCTION("IF(REGEXMATCH(S22, ""Companhia das Letras""), ""Companhia das Letras"",
IF(REGEXMATCH(S22, ""Labortexto Editorial""), ""Labortexto Editorial"",
IF(REGEXMATCH(S22, ""Geração Editorial""), ""Geração Editorial"",
IF(REGEXMATCH(S22, ""Editora Imprensa Oficial"&amp;"|Imprensa Oficial""), ""Editora Imprensa Oficial"",
IF(REGEXMATCH(S22, ""Folha Online""), ""Folha Online"",
IF(REGEXMATCH(S22, ""FGV DIREITO SP|FGV Direito SP""), ""FGV DIREITO SP"",
IF(REGEXMATCH(S22, ""massacrecarandiru\.org\.br""), ""Memória Massacre C"&amp;"arandiru"",
IF(REGEXMATCH(S22, ""Itaú Cultural""), ""YouTube (Itaú Cultural)"",
IF(REGEXMATCH(S22, ""Passa Palavra""), ""Vimeo (Passa Palavra)"",
IF(REGEXMATCH(S22, ""rede2deoutubro\.blogspot""), ""Blogspot (Rede 02 de Outubro)"",
IF(REGEXMATCH(S22, ""Red"&amp;"e TVT""), ""YouTube (Rede TVT)"",
IF(REGEXMATCH(S22, ""Esquerda Diário""), ""Esquerda Diário"",
IF(REGEXMATCH(S22, ""GZH""), ""GZH"",
IF(REGEXMATCH(S22, ""TVPUC""), ""TVPUC"",
IF(REGEXMATCH(S22, ""Mídia Ninja.*Facebook""), ""Facebook (Mídia Ninja)"",
IF(R"&amp;"EGEXMATCH(S22, ""Memórias Carandiru.*Instagram""), ""Instagram (Memórias Carandiru)"",
IF(REGEXMATCH(S22, ""Frente pelo Desencarceramento SP""), ""YouTube (Frente Pelo Desencarceramento SP)"",
IF(REGEXMATCH(S22, ""TV ABA""), ""YouTube (TV ABA)"",
IF(REGEX"&amp;"MATCH(S22, ""TV SENADO""), ""YouTube (TV Senado)"",
IF(REGEXMATCH(S22, ""Google Arts &amp; Culture""), ""Google Arts &amp; Culture (Memória Massacre Carandiru)"",
IF(REGEXMATCH(S22, ""Anistia Internacional|ANISTIA INTERNACIONAL""), ""Anistia Internacional"",
IF(R"&amp;"EGEXMATCH(S22, ""47\.mostra|47a Mostra""), ""47a Mostra Internacional de Cinema em São Paulo"",
IF(REGEXMATCH(S22, ""Canal USP""), ""YouTube (Canal USP)"",
IF(AND(
  REGEXMATCH(S22, ""(?i)(teses?\.usp\.br|dissertacoes?\.usp\.br|repositorio\.usp\.br)""),
 "&amp;" NOT(REGEXMATCH(S22, ""Canal USP""))
), ""Biblioteca Digital de Teses e Dissertações da USP"",
IF(REGEXMATCH(S22, ""SINTRAJUSC""), ""SINTRAJUSC"",
IF(REGEXMATCH(S22, ""Agência Brasil|Agencia Brasil""), ""Agência Brasil"",
IF(REGEXMATCH(S22, ""Brasil de Fa"&amp;"to""), ""Brasil de Fato"",
IF(REGEXMATCH(S22, ""Ponte Jornalismo|pontejornalismo""), ""Ponte Jornalismo"",
IF(REGEXMATCH(S22, ""letras\.mus\.br|Letras,""), ""Letras"",
IF(REGEXMATCH(S22, ""YouTube|youtube""), 
   ""YouTube (""&amp;
   IF(REGEXMATCH(S22, ""It"&amp;"aú Cultural""), ""Itaú Cultural"",
   IF(REGEXMATCH(S22, ""Rede TVT""), ""Rede TVT"",
   IF(REGEXMATCH(S22, ""Frente pelo Desencarceramento SP""), ""Frente Pelo Desencarceramento SP"",
   IF(REGEXMATCH(S22, ""TV ABA""), ""TV ABA"",
   IF(REGEXMATCH(S22, "&amp;"""TV SENADO""), ""TV Senado"",
   IF(REGEXMATCH(S22, ""Canal USP""), ""Canal USP"",
   IF(REGEXMATCH(S22, ""Douer, Zack|Zack Douer""), ""Douer Zack"",
   IF(REGEXMATCH(S22, ""PRISIONEIRO 84\.901|PRISIONEIRO 84""), ""Prisioneiro 84.901"",
   IF(REGEXMATCH("&amp;"S22, ""^[^,]*, ""), 
        PROPER(REGEXREPLACE(REGEXEXTRACT(S22, ""^([^.]*)\.""), ""^([^,]*), (.*)"", ""$2 $1"")),
        PROPER(REGEXEXTRACT(S22, ""^([^.]*)\.""))
   )))))))))&amp;"")"",
IF(REGEXMATCH(S22, ""Spotify|spotify""), 
   ""Spotify (""&amp;
   IF(R"&amp;"EGEXMATCH(S22, ""ESTRANHO SORRISO""), ""Estranho Sorriso"",
   PROPER(REGEXEXTRACT(S22, ""^([^.]*)\.""))
   )&amp;"")"",
IF(REGEXMATCH(S22, ""Vimeo|vimeo""), 
   ""Vimeo (""&amp;
   IF(REGEXMATCH(S22, ""Passa Palavra""), ""Passa Palavra"",
   PROPER(REGEXEXTRACT"&amp;"(S22, ""^([^.]*)\.""))
   )&amp;"")"",
IF(REGEXMATCH(S22, ""Blogspot""), 
   ""Blogspot (""&amp;
   IF(REGEXMATCH(S22, ""rede2deoutubro""), ""Rede 02 de Outubro"",
   PROPER(REGEXEXTRACT(S22, ""^([^.]*)\.""))
   )&amp;"")"",
IF(REGEXMATCH(S22, ""Facebook""), 
   """&amp;"Facebook (""&amp;
   IF(REGEXMATCH(S22, ""Mídia Ninja""), ""Mídia Ninja"",
   PROPER(REGEXEXTRACT(S22, ""^([^.]*)\.""))
   )&amp;"")"",
IF(REGEXMATCH(S22, ""Instagram""), 
   ""Instagram (""&amp;
   IF(REGEXMATCH(S22, ""Memórias Carandiru""), ""Memórias Carandiru"","&amp;"
   PROPER(REGEXEXTRACT(S22, ""^([^.]*)\.""))
   )&amp;"")"",
IF(REGEXMATCH(S22, ""Folha de S\. Paulo|FOLHA DE S\. PAULO""), ""Folha de S. Paulo"",
IF(REGEXMATCH(S22, ""O Estado de S\. Paulo|ESTADAO""), ""O Estado de S. Paulo"",
IF(REGEXMATCH(S22, ""salasecr"&amp;"eta""), ""Wordpress (Sala Secreta)"",
IF(REGEXMATCH(S22, ""Wikipedia|Wikipédia|WIKIPÉDIA""), ""Wikipedia"",
IF(REGEXMATCH(S22, ""VEJA|Veja""), ""Veja Abril"",
IF(REGEXMATCH(S294, ""Rede Globo|REDE GLOBO""), ""Rede Globo"",
IF(REGEXMATCH(S294, ""G1|globo\."&amp;"com""), ""G1"",
IF(REGEXMATCH(S22, ""Deutsche Welle|DW\.com""), ""Deutsche Welle"",
IF(REGEXMATCH(S22, ""CIDH|Comissão Interamericana""), ""Comissão Interamericana de Direitos Humanos (CIDH)"",
IF(REGEXMATCH(S22, ""Pastoral Carcerária""), ""Pastoral Carce"&amp;"rária"",
IF(REGEXMATCH(S22, ""Esquerda Web""), ""Esquerda Web"",
IF(REGEXMATCH(S22, ""ONU|Organização das Nações Unidas""), ""ONU Brasil"",
IF(REGEXMATCH(S22, ""Quilombo Invisível""), ""Quilombo Invisível"",
IF(REGEXMATCH(S22, ""ALESP|Assembleia Legislati"&amp;"va""), ""ALESP"",
IF(REGEXMATCH(S22, ""Revista Opera""), ""Revista Opera"",
IF(REGEXMATCH(S22, ""SP Escola de Teatro""), ""SP Escola de Teatro"",
IF(REGEXMATCH(S22, ""EMC|Espaço Memória Carandiru""), ""EMC Espaço Memória Carandiru"",
IF(REGEXMATCH(S22, "&amp;"""^RAMOS, Nuno|Nuno Ramos""), ""Nuno Ramos"",
IF(REGEXMATCH(S22, ""^VELOSO, Caetano|Caetano Veloso""), ""YouTube (Caetano Veloso)"",
IF(REGEXMATCH(S22, ""^FATOS REAIS""), ""YouTube (Fatos Reais - Topic)"",
IF(REGEXMATCH(S22, ""^SALA SECRETA""), ""Wordpres"&amp;"s (Sala Secreta)"",
PROPER(REGEXEXTRACT(S22, ""^([^.]*)\.""))
))))))))))))))))))))))))))))))))))))))))))))))))))))))))"),"Folha de S. Paulo")</f>
        <v>Folha de S. Paulo</v>
      </c>
      <c r="N22" s="11" t="s">
        <v>47</v>
      </c>
      <c r="O22" s="11" t="s">
        <v>490</v>
      </c>
      <c r="P22" s="51">
        <v>45854.0</v>
      </c>
      <c r="Q22" s="11" t="s">
        <v>154</v>
      </c>
      <c r="R22" s="70" t="str">
        <f t="shared" si="3"/>
        <v>Aqui</v>
      </c>
      <c r="S22" s="75" t="s">
        <v>499</v>
      </c>
    </row>
    <row r="23">
      <c r="A23" s="11">
        <v>21.0</v>
      </c>
      <c r="B23" s="11"/>
      <c r="C23" s="122"/>
      <c r="D23" s="15"/>
      <c r="E23" s="15"/>
      <c r="F23" s="192">
        <v>1995.0</v>
      </c>
      <c r="G23" s="15">
        <f t="shared" si="1"/>
        <v>1995</v>
      </c>
      <c r="H23" s="11"/>
      <c r="I23" s="16"/>
      <c r="J23" s="17"/>
      <c r="K23" s="11"/>
      <c r="L23" s="193"/>
      <c r="M23" s="15"/>
      <c r="N23" s="11"/>
      <c r="O23" s="11"/>
      <c r="P23" s="11"/>
      <c r="Q23" s="11"/>
      <c r="R23" s="194"/>
      <c r="S23" s="195"/>
    </row>
    <row r="24">
      <c r="A24" s="11">
        <v>22.0</v>
      </c>
      <c r="B24" s="11" t="s">
        <v>500</v>
      </c>
      <c r="C24" s="12" t="str">
        <f>IFERROR(__xludf.DUMMYFUNCTION("IF(B24="""","""",IF(OR(
  REGEXMATCH(B24,""Performance|Instalação|Álbum|Música|Poema|Livro|Filme|Documentário|Recitação|Espetáculo|Peça|Intervenção|Desfile|Fotografia|Exposição|Charge|Grafite|Leitura pública|Fabricação de cachaça artesanal""),
  REGEXMATC"&amp;"H(B24,""dança|teatral|artístico|musical|artística"")
),""Manifestação artístico-cultural"",
IF(OR(
  REGEXMATCH(B24,""Crônica|Série|Reportagem|Podcast|Audiotour|Entrevista|Vídeo|Rádio""),
  REGEXMATCH(B24,""midiática"")
),""Produção midiática"","""")))
"),"Manifestação artístico-cultural")</f>
        <v>Manifestação artístico-cultural</v>
      </c>
      <c r="D24" s="13" t="str">
        <f>IFERROR(__xludf.DUMMYFUNCTION("IF(B24="""","""",IF(OR(
  REGEXMATCH(B24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REGEXMATCH(B24,""público|Imediato|artística|teatral|memória"")
),""Público Imediato"",
IF(REGEXMATCH(B24,""Música|Álbum|Filme|Documentário|Série|Podcast|"&amp;"Rádio|Audiotour|Entrevista|Reportagem|Crônica|Relatório|Abaixo-assinado|Manifesto|Petição|Poema|Livro|Fotografia|Curta|Live|Webinário|Charge|Leitura pública|Vídeo""),
""Público Mediado"","""")))
"),"Público Mediado")</f>
        <v>Público Mediado</v>
      </c>
      <c r="E24" s="13" t="str">
        <f>IFERROR(__xludf.DUMMYFUNCTION("IF(B24="""","""",IF(OR(
  REGEXMATCH(B24,""Live|Webinário|Virtual""),
  REGEXMATCH(B24,""online"")
),""Virtual"",
IF(REGEXMATCH(B24,""Música|Álbum|Filme|Documentário|Série|Podcast|Rádio|Audiotour|Episódio|Reportagem|Curta|Charge|Livro|Vídeo|Entrevista""),"&amp;"
""Midiático"",
IF(REGEXMATCH(B24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4" s="14">
        <v>1996.0</v>
      </c>
      <c r="G24" s="15">
        <f t="shared" si="1"/>
        <v>1996</v>
      </c>
      <c r="H24" s="11" t="s">
        <v>501</v>
      </c>
      <c r="I24" s="16" t="s">
        <v>310</v>
      </c>
      <c r="J24" s="17" t="s">
        <v>502</v>
      </c>
      <c r="K24" s="16" t="s">
        <v>222</v>
      </c>
      <c r="L24" s="18" t="s">
        <v>106</v>
      </c>
      <c r="M24" s="15" t="str">
        <f>IFERROR(__xludf.DUMMYFUNCTION("IF(REGEXMATCH(S24, ""Companhia das Letras""), ""Companhia das Letras"",
IF(REGEXMATCH(S24, ""Labortexto Editorial""), ""Labortexto Editorial"",
IF(REGEXMATCH(S24, ""Geração Editorial""), ""Geração Editorial"",
IF(REGEXMATCH(S24, ""Editora Imprensa Oficial"&amp;"|Imprensa Oficial""), ""Editora Imprensa Oficial"",
IF(REGEXMATCH(S24, ""Folha Online""), ""Folha Online"",
IF(REGEXMATCH(S24, ""FGV DIREITO SP|FGV Direito SP""), ""FGV DIREITO SP"",
IF(REGEXMATCH(S24, ""massacrecarandiru\.org\.br""), ""Memória Massacre C"&amp;"arandiru"",
IF(REGEXMATCH(S24, ""Itaú Cultural""), ""YouTube (Itaú Cultural)"",
IF(REGEXMATCH(S24, ""Passa Palavra""), ""Vimeo (Passa Palavra)"",
IF(REGEXMATCH(S24, ""rede2deoutubro\.blogspot""), ""Blogspot (Rede 02 de Outubro)"",
IF(REGEXMATCH(S24, ""Red"&amp;"e TVT""), ""YouTube (Rede TVT)"",
IF(REGEXMATCH(S24, ""Esquerda Diário""), ""Esquerda Diário"",
IF(REGEXMATCH(S24, ""GZH""), ""GZH"",
IF(REGEXMATCH(S24, ""TVPUC""), ""TVPUC"",
IF(REGEXMATCH(S24, ""Mídia Ninja.*Facebook""), ""Facebook (Mídia Ninja)"",
IF(R"&amp;"EGEXMATCH(S24, ""Memórias Carandiru.*Instagram""), ""Instagram (Memórias Carandiru)"",
IF(REGEXMATCH(S24, ""Frente pelo Desencarceramento SP""), ""YouTube (Frente Pelo Desencarceramento SP)"",
IF(REGEXMATCH(S24, ""TV ABA""), ""YouTube (TV ABA)"",
IF(REGEX"&amp;"MATCH(S24, ""TV SENADO""), ""YouTube (TV Senado)"",
IF(REGEXMATCH(S24, ""Google Arts &amp; Culture""), ""Google Arts &amp; Culture (Memória Massacre Carandiru)"",
IF(REGEXMATCH(S24, ""Anistia Internacional|ANISTIA INTERNACIONAL""), ""Anistia Internacional"",
IF(R"&amp;"EGEXMATCH(S24, ""47\.mostra|47a Mostra""), ""47a Mostra Internacional de Cinema em São Paulo"",
IF(REGEXMATCH(S24, ""Canal USP""), ""YouTube (Canal USP)"",
IF(AND(
  REGEXMATCH(S24, ""(?i)(teses?\.usp\.br|dissertacoes?\.usp\.br|repositorio\.usp\.br)""),
 "&amp;" NOT(REGEXMATCH(S24, ""Canal USP""))
), ""Biblioteca Digital de Teses e Dissertações da USP"",
IF(REGEXMATCH(S24, ""SINTRAJUSC""), ""SINTRAJUSC"",
IF(REGEXMATCH(S24, ""Agência Brasil|Agencia Brasil""), ""Agência Brasil"",
IF(REGEXMATCH(S24, ""Brasil de Fa"&amp;"to""), ""Brasil de Fato"",
IF(REGEXMATCH(S24, ""Ponte Jornalismo|pontejornalismo""), ""Ponte Jornalismo"",
IF(REGEXMATCH(S24, ""letras\.mus\.br|Letras,""), ""Letras"",
IF(REGEXMATCH(S24, ""YouTube|youtube""), 
   ""YouTube (""&amp;
   IF(REGEXMATCH(S24, ""It"&amp;"aú Cultural""), ""Itaú Cultural"",
   IF(REGEXMATCH(S24, ""Rede TVT""), ""Rede TVT"",
   IF(REGEXMATCH(S24, ""Frente pelo Desencarceramento SP""), ""Frente Pelo Desencarceramento SP"",
   IF(REGEXMATCH(S24, ""TV ABA""), ""TV ABA"",
   IF(REGEXMATCH(S24, "&amp;"""TV SENADO""), ""TV Senado"",
   IF(REGEXMATCH(S24, ""Canal USP""), ""Canal USP"",
   IF(REGEXMATCH(S24, ""Douer, Zack|Zack Douer""), ""Douer Zack"",
   IF(REGEXMATCH(S24, ""PRISIONEIRO 84\.901|PRISIONEIRO 84""), ""Prisioneiro 84.901"",
   IF(REGEXMATCH("&amp;"S24, ""^[^,]*, ""), 
        PROPER(REGEXREPLACE(REGEXEXTRACT(S24, ""^([^.]*)\.""), ""^([^,]*), (.*)"", ""$2 $1"")),
        PROPER(REGEXEXTRACT(S24, ""^([^.]*)\.""))
   )))))))))&amp;"")"",
IF(REGEXMATCH(S24, ""Spotify|spotify""), 
   ""Spotify (""&amp;
   IF(R"&amp;"EGEXMATCH(S24, ""ESTRANHO SORRISO""), ""Estranho Sorriso"",
   PROPER(REGEXEXTRACT(S24, ""^([^.]*)\.""))
   )&amp;"")"",
IF(REGEXMATCH(S24, ""Vimeo|vimeo""), 
   ""Vimeo (""&amp;
   IF(REGEXMATCH(S24, ""Passa Palavra""), ""Passa Palavra"",
   PROPER(REGEXEXTRACT"&amp;"(S24, ""^([^.]*)\.""))
   )&amp;"")"",
IF(REGEXMATCH(S24, ""Blogspot""), 
   ""Blogspot (""&amp;
   IF(REGEXMATCH(S24, ""rede2deoutubro""), ""Rede 02 de Outubro"",
   PROPER(REGEXEXTRACT(S24, ""^([^.]*)\.""))
   )&amp;"")"",
IF(REGEXMATCH(S24, ""Facebook""), 
   """&amp;"Facebook (""&amp;
   IF(REGEXMATCH(S24, ""Mídia Ninja""), ""Mídia Ninja"",
   PROPER(REGEXEXTRACT(S24, ""^([^.]*)\.""))
   )&amp;"")"",
IF(REGEXMATCH(S24, ""Instagram""), 
   ""Instagram (""&amp;
   IF(REGEXMATCH(S24, ""Memórias Carandiru""), ""Memórias Carandiru"","&amp;"
   PROPER(REGEXEXTRACT(S24, ""^([^.]*)\.""))
   )&amp;"")"",
IF(REGEXMATCH(S24, ""Folha de S\. Paulo|FOLHA DE S\. PAULO""), ""Folha de S. Paulo"",
IF(REGEXMATCH(S24, ""O Estado de S\. Paulo|ESTADAO""), ""O Estado de S. Paulo"",
IF(REGEXMATCH(S24, ""salasecr"&amp;"eta""), ""Wordpress (Sala Secreta)"",
IF(REGEXMATCH(S24, ""Wikipedia|Wikipédia|WIKIPÉDIA""), ""Wikipedia"",
IF(REGEXMATCH(S24, ""VEJA|Veja""), ""Veja Abril"",
IF(REGEXMATCH(S296, ""Rede Globo|REDE GLOBO""), ""Rede Globo"",
IF(REGEXMATCH(S296, ""G1|globo\."&amp;"com""), ""G1"",
IF(REGEXMATCH(S24, ""Deutsche Welle|DW\.com""), ""Deutsche Welle"",
IF(REGEXMATCH(S24, ""CIDH|Comissão Interamericana""), ""Comissão Interamericana de Direitos Humanos (CIDH)"",
IF(REGEXMATCH(S24, ""Pastoral Carcerária""), ""Pastoral Carce"&amp;"rária"",
IF(REGEXMATCH(S24, ""Esquerda Web""), ""Esquerda Web"",
IF(REGEXMATCH(S24, ""ONU|Organização das Nações Unidas""), ""ONU Brasil"",
IF(REGEXMATCH(S24, ""Quilombo Invisível""), ""Quilombo Invisível"",
IF(REGEXMATCH(S24, ""ALESP|Assembleia Legislati"&amp;"va""), ""ALESP"",
IF(REGEXMATCH(S24, ""Revista Opera""), ""Revista Opera"",
IF(REGEXMATCH(S24, ""SP Escola de Teatro""), ""SP Escola de Teatro"",
IF(REGEXMATCH(S24, ""EMC|Espaço Memória Carandiru""), ""EMC Espaço Memória Carandiru"",
IF(REGEXMATCH(S24, "&amp;"""^RAMOS, Nuno|Nuno Ramos""), ""Nuno Ramos"",
IF(REGEXMATCH(S24, ""^VELOSO, Caetano|Caetano Veloso""), ""YouTube (Caetano Veloso)"",
IF(REGEXMATCH(S24, ""^FATOS REAIS""), ""YouTube (Fatos Reais - Topic)"",
IF(REGEXMATCH(S24, ""^SALA SECRETA""), ""Wordpres"&amp;"s (Sala Secreta)"",
PROPER(REGEXEXTRACT(S24, ""^([^.]*)\.""))
))))))))))))))))))))))))))))))))))))))))))))))))))))))))"),"YouTube (Pavilhão 9)")</f>
        <v>YouTube (Pavilhão 9)</v>
      </c>
      <c r="N24" s="11" t="s">
        <v>47</v>
      </c>
      <c r="O24" s="11" t="s">
        <v>149</v>
      </c>
      <c r="P24" s="51">
        <v>45856.0</v>
      </c>
      <c r="Q24" s="11" t="s">
        <v>154</v>
      </c>
      <c r="R24" s="70" t="str">
        <f t="shared" ref="R24:R28" si="4">HYPERLINK(LEFT(MID(S24,FIND("http",S24),LEN(S24)),FIND(". Acesso em",S24)-FIND("http",S24)),"Aqui")</f>
        <v>Aqui</v>
      </c>
      <c r="S24" s="75" t="s">
        <v>503</v>
      </c>
    </row>
    <row r="25">
      <c r="A25" s="11">
        <v>23.0</v>
      </c>
      <c r="B25" s="11" t="s">
        <v>234</v>
      </c>
      <c r="C25" s="12" t="str">
        <f>IFERROR(__xludf.DUMMYFUNCTION("IF(B25="""","""",IF(OR(
  REGEXMATCH(B25,""Performance|Instalação|Álbum|Música|Poema|Livro|Filme|Documentário|Recitação|Espetáculo|Peça|Intervenção|Desfile|Fotografia|Exposição|Charge|Grafite|Leitura pública|Fabricação de cachaça artesanal""),
  REGEXMATC"&amp;"H(B25,""dança|teatral|artístico|musical|artística"")
),""Manifestação artístico-cultural"",
IF(OR(
  REGEXMATCH(B25,""Crônica|Série|Reportagem|Podcast|Audiotour|Entrevista|Vídeo|Rádio""),
  REGEXMATCH(B25,""midiática"")
),""Produção midiática"","""")))
"),"Manifestação artístico-cultural")</f>
        <v>Manifestação artístico-cultural</v>
      </c>
      <c r="D25" s="13" t="str">
        <f>IFERROR(__xludf.DUMMYFUNCTION("IF(B25="""","""",IF(OR(
  REGEXMATCH(B25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REGEXMATCH(B25,""público|Imediato|artística|teatral|memória"")
),""Público Imediato"",
IF(REGEXMATCH(B25,""Música|Álbum|Filme|Documentário|Série|Podcast|"&amp;"Rádio|Audiotour|Entrevista|Reportagem|Crônica|Relatório|Abaixo-assinado|Manifesto|Petição|Poema|Livro|Fotografia|Curta|Live|Webinário|Charge|Leitura pública|Vídeo""),
""Público Mediado"","""")))
"),"Público Mediado")</f>
        <v>Público Mediado</v>
      </c>
      <c r="E25" s="13" t="str">
        <f>IFERROR(__xludf.DUMMYFUNCTION("IF(B25="""","""",IF(OR(
  REGEXMATCH(B25,""Live|Webinário|Virtual""),
  REGEXMATCH(B25,""online"")
),""Virtual"",
IF(REGEXMATCH(B25,""Música|Álbum|Filme|Documentário|Série|Podcast|Rádio|Audiotour|Episódio|Reportagem|Curta|Charge|Livro|Vídeo|Entrevista""),"&amp;"
""Midiático"",
IF(REGEXMATCH(B25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5" s="186">
        <v>35245.0</v>
      </c>
      <c r="G25" s="15">
        <f t="shared" si="1"/>
        <v>1996</v>
      </c>
      <c r="H25" s="11" t="s">
        <v>23</v>
      </c>
      <c r="I25" s="16" t="s">
        <v>466</v>
      </c>
      <c r="J25" s="17" t="s">
        <v>504</v>
      </c>
      <c r="K25" s="16" t="s">
        <v>26</v>
      </c>
      <c r="L25" s="18" t="s">
        <v>27</v>
      </c>
      <c r="M25" s="15" t="str">
        <f>IFERROR(__xludf.DUMMYFUNCTION("IF(REGEXMATCH(S25, ""Companhia das Letras""), ""Companhia das Letras"",
IF(REGEXMATCH(S25, ""Labortexto Editorial""), ""Labortexto Editorial"",
IF(REGEXMATCH(S25, ""Geração Editorial""), ""Geração Editorial"",
IF(REGEXMATCH(S25, ""Editora Imprensa Oficial"&amp;"|Imprensa Oficial""), ""Editora Imprensa Oficial"",
IF(REGEXMATCH(S25, ""Folha Online""), ""Folha Online"",
IF(REGEXMATCH(S25, ""FGV DIREITO SP|FGV Direito SP""), ""FGV DIREITO SP"",
IF(REGEXMATCH(S25, ""massacrecarandiru\.org\.br""), ""Memória Massacre C"&amp;"arandiru"",
IF(REGEXMATCH(S25, ""Itaú Cultural""), ""YouTube (Itaú Cultural)"",
IF(REGEXMATCH(S25, ""Passa Palavra""), ""Vimeo (Passa Palavra)"",
IF(REGEXMATCH(S25, ""rede2deoutubro\.blogspot""), ""Blogspot (Rede 02 de Outubro)"",
IF(REGEXMATCH(S25, ""Red"&amp;"e TVT""), ""YouTube (Rede TVT)"",
IF(REGEXMATCH(S25, ""Esquerda Diário""), ""Esquerda Diário"",
IF(REGEXMATCH(S25, ""GZH""), ""GZH"",
IF(REGEXMATCH(S25, ""TVPUC""), ""TVPUC"",
IF(REGEXMATCH(S25, ""Mídia Ninja.*Facebook""), ""Facebook (Mídia Ninja)"",
IF(R"&amp;"EGEXMATCH(S25, ""Memórias Carandiru.*Instagram""), ""Instagram (Memórias Carandiru)"",
IF(REGEXMATCH(S25, ""Frente pelo Desencarceramento SP""), ""YouTube (Frente Pelo Desencarceramento SP)"",
IF(REGEXMATCH(S25, ""TV ABA""), ""YouTube (TV ABA)"",
IF(REGEX"&amp;"MATCH(S25, ""TV SENADO""), ""YouTube (TV Senado)"",
IF(REGEXMATCH(S25, ""Google Arts &amp; Culture""), ""Google Arts &amp; Culture (Memória Massacre Carandiru)"",
IF(REGEXMATCH(S25, ""Anistia Internacional|ANISTIA INTERNACIONAL""), ""Anistia Internacional"",
IF(R"&amp;"EGEXMATCH(S25, ""47\.mostra|47a Mostra""), ""47a Mostra Internacional de Cinema em São Paulo"",
IF(REGEXMATCH(S25, ""Canal USP""), ""YouTube (Canal USP)"",
IF(AND(
  REGEXMATCH(S25, ""(?i)(teses?\.usp\.br|dissertacoes?\.usp\.br|repositorio\.usp\.br)""),
 "&amp;" NOT(REGEXMATCH(S25, ""Canal USP""))
), ""Biblioteca Digital de Teses e Dissertações da USP"",
IF(REGEXMATCH(S25, ""SINTRAJUSC""), ""SINTRAJUSC"",
IF(REGEXMATCH(S25, ""Agência Brasil|Agencia Brasil""), ""Agência Brasil"",
IF(REGEXMATCH(S25, ""Brasil de Fa"&amp;"to""), ""Brasil de Fato"",
IF(REGEXMATCH(S25, ""Ponte Jornalismo|pontejornalismo""), ""Ponte Jornalismo"",
IF(REGEXMATCH(S25, ""letras\.mus\.br|Letras,""), ""Letras"",
IF(REGEXMATCH(S25, ""YouTube|youtube""), 
   ""YouTube (""&amp;
   IF(REGEXMATCH(S25, ""It"&amp;"aú Cultural""), ""Itaú Cultural"",
   IF(REGEXMATCH(S25, ""Rede TVT""), ""Rede TVT"",
   IF(REGEXMATCH(S25, ""Frente pelo Desencarceramento SP""), ""Frente Pelo Desencarceramento SP"",
   IF(REGEXMATCH(S25, ""TV ABA""), ""TV ABA"",
   IF(REGEXMATCH(S25, "&amp;"""TV SENADO""), ""TV Senado"",
   IF(REGEXMATCH(S25, ""Canal USP""), ""Canal USP"",
   IF(REGEXMATCH(S25, ""Douer, Zack|Zack Douer""), ""Douer Zack"",
   IF(REGEXMATCH(S25, ""PRISIONEIRO 84\.901|PRISIONEIRO 84""), ""Prisioneiro 84.901"",
   IF(REGEXMATCH("&amp;"S25, ""^[^,]*, ""), 
        PROPER(REGEXREPLACE(REGEXEXTRACT(S25, ""^([^.]*)\.""), ""^([^,]*), (.*)"", ""$2 $1"")),
        PROPER(REGEXEXTRACT(S25, ""^([^.]*)\.""))
   )))))))))&amp;"")"",
IF(REGEXMATCH(S25, ""Spotify|spotify""), 
   ""Spotify (""&amp;
   IF(R"&amp;"EGEXMATCH(S25, ""ESTRANHO SORRISO""), ""Estranho Sorriso"",
   PROPER(REGEXEXTRACT(S25, ""^([^.]*)\.""))
   )&amp;"")"",
IF(REGEXMATCH(S25, ""Vimeo|vimeo""), 
   ""Vimeo (""&amp;
   IF(REGEXMATCH(S25, ""Passa Palavra""), ""Passa Palavra"",
   PROPER(REGEXEXTRACT"&amp;"(S25, ""^([^.]*)\.""))
   )&amp;"")"",
IF(REGEXMATCH(S25, ""Blogspot""), 
   ""Blogspot (""&amp;
   IF(REGEXMATCH(S25, ""rede2deoutubro""), ""Rede 02 de Outubro"",
   PROPER(REGEXEXTRACT(S25, ""^([^.]*)\.""))
   )&amp;"")"",
IF(REGEXMATCH(S25, ""Facebook""), 
   """&amp;"Facebook (""&amp;
   IF(REGEXMATCH(S25, ""Mídia Ninja""), ""Mídia Ninja"",
   PROPER(REGEXEXTRACT(S25, ""^([^.]*)\.""))
   )&amp;"")"",
IF(REGEXMATCH(S25, ""Instagram""), 
   ""Instagram (""&amp;
   IF(REGEXMATCH(S25, ""Memórias Carandiru""), ""Memórias Carandiru"","&amp;"
   PROPER(REGEXEXTRACT(S25, ""^([^.]*)\.""))
   )&amp;"")"",
IF(REGEXMATCH(S25, ""Folha de S\. Paulo|FOLHA DE S\. PAULO""), ""Folha de S. Paulo"",
IF(REGEXMATCH(S25, ""O Estado de S\. Paulo|ESTADAO""), ""O Estado de S. Paulo"",
IF(REGEXMATCH(S25, ""salasecr"&amp;"eta""), ""Wordpress (Sala Secreta)"",
IF(REGEXMATCH(S25, ""Wikipedia|Wikipédia|WIKIPÉDIA""), ""Wikipedia"",
IF(REGEXMATCH(S25, ""VEJA|Veja""), ""Veja Abril"",
IF(REGEXMATCH(S297, ""Rede Globo|REDE GLOBO""), ""Rede Globo"",
IF(REGEXMATCH(S297, ""G1|globo\."&amp;"com""), ""G1"",
IF(REGEXMATCH(S25, ""Deutsche Welle|DW\.com""), ""Deutsche Welle"",
IF(REGEXMATCH(S25, ""CIDH|Comissão Interamericana""), ""Comissão Interamericana de Direitos Humanos (CIDH)"",
IF(REGEXMATCH(S25, ""Pastoral Carcerária""), ""Pastoral Carce"&amp;"rária"",
IF(REGEXMATCH(S25, ""Esquerda Web""), ""Esquerda Web"",
IF(REGEXMATCH(S25, ""ONU|Organização das Nações Unidas""), ""ONU Brasil"",
IF(REGEXMATCH(S25, ""Quilombo Invisível""), ""Quilombo Invisível"",
IF(REGEXMATCH(S25, ""ALESP|Assembleia Legislati"&amp;"va""), ""ALESP"",
IF(REGEXMATCH(S25, ""Revista Opera""), ""Revista Opera"",
IF(REGEXMATCH(S25, ""SP Escola de Teatro""), ""SP Escola de Teatro"",
IF(REGEXMATCH(S25, ""EMC|Espaço Memória Carandiru""), ""EMC Espaço Memória Carandiru"",
IF(REGEXMATCH(S25, "&amp;"""^RAMOS, Nuno|Nuno Ramos""), ""Nuno Ramos"",
IF(REGEXMATCH(S25, ""^VELOSO, Caetano|Caetano Veloso""), ""YouTube (Caetano Veloso)"",
IF(REGEXMATCH(S25, ""^FATOS REAIS""), ""YouTube (Fatos Reais - Topic)"",
IF(REGEXMATCH(S25, ""^SALA SECRETA""), ""Wordpres"&amp;"s (Sala Secreta)"",
PROPER(REGEXEXTRACT(S25, ""^([^.]*)\.""))
))))))))))))))))))))))))))))))))))))))))))))))))))))))))"),"O Estado de S. Paulo")</f>
        <v>O Estado de S. Paulo</v>
      </c>
      <c r="N25" s="11" t="s">
        <v>47</v>
      </c>
      <c r="O25" s="11" t="s">
        <v>48</v>
      </c>
      <c r="P25" s="51">
        <v>45853.0</v>
      </c>
      <c r="Q25" s="11" t="s">
        <v>53</v>
      </c>
      <c r="R25" s="70" t="str">
        <f t="shared" si="4"/>
        <v>Aqui</v>
      </c>
      <c r="S25" s="75" t="s">
        <v>505</v>
      </c>
    </row>
    <row r="26">
      <c r="A26" s="11">
        <v>24.0</v>
      </c>
      <c r="B26" s="11" t="s">
        <v>211</v>
      </c>
      <c r="C26" s="12" t="str">
        <f>IFERROR(__xludf.DUMMYFUNCTION("IF(B26="""","""",IF(OR(
  REGEXMATCH(B26,""Performance|Instalação|Álbum|Música|Poema|Livro|Filme|Documentário|Recitação|Espetáculo|Peça|Intervenção|Desfile|Fotografia|Exposição|Charge|Grafite|Leitura pública|Fabricação de cachaça artesanal""),
  REGEXMATC"&amp;"H(B26,""dança|teatral|artístico|musical|artística"")
),""Manifestação artístico-cultural"",
IF(OR(
  REGEXMATCH(B26,""Crônica|Série|Reportagem|Podcast|Audiotour|Entrevista|Vídeo|Rádio""),
  REGEXMATCH(B26,""midiática"")
),""Produção midiática"","""")))
"),"Manifestação artístico-cultural")</f>
        <v>Manifestação artístico-cultural</v>
      </c>
      <c r="D26" s="13" t="str">
        <f>IFERROR(__xludf.DUMMYFUNCTION("IF(B26="""","""",IF(OR(
  REGEXMATCH(B26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REGEXMATCH(B26,""público|Imediato|artística|teatral|memória"")
),""Público Imediato"",
IF(REGEXMATCH(B26,""Música|Álbum|Filme|Documentário|Série|Podcast|"&amp;"Rádio|Audiotour|Entrevista|Reportagem|Crônica|Relatório|Abaixo-assinado|Manifesto|Petição|Poema|Livro|Fotografia|Curta|Live|Webinário|Charge|Leitura pública|Vídeo""),
""Público Mediado"","""")))
"),"Público Mediado")</f>
        <v>Público Mediado</v>
      </c>
      <c r="E26" s="13" t="str">
        <f>IFERROR(__xludf.DUMMYFUNCTION("IF(B26="""","""",IF(OR(
  REGEXMATCH(B26,""Live|Webinário|Virtual""),
  REGEXMATCH(B26,""online"")
),""Virtual"",
IF(REGEXMATCH(B26,""Música|Álbum|Filme|Documentário|Série|Podcast|Rádio|Audiotour|Episódio|Reportagem|Curta|Charge|Livro|Vídeo|Entrevista""),"&amp;"
""Midiático"",
IF(REGEXMATCH(B26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6" s="14">
        <v>1997.0</v>
      </c>
      <c r="G26" s="15">
        <f t="shared" si="1"/>
        <v>1997</v>
      </c>
      <c r="H26" s="11" t="s">
        <v>23</v>
      </c>
      <c r="I26" s="16" t="s">
        <v>473</v>
      </c>
      <c r="J26" s="17" t="s">
        <v>506</v>
      </c>
      <c r="K26" s="16" t="s">
        <v>222</v>
      </c>
      <c r="L26" s="18" t="s">
        <v>106</v>
      </c>
      <c r="M26" s="15" t="str">
        <f>IFERROR(__xludf.DUMMYFUNCTION("IF(REGEXMATCH(S26, ""Companhia das Letras""), ""Companhia das Letras"",
IF(REGEXMATCH(S26, ""Labortexto Editorial""), ""Labortexto Editorial"",
IF(REGEXMATCH(S26, ""Geração Editorial""), ""Geração Editorial"",
IF(REGEXMATCH(S26, ""Editora Imprensa Oficial"&amp;"|Imprensa Oficial""), ""Editora Imprensa Oficial"",
IF(REGEXMATCH(S26, ""Folha Online""), ""Folha Online"",
IF(REGEXMATCH(S26, ""FGV DIREITO SP|FGV Direito SP""), ""FGV DIREITO SP"",
IF(REGEXMATCH(S26, ""massacrecarandiru\.org\.br""), ""Memória Massacre C"&amp;"arandiru"",
IF(REGEXMATCH(S26, ""Itaú Cultural""), ""YouTube (Itaú Cultural)"",
IF(REGEXMATCH(S26, ""Passa Palavra""), ""Vimeo (Passa Palavra)"",
IF(REGEXMATCH(S26, ""rede2deoutubro\.blogspot""), ""Blogspot (Rede 02 de Outubro)"",
IF(REGEXMATCH(S26, ""Red"&amp;"e TVT""), ""YouTube (Rede TVT)"",
IF(REGEXMATCH(S26, ""Esquerda Diário""), ""Esquerda Diário"",
IF(REGEXMATCH(S26, ""GZH""), ""GZH"",
IF(REGEXMATCH(S26, ""TVPUC""), ""TVPUC"",
IF(REGEXMATCH(S26, ""Mídia Ninja.*Facebook""), ""Facebook (Mídia Ninja)"",
IF(R"&amp;"EGEXMATCH(S26, ""Memórias Carandiru.*Instagram""), ""Instagram (Memórias Carandiru)"",
IF(REGEXMATCH(S26, ""Frente pelo Desencarceramento SP""), ""YouTube (Frente Pelo Desencarceramento SP)"",
IF(REGEXMATCH(S26, ""TV ABA""), ""YouTube (TV ABA)"",
IF(REGEX"&amp;"MATCH(S26, ""TV SENADO""), ""YouTube (TV Senado)"",
IF(REGEXMATCH(S26, ""Google Arts &amp; Culture""), ""Google Arts &amp; Culture (Memória Massacre Carandiru)"",
IF(REGEXMATCH(S26, ""Anistia Internacional|ANISTIA INTERNACIONAL""), ""Anistia Internacional"",
IF(R"&amp;"EGEXMATCH(S26, ""47\.mostra|47a Mostra""), ""47a Mostra Internacional de Cinema em São Paulo"",
IF(REGEXMATCH(S26, ""Canal USP""), ""YouTube (Canal USP)"",
IF(AND(
  REGEXMATCH(S26, ""(?i)(teses?\.usp\.br|dissertacoes?\.usp\.br|repositorio\.usp\.br)""),
 "&amp;" NOT(REGEXMATCH(S26, ""Canal USP""))
), ""Biblioteca Digital de Teses e Dissertações da USP"",
IF(REGEXMATCH(S26, ""SINTRAJUSC""), ""SINTRAJUSC"",
IF(REGEXMATCH(S26, ""Agência Brasil|Agencia Brasil""), ""Agência Brasil"",
IF(REGEXMATCH(S26, ""Brasil de Fa"&amp;"to""), ""Brasil de Fato"",
IF(REGEXMATCH(S26, ""Ponte Jornalismo|pontejornalismo""), ""Ponte Jornalismo"",
IF(REGEXMATCH(S26, ""letras\.mus\.br|Letras,""), ""Letras"",
IF(REGEXMATCH(S26, ""YouTube|youtube""), 
   ""YouTube (""&amp;
   IF(REGEXMATCH(S26, ""It"&amp;"aú Cultural""), ""Itaú Cultural"",
   IF(REGEXMATCH(S26, ""Rede TVT""), ""Rede TVT"",
   IF(REGEXMATCH(S26, ""Frente pelo Desencarceramento SP""), ""Frente Pelo Desencarceramento SP"",
   IF(REGEXMATCH(S26, ""TV ABA""), ""TV ABA"",
   IF(REGEXMATCH(S26, "&amp;"""TV SENADO""), ""TV Senado"",
   IF(REGEXMATCH(S26, ""Canal USP""), ""Canal USP"",
   IF(REGEXMATCH(S26, ""Douer, Zack|Zack Douer""), ""Douer Zack"",
   IF(REGEXMATCH(S26, ""PRISIONEIRO 84\.901|PRISIONEIRO 84""), ""Prisioneiro 84.901"",
   IF(REGEXMATCH("&amp;"S26, ""^[^,]*, ""), 
        PROPER(REGEXREPLACE(REGEXEXTRACT(S26, ""^([^.]*)\.""), ""^([^,]*), (.*)"", ""$2 $1"")),
        PROPER(REGEXEXTRACT(S26, ""^([^.]*)\.""))
   )))))))))&amp;"")"",
IF(REGEXMATCH(S26, ""Spotify|spotify""), 
   ""Spotify (""&amp;
   IF(R"&amp;"EGEXMATCH(S26, ""ESTRANHO SORRISO""), ""Estranho Sorriso"",
   PROPER(REGEXEXTRACT(S26, ""^([^.]*)\.""))
   )&amp;"")"",
IF(REGEXMATCH(S26, ""Vimeo|vimeo""), 
   ""Vimeo (""&amp;
   IF(REGEXMATCH(S26, ""Passa Palavra""), ""Passa Palavra"",
   PROPER(REGEXEXTRACT"&amp;"(S26, ""^([^.]*)\.""))
   )&amp;"")"",
IF(REGEXMATCH(S26, ""Blogspot""), 
   ""Blogspot (""&amp;
   IF(REGEXMATCH(S26, ""rede2deoutubro""), ""Rede 02 de Outubro"",
   PROPER(REGEXEXTRACT(S26, ""^([^.]*)\.""))
   )&amp;"")"",
IF(REGEXMATCH(S26, ""Facebook""), 
   """&amp;"Facebook (""&amp;
   IF(REGEXMATCH(S26, ""Mídia Ninja""), ""Mídia Ninja"",
   PROPER(REGEXEXTRACT(S26, ""^([^.]*)\.""))
   )&amp;"")"",
IF(REGEXMATCH(S26, ""Instagram""), 
   ""Instagram (""&amp;
   IF(REGEXMATCH(S26, ""Memórias Carandiru""), ""Memórias Carandiru"","&amp;"
   PROPER(REGEXEXTRACT(S26, ""^([^.]*)\.""))
   )&amp;"")"",
IF(REGEXMATCH(S26, ""Folha de S\. Paulo|FOLHA DE S\. PAULO""), ""Folha de S. Paulo"",
IF(REGEXMATCH(S26, ""O Estado de S\. Paulo|ESTADAO""), ""O Estado de S. Paulo"",
IF(REGEXMATCH(S26, ""salasecr"&amp;"eta""), ""Wordpress (Sala Secreta)"",
IF(REGEXMATCH(S26, ""Wikipedia|Wikipédia|WIKIPÉDIA""), ""Wikipedia"",
IF(REGEXMATCH(S26, ""VEJA|Veja""), ""Veja Abril"",
IF(REGEXMATCH(S298, ""Rede Globo|REDE GLOBO""), ""Rede Globo"",
IF(REGEXMATCH(S298, ""G1|globo\."&amp;"com""), ""G1"",
IF(REGEXMATCH(S26, ""Deutsche Welle|DW\.com""), ""Deutsche Welle"",
IF(REGEXMATCH(S26, ""CIDH|Comissão Interamericana""), ""Comissão Interamericana de Direitos Humanos (CIDH)"",
IF(REGEXMATCH(S26, ""Pastoral Carcerária""), ""Pastoral Carce"&amp;"rária"",
IF(REGEXMATCH(S26, ""Esquerda Web""), ""Esquerda Web"",
IF(REGEXMATCH(S26, ""ONU|Organização das Nações Unidas""), ""ONU Brasil"",
IF(REGEXMATCH(S26, ""Quilombo Invisível""), ""Quilombo Invisível"",
IF(REGEXMATCH(S26, ""ALESP|Assembleia Legislati"&amp;"va""), ""ALESP"",
IF(REGEXMATCH(S26, ""Revista Opera""), ""Revista Opera"",
IF(REGEXMATCH(S26, ""SP Escola de Teatro""), ""SP Escola de Teatro"",
IF(REGEXMATCH(S26, ""EMC|Espaço Memória Carandiru""), ""EMC Espaço Memória Carandiru"",
IF(REGEXMATCH(S26, "&amp;"""^RAMOS, Nuno|Nuno Ramos""), ""Nuno Ramos"",
IF(REGEXMATCH(S26, ""^VELOSO, Caetano|Caetano Veloso""), ""YouTube (Caetano Veloso)"",
IF(REGEXMATCH(S26, ""^FATOS REAIS""), ""YouTube (Fatos Reais - Topic)"",
IF(REGEXMATCH(S26, ""^SALA SECRETA""), ""Wordpres"&amp;"s (Sala Secreta)"",
PROPER(REGEXEXTRACT(S26, ""^([^.]*)\.""))
))))))))))))))))))))))))))))))))))))))))))))))))))))))))"),"YouTube (Racionais Mcs)")</f>
        <v>YouTube (Racionais Mcs)</v>
      </c>
      <c r="N26" s="11" t="s">
        <v>47</v>
      </c>
      <c r="O26" s="11" t="s">
        <v>149</v>
      </c>
      <c r="P26" s="51">
        <v>45855.0</v>
      </c>
      <c r="Q26" s="11" t="s">
        <v>154</v>
      </c>
      <c r="R26" s="70" t="str">
        <f t="shared" si="4"/>
        <v>Aqui</v>
      </c>
      <c r="S26" s="75" t="s">
        <v>507</v>
      </c>
    </row>
    <row r="27">
      <c r="A27" s="11">
        <v>25.0</v>
      </c>
      <c r="B27" s="11" t="s">
        <v>211</v>
      </c>
      <c r="C27" s="12" t="str">
        <f>IFERROR(__xludf.DUMMYFUNCTION("IF(B27="""","""",IF(OR(
  REGEXMATCH(B27,""Performance|Instalação|Álbum|Música|Poema|Livro|Filme|Documentário|Recitação|Espetáculo|Peça|Intervenção|Desfile|Fotografia|Exposição|Charge|Grafite|Leitura pública|Fabricação de cachaça artesanal""),
  REGEXMATC"&amp;"H(B27,""dança|teatral|artístico|musical|artística"")
),""Manifestação artístico-cultural"",
IF(OR(
  REGEXMATCH(B27,""Crônica|Série|Reportagem|Podcast|Audiotour|Entrevista|Vídeo|Rádio""),
  REGEXMATCH(B27,""midiática"")
),""Produção midiática"","""")))
"),"Manifestação artístico-cultural")</f>
        <v>Manifestação artístico-cultural</v>
      </c>
      <c r="D27" s="13" t="str">
        <f>IFERROR(__xludf.DUMMYFUNCTION("IF(B27="""","""",IF(OR(
  REGEXMATCH(B27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REGEXMATCH(B27,""público|Imediato|artística|teatral|memória"")
),""Público Imediato"",
IF(REGEXMATCH(B27,""Música|Álbum|Filme|Documentário|Série|Podcast|"&amp;"Rádio|Audiotour|Entrevista|Reportagem|Crônica|Relatório|Abaixo-assinado|Manifesto|Petição|Poema|Livro|Fotografia|Curta|Live|Webinário|Charge|Leitura pública|Vídeo""),
""Público Mediado"","""")))
"),"Público Mediado")</f>
        <v>Público Mediado</v>
      </c>
      <c r="E27" s="13" t="str">
        <f>IFERROR(__xludf.DUMMYFUNCTION("IF(B27="""","""",IF(OR(
  REGEXMATCH(B27,""Live|Webinário|Virtual""),
  REGEXMATCH(B27,""online"")
),""Virtual"",
IF(REGEXMATCH(B27,""Música|Álbum|Filme|Documentário|Série|Podcast|Rádio|Audiotour|Episódio|Reportagem|Curta|Charge|Livro|Vídeo|Entrevista""),"&amp;"
""Midiático"",
IF(REGEXMATCH(B27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7" s="14">
        <v>1997.0</v>
      </c>
      <c r="G27" s="15">
        <f t="shared" si="1"/>
        <v>1997</v>
      </c>
      <c r="H27" s="11" t="s">
        <v>23</v>
      </c>
      <c r="I27" s="16" t="s">
        <v>451</v>
      </c>
      <c r="J27" s="17" t="s">
        <v>508</v>
      </c>
      <c r="K27" s="16" t="s">
        <v>83</v>
      </c>
      <c r="L27" s="18" t="s">
        <v>329</v>
      </c>
      <c r="M27" s="15" t="str">
        <f>IFERROR(__xludf.DUMMYFUNCTION("IF(REGEXMATCH(S27, ""Companhia das Letras""), ""Companhia das Letras"",
IF(REGEXMATCH(S27, ""Labortexto Editorial""), ""Labortexto Editorial"",
IF(REGEXMATCH(S27, ""Geração Editorial""), ""Geração Editorial"",
IF(REGEXMATCH(S27, ""Editora Imprensa Oficial"&amp;"|Imprensa Oficial""), ""Editora Imprensa Oficial"",
IF(REGEXMATCH(S27, ""Folha Online""), ""Folha Online"",
IF(REGEXMATCH(S27, ""FGV DIREITO SP|FGV Direito SP""), ""FGV DIREITO SP"",
IF(REGEXMATCH(S27, ""massacrecarandiru\.org\.br""), ""Memória Massacre C"&amp;"arandiru"",
IF(REGEXMATCH(S27, ""Itaú Cultural""), ""YouTube (Itaú Cultural)"",
IF(REGEXMATCH(S27, ""Passa Palavra""), ""Vimeo (Passa Palavra)"",
IF(REGEXMATCH(S27, ""rede2deoutubro\.blogspot""), ""Blogspot (Rede 02 de Outubro)"",
IF(REGEXMATCH(S27, ""Red"&amp;"e TVT""), ""YouTube (Rede TVT)"",
IF(REGEXMATCH(S27, ""Esquerda Diário""), ""Esquerda Diário"",
IF(REGEXMATCH(S27, ""GZH""), ""GZH"",
IF(REGEXMATCH(S27, ""TVPUC""), ""TVPUC"",
IF(REGEXMATCH(S27, ""Mídia Ninja.*Facebook""), ""Facebook (Mídia Ninja)"",
IF(R"&amp;"EGEXMATCH(S27, ""Memórias Carandiru.*Instagram""), ""Instagram (Memórias Carandiru)"",
IF(REGEXMATCH(S27, ""Frente pelo Desencarceramento SP""), ""YouTube (Frente Pelo Desencarceramento SP)"",
IF(REGEXMATCH(S27, ""TV ABA""), ""YouTube (TV ABA)"",
IF(REGEX"&amp;"MATCH(S27, ""TV SENADO""), ""YouTube (TV Senado)"",
IF(REGEXMATCH(S27, ""Google Arts &amp; Culture""), ""Google Arts &amp; Culture (Memória Massacre Carandiru)"",
IF(REGEXMATCH(S27, ""Anistia Internacional|ANISTIA INTERNACIONAL""), ""Anistia Internacional"",
IF(R"&amp;"EGEXMATCH(S27, ""47\.mostra|47a Mostra""), ""47a Mostra Internacional de Cinema em São Paulo"",
IF(REGEXMATCH(S27, ""Canal USP""), ""YouTube (Canal USP)"",
IF(AND(
  REGEXMATCH(S27, ""(?i)(teses?\.usp\.br|dissertacoes?\.usp\.br|repositorio\.usp\.br)""),
 "&amp;" NOT(REGEXMATCH(S27, ""Canal USP""))
), ""Biblioteca Digital de Teses e Dissertações da USP"",
IF(REGEXMATCH(S27, ""SINTRAJUSC""), ""SINTRAJUSC"",
IF(REGEXMATCH(S27, ""Agência Brasil|Agencia Brasil""), ""Agência Brasil"",
IF(REGEXMATCH(S27, ""Brasil de Fa"&amp;"to""), ""Brasil de Fato"",
IF(REGEXMATCH(S27, ""Ponte Jornalismo|pontejornalismo""), ""Ponte Jornalismo"",
IF(REGEXMATCH(S27, ""letras\.mus\.br|Letras,""), ""Letras"",
IF(REGEXMATCH(S27, ""YouTube|youtube""), 
   ""YouTube (""&amp;
   IF(REGEXMATCH(S27, ""It"&amp;"aú Cultural""), ""Itaú Cultural"",
   IF(REGEXMATCH(S27, ""Rede TVT""), ""Rede TVT"",
   IF(REGEXMATCH(S27, ""Frente pelo Desencarceramento SP""), ""Frente Pelo Desencarceramento SP"",
   IF(REGEXMATCH(S27, ""TV ABA""), ""TV ABA"",
   IF(REGEXMATCH(S27, "&amp;"""TV SENADO""), ""TV Senado"",
   IF(REGEXMATCH(S27, ""Canal USP""), ""Canal USP"",
   IF(REGEXMATCH(S27, ""Douer, Zack|Zack Douer""), ""Douer Zack"",
   IF(REGEXMATCH(S27, ""PRISIONEIRO 84\.901|PRISIONEIRO 84""), ""Prisioneiro 84.901"",
   IF(REGEXMATCH("&amp;"S27, ""^[^,]*, ""), 
        PROPER(REGEXREPLACE(REGEXEXTRACT(S27, ""^([^.]*)\.""), ""^([^,]*), (.*)"", ""$2 $1"")),
        PROPER(REGEXEXTRACT(S27, ""^([^.]*)\.""))
   )))))))))&amp;"")"",
IF(REGEXMATCH(S27, ""Spotify|spotify""), 
   ""Spotify (""&amp;
   IF(R"&amp;"EGEXMATCH(S27, ""ESTRANHO SORRISO""), ""Estranho Sorriso"",
   PROPER(REGEXEXTRACT(S27, ""^([^.]*)\.""))
   )&amp;"")"",
IF(REGEXMATCH(S27, ""Vimeo|vimeo""), 
   ""Vimeo (""&amp;
   IF(REGEXMATCH(S27, ""Passa Palavra""), ""Passa Palavra"",
   PROPER(REGEXEXTRACT"&amp;"(S27, ""^([^.]*)\.""))
   )&amp;"")"",
IF(REGEXMATCH(S27, ""Blogspot""), 
   ""Blogspot (""&amp;
   IF(REGEXMATCH(S27, ""rede2deoutubro""), ""Rede 02 de Outubro"",
   PROPER(REGEXEXTRACT(S27, ""^([^.]*)\.""))
   )&amp;"")"",
IF(REGEXMATCH(S27, ""Facebook""), 
   """&amp;"Facebook (""&amp;
   IF(REGEXMATCH(S27, ""Mídia Ninja""), ""Mídia Ninja"",
   PROPER(REGEXEXTRACT(S27, ""^([^.]*)\.""))
   )&amp;"")"",
IF(REGEXMATCH(S27, ""Instagram""), 
   ""Instagram (""&amp;
   IF(REGEXMATCH(S27, ""Memórias Carandiru""), ""Memórias Carandiru"","&amp;"
   PROPER(REGEXEXTRACT(S27, ""^([^.]*)\.""))
   )&amp;"")"",
IF(REGEXMATCH(S27, ""Folha de S\. Paulo|FOLHA DE S\. PAULO""), ""Folha de S. Paulo"",
IF(REGEXMATCH(S27, ""O Estado de S\. Paulo|ESTADAO""), ""O Estado de S. Paulo"",
IF(REGEXMATCH(S27, ""salasecr"&amp;"eta""), ""Wordpress (Sala Secreta)"",
IF(REGEXMATCH(S27, ""Wikipedia|Wikipédia|WIKIPÉDIA""), ""Wikipedia"",
IF(REGEXMATCH(S27, ""VEJA|Veja""), ""Veja Abril"",
IF(REGEXMATCH(S299, ""Rede Globo|REDE GLOBO""), ""Rede Globo"",
IF(REGEXMATCH(S299, ""G1|globo\."&amp;"com""), ""G1"",
IF(REGEXMATCH(S27, ""Deutsche Welle|DW\.com""), ""Deutsche Welle"",
IF(REGEXMATCH(S27, ""CIDH|Comissão Interamericana""), ""Comissão Interamericana de Direitos Humanos (CIDH)"",
IF(REGEXMATCH(S27, ""Pastoral Carcerária""), ""Pastoral Carce"&amp;"rária"",
IF(REGEXMATCH(S27, ""Esquerda Web""), ""Esquerda Web"",
IF(REGEXMATCH(S27, ""ONU|Organização das Nações Unidas""), ""ONU Brasil"",
IF(REGEXMATCH(S27, ""Quilombo Invisível""), ""Quilombo Invisível"",
IF(REGEXMATCH(S27, ""ALESP|Assembleia Legislati"&amp;"va""), ""ALESP"",
IF(REGEXMATCH(S27, ""Revista Opera""), ""Revista Opera"",
IF(REGEXMATCH(S27, ""SP Escola de Teatro""), ""SP Escola de Teatro"",
IF(REGEXMATCH(S27, ""EMC|Espaço Memória Carandiru""), ""EMC Espaço Memória Carandiru"",
IF(REGEXMATCH(S27, "&amp;"""^RAMOS, Nuno|Nuno Ramos""), ""Nuno Ramos"",
IF(REGEXMATCH(S27, ""^VELOSO, Caetano|Caetano Veloso""), ""YouTube (Caetano Veloso)"",
IF(REGEXMATCH(S27, ""^FATOS REAIS""), ""YouTube (Fatos Reais - Topic)"",
IF(REGEXMATCH(S27, ""^SALA SECRETA""), ""Wordpres"&amp;"s (Sala Secreta)"",
PROPER(REGEXEXTRACT(S27, ""^([^.]*)\.""))
))))))))))))))))))))))))))))))))))))))))))))))))))))))))"),"YouTube (Pavilhão 9)")</f>
        <v>YouTube (Pavilhão 9)</v>
      </c>
      <c r="N27" s="11" t="s">
        <v>47</v>
      </c>
      <c r="O27" s="11" t="s">
        <v>149</v>
      </c>
      <c r="P27" s="51">
        <v>45856.0</v>
      </c>
      <c r="Q27" s="11" t="s">
        <v>154</v>
      </c>
      <c r="R27" s="70" t="str">
        <f t="shared" si="4"/>
        <v>Aqui</v>
      </c>
      <c r="S27" s="75" t="s">
        <v>509</v>
      </c>
    </row>
    <row r="28">
      <c r="A28" s="11">
        <v>26.0</v>
      </c>
      <c r="B28" s="11" t="s">
        <v>211</v>
      </c>
      <c r="C28" s="12" t="str">
        <f>IFERROR(__xludf.DUMMYFUNCTION("IF(B28="""","""",IF(OR(
  REGEXMATCH(B28,""Performance|Instalação|Álbum|Música|Poema|Livro|Filme|Documentário|Recitação|Espetáculo|Peça|Intervenção|Desfile|Fotografia|Exposição|Charge|Grafite|Leitura pública|Fabricação de cachaça artesanal""),
  REGEXMATC"&amp;"H(B28,""dança|teatral|artístico|musical|artística"")
),""Manifestação artístico-cultural"",
IF(OR(
  REGEXMATCH(B28,""Crônica|Série|Reportagem|Podcast|Audiotour|Entrevista|Vídeo|Rádio""),
  REGEXMATCH(B28,""midiática"")
),""Produção midiática"","""")))
"),"Manifestação artístico-cultural")</f>
        <v>Manifestação artístico-cultural</v>
      </c>
      <c r="D28" s="13" t="str">
        <f>IFERROR(__xludf.DUMMYFUNCTION("IF(B28="""","""",IF(OR(
  REGEXMATCH(B28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REGEXMATCH(B28,""público|Imediato|artística|teatral|memória"")
),""Público Imediato"",
IF(REGEXMATCH(B28,""Música|Álbum|Filme|Documentário|Série|Podcast|"&amp;"Rádio|Audiotour|Entrevista|Reportagem|Crônica|Relatório|Abaixo-assinado|Manifesto|Petição|Poema|Livro|Fotografia|Curta|Live|Webinário|Charge|Leitura pública|Vídeo""),
""Público Mediado"","""")))
"),"Público Mediado")</f>
        <v>Público Mediado</v>
      </c>
      <c r="E28" s="13" t="str">
        <f>IFERROR(__xludf.DUMMYFUNCTION("IF(B28="""","""",IF(OR(
  REGEXMATCH(B28,""Live|Webinário|Virtual""),
  REGEXMATCH(B28,""online"")
),""Virtual"",
IF(REGEXMATCH(B28,""Música|Álbum|Filme|Documentário|Série|Podcast|Rádio|Audiotour|Episódio|Reportagem|Curta|Charge|Livro|Vídeo|Entrevista""),"&amp;"
""Midiático"",
IF(REGEXMATCH(B28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8" s="14">
        <v>1998.0</v>
      </c>
      <c r="G28" s="15">
        <f t="shared" si="1"/>
        <v>1998</v>
      </c>
      <c r="H28" s="11" t="s">
        <v>23</v>
      </c>
      <c r="I28" s="16" t="s">
        <v>397</v>
      </c>
      <c r="J28" s="17" t="s">
        <v>510</v>
      </c>
      <c r="K28" s="16" t="s">
        <v>83</v>
      </c>
      <c r="L28" s="18" t="s">
        <v>329</v>
      </c>
      <c r="M28" s="15" t="str">
        <f>IFERROR(__xludf.DUMMYFUNCTION("IF(REGEXMATCH(S28, ""Companhia das Letras""), ""Companhia das Letras"",
IF(REGEXMATCH(S28, ""Labortexto Editorial""), ""Labortexto Editorial"",
IF(REGEXMATCH(S28, ""Geração Editorial""), ""Geração Editorial"",
IF(REGEXMATCH(S28, ""Editora Imprensa Oficial"&amp;"|Imprensa Oficial""), ""Editora Imprensa Oficial"",
IF(REGEXMATCH(S28, ""Folha Online""), ""Folha Online"",
IF(REGEXMATCH(S28, ""FGV DIREITO SP|FGV Direito SP""), ""FGV DIREITO SP"",
IF(REGEXMATCH(S28, ""massacrecarandiru\.org\.br""), ""Memória Massacre C"&amp;"arandiru"",
IF(REGEXMATCH(S28, ""Itaú Cultural""), ""YouTube (Itaú Cultural)"",
IF(REGEXMATCH(S28, ""Passa Palavra""), ""Vimeo (Passa Palavra)"",
IF(REGEXMATCH(S28, ""rede2deoutubro\.blogspot""), ""Blogspot (Rede 02 de Outubro)"",
IF(REGEXMATCH(S28, ""Red"&amp;"e TVT""), ""YouTube (Rede TVT)"",
IF(REGEXMATCH(S28, ""Esquerda Diário""), ""Esquerda Diário"",
IF(REGEXMATCH(S28, ""GZH""), ""GZH"",
IF(REGEXMATCH(S28, ""TVPUC""), ""TVPUC"",
IF(REGEXMATCH(S28, ""Mídia Ninja.*Facebook""), ""Facebook (Mídia Ninja)"",
IF(R"&amp;"EGEXMATCH(S28, ""Memórias Carandiru.*Instagram""), ""Instagram (Memórias Carandiru)"",
IF(REGEXMATCH(S28, ""Frente pelo Desencarceramento SP""), ""YouTube (Frente Pelo Desencarceramento SP)"",
IF(REGEXMATCH(S28, ""TV ABA""), ""YouTube (TV ABA)"",
IF(REGEX"&amp;"MATCH(S28, ""TV SENADO""), ""YouTube (TV Senado)"",
IF(REGEXMATCH(S28, ""Google Arts &amp; Culture""), ""Google Arts &amp; Culture (Memória Massacre Carandiru)"",
IF(REGEXMATCH(S28, ""Anistia Internacional|ANISTIA INTERNACIONAL""), ""Anistia Internacional"",
IF(R"&amp;"EGEXMATCH(S28, ""47\.mostra|47a Mostra""), ""47a Mostra Internacional de Cinema em São Paulo"",
IF(REGEXMATCH(S28, ""Canal USP""), ""YouTube (Canal USP)"",
IF(AND(
  REGEXMATCH(S28, ""(?i)(teses?\.usp\.br|dissertacoes?\.usp\.br|repositorio\.usp\.br)""),
 "&amp;" NOT(REGEXMATCH(S28, ""Canal USP""))
), ""Biblioteca Digital de Teses e Dissertações da USP"",
IF(REGEXMATCH(S28, ""SINTRAJUSC""), ""SINTRAJUSC"",
IF(REGEXMATCH(S28, ""Agência Brasil|Agencia Brasil""), ""Agência Brasil"",
IF(REGEXMATCH(S28, ""Brasil de Fa"&amp;"to""), ""Brasil de Fato"",
IF(REGEXMATCH(S28, ""Ponte Jornalismo|pontejornalismo""), ""Ponte Jornalismo"",
IF(REGEXMATCH(S28, ""letras\.mus\.br|Letras,""), ""Letras"",
IF(REGEXMATCH(S28, ""YouTube|youtube""), 
   ""YouTube (""&amp;
   IF(REGEXMATCH(S28, ""It"&amp;"aú Cultural""), ""Itaú Cultural"",
   IF(REGEXMATCH(S28, ""Rede TVT""), ""Rede TVT"",
   IF(REGEXMATCH(S28, ""Frente pelo Desencarceramento SP""), ""Frente Pelo Desencarceramento SP"",
   IF(REGEXMATCH(S28, ""TV ABA""), ""TV ABA"",
   IF(REGEXMATCH(S28, "&amp;"""TV SENADO""), ""TV Senado"",
   IF(REGEXMATCH(S28, ""Canal USP""), ""Canal USP"",
   IF(REGEXMATCH(S28, ""Douer, Zack|Zack Douer""), ""Douer Zack"",
   IF(REGEXMATCH(S28, ""PRISIONEIRO 84\.901|PRISIONEIRO 84""), ""Prisioneiro 84.901"",
   IF(REGEXMATCH("&amp;"S28, ""^[^,]*, ""), 
        PROPER(REGEXREPLACE(REGEXEXTRACT(S28, ""^([^.]*)\.""), ""^([^,]*), (.*)"", ""$2 $1"")),
        PROPER(REGEXEXTRACT(S28, ""^([^.]*)\.""))
   )))))))))&amp;"")"",
IF(REGEXMATCH(S28, ""Spotify|spotify""), 
   ""Spotify (""&amp;
   IF(R"&amp;"EGEXMATCH(S28, ""ESTRANHO SORRISO""), ""Estranho Sorriso"",
   PROPER(REGEXEXTRACT(S28, ""^([^.]*)\.""))
   )&amp;"")"",
IF(REGEXMATCH(S28, ""Vimeo|vimeo""), 
   ""Vimeo (""&amp;
   IF(REGEXMATCH(S28, ""Passa Palavra""), ""Passa Palavra"",
   PROPER(REGEXEXTRACT"&amp;"(S28, ""^([^.]*)\.""))
   )&amp;"")"",
IF(REGEXMATCH(S28, ""Blogspot""), 
   ""Blogspot (""&amp;
   IF(REGEXMATCH(S28, ""rede2deoutubro""), ""Rede 02 de Outubro"",
   PROPER(REGEXEXTRACT(S28, ""^([^.]*)\.""))
   )&amp;"")"",
IF(REGEXMATCH(S28, ""Facebook""), 
   """&amp;"Facebook (""&amp;
   IF(REGEXMATCH(S28, ""Mídia Ninja""), ""Mídia Ninja"",
   PROPER(REGEXEXTRACT(S28, ""^([^.]*)\.""))
   )&amp;"")"",
IF(REGEXMATCH(S28, ""Instagram""), 
   ""Instagram (""&amp;
   IF(REGEXMATCH(S28, ""Memórias Carandiru""), ""Memórias Carandiru"","&amp;"
   PROPER(REGEXEXTRACT(S28, ""^([^.]*)\.""))
   )&amp;"")"",
IF(REGEXMATCH(S28, ""Folha de S\. Paulo|FOLHA DE S\. PAULO""), ""Folha de S. Paulo"",
IF(REGEXMATCH(S28, ""O Estado de S\. Paulo|ESTADAO""), ""O Estado de S. Paulo"",
IF(REGEXMATCH(S28, ""salasecr"&amp;"eta""), ""Wordpress (Sala Secreta)"",
IF(REGEXMATCH(S28, ""Wikipedia|Wikipédia|WIKIPÉDIA""), ""Wikipedia"",
IF(REGEXMATCH(S28, ""VEJA|Veja""), ""Veja Abril"",
IF(REGEXMATCH(S300, ""Rede Globo|REDE GLOBO""), ""Rede Globo"",
IF(REGEXMATCH(S300, ""G1|globo\."&amp;"com""), ""G1"",
IF(REGEXMATCH(S28, ""Deutsche Welle|DW\.com""), ""Deutsche Welle"",
IF(REGEXMATCH(S28, ""CIDH|Comissão Interamericana""), ""Comissão Interamericana de Direitos Humanos (CIDH)"",
IF(REGEXMATCH(S28, ""Pastoral Carcerária""), ""Pastoral Carce"&amp;"rária"",
IF(REGEXMATCH(S28, ""Esquerda Web""), ""Esquerda Web"",
IF(REGEXMATCH(S28, ""ONU|Organização das Nações Unidas""), ""ONU Brasil"",
IF(REGEXMATCH(S28, ""Quilombo Invisível""), ""Quilombo Invisível"",
IF(REGEXMATCH(S28, ""ALESP|Assembleia Legislati"&amp;"va""), ""ALESP"",
IF(REGEXMATCH(S28, ""Revista Opera""), ""Revista Opera"",
IF(REGEXMATCH(S28, ""SP Escola de Teatro""), ""SP Escola de Teatro"",
IF(REGEXMATCH(S28, ""EMC|Espaço Memória Carandiru""), ""EMC Espaço Memória Carandiru"",
IF(REGEXMATCH(S28, "&amp;"""^RAMOS, Nuno|Nuno Ramos""), ""Nuno Ramos"",
IF(REGEXMATCH(S28, ""^VELOSO, Caetano|Caetano Veloso""), ""YouTube (Caetano Veloso)"",
IF(REGEXMATCH(S28, ""^FATOS REAIS""), ""YouTube (Fatos Reais - Topic)"",
IF(REGEXMATCH(S28, ""^SALA SECRETA""), ""Wordpres"&amp;"s (Sala Secreta)"",
PROPER(REGEXEXTRACT(S28, ""^([^.]*)\.""))
))))))))))))))))))))))))))))))))))))))))))))))))))))))))"),"YouTube (Detentos Do Rap)")</f>
        <v>YouTube (Detentos Do Rap)</v>
      </c>
      <c r="N28" s="11" t="s">
        <v>47</v>
      </c>
      <c r="O28" s="11" t="s">
        <v>149</v>
      </c>
      <c r="P28" s="51">
        <v>45855.0</v>
      </c>
      <c r="Q28" s="11" t="s">
        <v>154</v>
      </c>
      <c r="R28" s="70" t="str">
        <f t="shared" si="4"/>
        <v>Aqui</v>
      </c>
      <c r="S28" s="75" t="s">
        <v>511</v>
      </c>
    </row>
    <row r="29">
      <c r="A29" s="11">
        <v>27.0</v>
      </c>
      <c r="B29" s="11" t="s">
        <v>203</v>
      </c>
      <c r="C29" s="12" t="str">
        <f>IFERROR(__xludf.DUMMYFUNCTION("IF(B29="""","""",IF(OR(
  REGEXMATCH(B29,""Performance|Instalação|Álbum|Música|Poema|Livro|Filme|Documentário|Recitação|Espetáculo|Peça|Intervenção|Desfile|Fotografia|Exposição|Charge|Grafite|Leitura pública|Fabricação de cachaça artesanal""),
  REGEXMATC"&amp;"H(B29,""dança|teatral|artístico|musical|artística"")
),""Manifestação artístico-cultural"",
IF(OR(
  REGEXMATCH(B29,""Crônica|Série|Reportagem|Podcast|Audiotour|Entrevista|Vídeo|Rádio""),
  REGEXMATCH(B29,""midiática"")
),""Produção midiática"","""")))
"),"Manifestação artístico-cultural")</f>
        <v>Manifestação artístico-cultural</v>
      </c>
      <c r="D29" s="13" t="str">
        <f>IFERROR(__xludf.DUMMYFUNCTION("IF(B29="""","""",IF(OR(
  REGEXMATCH(B29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REGEXMATCH(B29,""público|Imediato|artística|teatral|memória"")
),""Público Imediato"",
IF(REGEXMATCH(B29,""Música|Álbum|Filme|Documentário|Série|Podcast|"&amp;"Rádio|Audiotour|Entrevista|Reportagem|Crônica|Relatório|Abaixo-assinado|Manifesto|Petição|Poema|Livro|Fotografia|Curta|Live|Webinário|Charge|Leitura pública|Vídeo""),
""Público Mediado"","""")))
"),"Público Mediado")</f>
        <v>Público Mediado</v>
      </c>
      <c r="E29" s="13" t="str">
        <f>IFERROR(__xludf.DUMMYFUNCTION("IF(B29="""","""",IF(OR(
  REGEXMATCH(B29,""Live|Webinário|Virtual""),
  REGEXMATCH(B29,""online"")
),""Virtual"",
IF(REGEXMATCH(B29,""Música|Álbum|Filme|Documentário|Série|Podcast|Rádio|Audiotour|Episódio|Reportagem|Curta|Charge|Livro|Vídeo|Entrevista""),"&amp;"
""Midiático"",
IF(REGEXMATCH(B29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9" s="14">
        <v>1999.0</v>
      </c>
      <c r="G29" s="15">
        <f t="shared" si="1"/>
        <v>1999</v>
      </c>
      <c r="H29" s="11" t="s">
        <v>23</v>
      </c>
      <c r="I29" s="16" t="s">
        <v>409</v>
      </c>
      <c r="J29" s="17" t="s">
        <v>512</v>
      </c>
      <c r="K29" s="16" t="s">
        <v>103</v>
      </c>
      <c r="L29" s="18" t="s">
        <v>475</v>
      </c>
      <c r="M29" s="15" t="str">
        <f>IFERROR(__xludf.DUMMYFUNCTION("IF(REGEXMATCH(S29, ""Companhia das Letras""), ""Companhia das Letras"",
IF(REGEXMATCH(S29, ""Labortexto Editorial""), ""Labortexto Editorial"",
IF(REGEXMATCH(S29, ""Geração Editorial""), ""Geração Editorial"",
IF(REGEXMATCH(S29, ""Editora Imprensa Oficial"&amp;"|Imprensa Oficial""), ""Editora Imprensa Oficial"",
IF(REGEXMATCH(S29, ""Folha Online""), ""Folha Online"",
IF(REGEXMATCH(S29, ""FGV DIREITO SP|FGV Direito SP""), ""FGV DIREITO SP"",
IF(REGEXMATCH(S29, ""massacrecarandiru\.org\.br""), ""Memória Massacre C"&amp;"arandiru"",
IF(REGEXMATCH(S29, ""Itaú Cultural""), ""YouTube (Itaú Cultural)"",
IF(REGEXMATCH(S29, ""Passa Palavra""), ""Vimeo (Passa Palavra)"",
IF(REGEXMATCH(S29, ""rede2deoutubro\.blogspot""), ""Blogspot (Rede 02 de Outubro)"",
IF(REGEXMATCH(S29, ""Red"&amp;"e TVT""), ""YouTube (Rede TVT)"",
IF(REGEXMATCH(S29, ""Esquerda Diário""), ""Esquerda Diário"",
IF(REGEXMATCH(S29, ""GZH""), ""GZH"",
IF(REGEXMATCH(S29, ""TVPUC""), ""TVPUC"",
IF(REGEXMATCH(S29, ""Mídia Ninja.*Facebook""), ""Facebook (Mídia Ninja)"",
IF(R"&amp;"EGEXMATCH(S29, ""Memórias Carandiru.*Instagram""), ""Instagram (Memórias Carandiru)"",
IF(REGEXMATCH(S29, ""Frente pelo Desencarceramento SP""), ""YouTube (Frente Pelo Desencarceramento SP)"",
IF(REGEXMATCH(S29, ""TV ABA""), ""YouTube (TV ABA)"",
IF(REGEX"&amp;"MATCH(S29, ""TV SENADO""), ""YouTube (TV Senado)"",
IF(REGEXMATCH(S29, ""Google Arts &amp; Culture""), ""Google Arts &amp; Culture (Memória Massacre Carandiru)"",
IF(REGEXMATCH(S29, ""Anistia Internacional|ANISTIA INTERNACIONAL""), ""Anistia Internacional"",
IF(R"&amp;"EGEXMATCH(S29, ""47\.mostra|47a Mostra""), ""47a Mostra Internacional de Cinema em São Paulo"",
IF(REGEXMATCH(S29, ""Canal USP""), ""YouTube (Canal USP)"",
IF(AND(
  REGEXMATCH(S29, ""(?i)(teses?\.usp\.br|dissertacoes?\.usp\.br|repositorio\.usp\.br)""),
 "&amp;" NOT(REGEXMATCH(S29, ""Canal USP""))
), ""Biblioteca Digital de Teses e Dissertações da USP"",
IF(REGEXMATCH(S29, ""SINTRAJUSC""), ""SINTRAJUSC"",
IF(REGEXMATCH(S29, ""Agência Brasil|Agencia Brasil""), ""Agência Brasil"",
IF(REGEXMATCH(S29, ""Brasil de Fa"&amp;"to""), ""Brasil de Fato"",
IF(REGEXMATCH(S29, ""Ponte Jornalismo|pontejornalismo""), ""Ponte Jornalismo"",
IF(REGEXMATCH(S29, ""letras\.mus\.br|Letras,""), ""Letras"",
IF(REGEXMATCH(S29, ""YouTube|youtube""), 
   ""YouTube (""&amp;
   IF(REGEXMATCH(S29, ""It"&amp;"aú Cultural""), ""Itaú Cultural"",
   IF(REGEXMATCH(S29, ""Rede TVT""), ""Rede TVT"",
   IF(REGEXMATCH(S29, ""Frente pelo Desencarceramento SP""), ""Frente Pelo Desencarceramento SP"",
   IF(REGEXMATCH(S29, ""TV ABA""), ""TV ABA"",
   IF(REGEXMATCH(S29, "&amp;"""TV SENADO""), ""TV Senado"",
   IF(REGEXMATCH(S29, ""Canal USP""), ""Canal USP"",
   IF(REGEXMATCH(S29, ""Douer, Zack|Zack Douer""), ""Douer Zack"",
   IF(REGEXMATCH(S29, ""PRISIONEIRO 84\.901|PRISIONEIRO 84""), ""Prisioneiro 84.901"",
   IF(REGEXMATCH("&amp;"S29, ""^[^,]*, ""), 
        PROPER(REGEXREPLACE(REGEXEXTRACT(S29, ""^([^.]*)\.""), ""^([^,]*), (.*)"", ""$2 $1"")),
        PROPER(REGEXEXTRACT(S29, ""^([^.]*)\.""))
   )))))))))&amp;"")"",
IF(REGEXMATCH(S29, ""Spotify|spotify""), 
   ""Spotify (""&amp;
   IF(R"&amp;"EGEXMATCH(S29, ""ESTRANHO SORRISO""), ""Estranho Sorriso"",
   PROPER(REGEXEXTRACT(S29, ""^([^.]*)\.""))
   )&amp;"")"",
IF(REGEXMATCH(S29, ""Vimeo|vimeo""), 
   ""Vimeo (""&amp;
   IF(REGEXMATCH(S29, ""Passa Palavra""), ""Passa Palavra"",
   PROPER(REGEXEXTRACT"&amp;"(S29, ""^([^.]*)\.""))
   )&amp;"")"",
IF(REGEXMATCH(S29, ""Blogspot""), 
   ""Blogspot (""&amp;
   IF(REGEXMATCH(S29, ""rede2deoutubro""), ""Rede 02 de Outubro"",
   PROPER(REGEXEXTRACT(S29, ""^([^.]*)\.""))
   )&amp;"")"",
IF(REGEXMATCH(S29, ""Facebook""), 
   """&amp;"Facebook (""&amp;
   IF(REGEXMATCH(S29, ""Mídia Ninja""), ""Mídia Ninja"",
   PROPER(REGEXEXTRACT(S29, ""^([^.]*)\.""))
   )&amp;"")"",
IF(REGEXMATCH(S29, ""Instagram""), 
   ""Instagram (""&amp;
   IF(REGEXMATCH(S29, ""Memórias Carandiru""), ""Memórias Carandiru"","&amp;"
   PROPER(REGEXEXTRACT(S29, ""^([^.]*)\.""))
   )&amp;"")"",
IF(REGEXMATCH(S29, ""Folha de S\. Paulo|FOLHA DE S\. PAULO""), ""Folha de S. Paulo"",
IF(REGEXMATCH(S29, ""O Estado de S\. Paulo|ESTADAO""), ""O Estado de S. Paulo"",
IF(REGEXMATCH(S29, ""salasecr"&amp;"eta""), ""Wordpress (Sala Secreta)"",
IF(REGEXMATCH(S29, ""Wikipedia|Wikipédia|WIKIPÉDIA""), ""Wikipedia"",
IF(REGEXMATCH(S29, ""VEJA|Veja""), ""Veja Abril"",
IF(REGEXMATCH(S301, ""Rede Globo|REDE GLOBO""), ""Rede Globo"",
IF(REGEXMATCH(S301, ""G1|globo\."&amp;"com""), ""G1"",
IF(REGEXMATCH(S29, ""Deutsche Welle|DW\.com""), ""Deutsche Welle"",
IF(REGEXMATCH(S29, ""CIDH|Comissão Interamericana""), ""Comissão Interamericana de Direitos Humanos (CIDH)"",
IF(REGEXMATCH(S29, ""Pastoral Carcerária""), ""Pastoral Carce"&amp;"rária"",
IF(REGEXMATCH(S29, ""Esquerda Web""), ""Esquerda Web"",
IF(REGEXMATCH(S29, ""ONU|Organização das Nações Unidas""), ""ONU Brasil"",
IF(REGEXMATCH(S29, ""Quilombo Invisível""), ""Quilombo Invisível"",
IF(REGEXMATCH(S29, ""ALESP|Assembleia Legislati"&amp;"va""), ""ALESP"",
IF(REGEXMATCH(S29, ""Revista Opera""), ""Revista Opera"",
IF(REGEXMATCH(S29, ""SP Escola de Teatro""), ""SP Escola de Teatro"",
IF(REGEXMATCH(S29, ""EMC|Espaço Memória Carandiru""), ""EMC Espaço Memória Carandiru"",
IF(REGEXMATCH(S29, "&amp;"""^RAMOS, Nuno|Nuno Ramos""), ""Nuno Ramos"",
IF(REGEXMATCH(S29, ""^VELOSO, Caetano|Caetano Veloso""), ""YouTube (Caetano Veloso)"",
IF(REGEXMATCH(S29, ""^FATOS REAIS""), ""YouTube (Fatos Reais - Topic)"",
IF(REGEXMATCH(S29, ""^SALA SECRETA""), ""Wordpres"&amp;"s (Sala Secreta)"",
PROPER(REGEXEXTRACT(S29, ""^([^.]*)\.""))
))))))))))))))))))))))))))))))))))))))))))))))))))))))))"),"Companhia das Letras")</f>
        <v>Companhia das Letras</v>
      </c>
      <c r="N29" s="11" t="s">
        <v>47</v>
      </c>
      <c r="O29" s="11" t="s">
        <v>149</v>
      </c>
      <c r="P29" s="51">
        <v>45856.0</v>
      </c>
      <c r="Q29" s="11" t="s">
        <v>154</v>
      </c>
      <c r="R29" s="194"/>
      <c r="S29" s="75" t="s">
        <v>513</v>
      </c>
    </row>
    <row r="30">
      <c r="A30" s="11">
        <v>28.0</v>
      </c>
      <c r="B30" s="11" t="s">
        <v>274</v>
      </c>
      <c r="C30" s="122" t="s">
        <v>165</v>
      </c>
      <c r="D30" s="13" t="str">
        <f>IFERROR(__xludf.DUMMYFUNCTION("IF(B30="""","""",IF(OR(
  REGEXMATCH(B30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REGEXMATCH(B30,""público|Imediato|artística|teatral|memória"")
),""Público Imediato"",
IF(REGEXMATCH(B30,""Música|Álbum|Filme|Documentário|Série|Podcast|"&amp;"Rádio|Audiotour|Entrevista|Reportagem|Crônica|Relatório|Abaixo-assinado|Manifesto|Petição|Poema|Livro|Fotografia|Curta|Live|Webinário|Charge|Leitura pública|Vídeo""),
""Público Mediado"","""")))
"),"Público Mediado")</f>
        <v>Público Mediado</v>
      </c>
      <c r="E30" s="13" t="str">
        <f>IFERROR(__xludf.DUMMYFUNCTION("IF(B30="""","""",IF(OR(
  REGEXMATCH(B30,""Live|Webinário|Virtual""),
  REGEXMATCH(B30,""online"")
),""Virtual"",
IF(REGEXMATCH(B30,""Música|Álbum|Filme|Documentário|Série|Podcast|Rádio|Audiotour|Episódio|Reportagem|Curta|Charge|Livro|Vídeo|Entrevista""),"&amp;"
""Midiático"",
IF(REGEXMATCH(B30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0" s="186">
        <v>36629.0</v>
      </c>
      <c r="G30" s="15">
        <f t="shared" si="1"/>
        <v>2000</v>
      </c>
      <c r="H30" s="11" t="s">
        <v>23</v>
      </c>
      <c r="I30" s="16" t="s">
        <v>369</v>
      </c>
      <c r="J30" s="17" t="s">
        <v>514</v>
      </c>
      <c r="K30" s="16" t="s">
        <v>233</v>
      </c>
      <c r="L30" s="18" t="s">
        <v>325</v>
      </c>
      <c r="M30" s="15" t="str">
        <f>IFERROR(__xludf.DUMMYFUNCTION("IF(REGEXMATCH(S30, ""Companhia das Letras""), ""Companhia das Letras"",
IF(REGEXMATCH(S30, ""Labortexto Editorial""), ""Labortexto Editorial"",
IF(REGEXMATCH(S30, ""Geração Editorial""), ""Geração Editorial"",
IF(REGEXMATCH(S30, ""Editora Imprensa Oficial"&amp;"|Imprensa Oficial""), ""Editora Imprensa Oficial"",
IF(REGEXMATCH(S30, ""Folha Online""), ""Folha Online"",
IF(REGEXMATCH(S30, ""FGV DIREITO SP|FGV Direito SP""), ""FGV DIREITO SP"",
IF(REGEXMATCH(S30, ""massacrecarandiru\.org\.br""), ""Memória Massacre C"&amp;"arandiru"",
IF(REGEXMATCH(S30, ""Itaú Cultural""), ""YouTube (Itaú Cultural)"",
IF(REGEXMATCH(S30, ""Passa Palavra""), ""Vimeo (Passa Palavra)"",
IF(REGEXMATCH(S30, ""rede2deoutubro\.blogspot""), ""Blogspot (Rede 02 de Outubro)"",
IF(REGEXMATCH(S30, ""Red"&amp;"e TVT""), ""YouTube (Rede TVT)"",
IF(REGEXMATCH(S30, ""Esquerda Diário""), ""Esquerda Diário"",
IF(REGEXMATCH(S30, ""GZH""), ""GZH"",
IF(REGEXMATCH(S30, ""TVPUC""), ""TVPUC"",
IF(REGEXMATCH(S30, ""Mídia Ninja.*Facebook""), ""Facebook (Mídia Ninja)"",
IF(R"&amp;"EGEXMATCH(S30, ""Memórias Carandiru.*Instagram""), ""Instagram (Memórias Carandiru)"",
IF(REGEXMATCH(S30, ""Frente pelo Desencarceramento SP""), ""YouTube (Frente Pelo Desencarceramento SP)"",
IF(REGEXMATCH(S30, ""TV ABA""), ""YouTube (TV ABA)"",
IF(REGEX"&amp;"MATCH(S30, ""TV SENADO""), ""YouTube (TV Senado)"",
IF(REGEXMATCH(S30, ""Google Arts &amp; Culture""), ""Google Arts &amp; Culture (Memória Massacre Carandiru)"",
IF(REGEXMATCH(S30, ""Anistia Internacional|ANISTIA INTERNACIONAL""), ""Anistia Internacional"",
IF(R"&amp;"EGEXMATCH(S30, ""47\.mostra|47a Mostra""), ""47a Mostra Internacional de Cinema em São Paulo"",
IF(REGEXMATCH(S30, ""Canal USP""), ""YouTube (Canal USP)"",
IF(AND(
  REGEXMATCH(S30, ""(?i)(teses?\.usp\.br|dissertacoes?\.usp\.br|repositorio\.usp\.br)""),
 "&amp;" NOT(REGEXMATCH(S30, ""Canal USP""))
), ""Biblioteca Digital de Teses e Dissertações da USP"",
IF(REGEXMATCH(S30, ""SINTRAJUSC""), ""SINTRAJUSC"",
IF(REGEXMATCH(S30, ""Agência Brasil|Agencia Brasil""), ""Agência Brasil"",
IF(REGEXMATCH(S30, ""Brasil de Fa"&amp;"to""), ""Brasil de Fato"",
IF(REGEXMATCH(S30, ""Ponte Jornalismo|pontejornalismo""), ""Ponte Jornalismo"",
IF(REGEXMATCH(S30, ""letras\.mus\.br|Letras,""), ""Letras"",
IF(REGEXMATCH(S30, ""YouTube|youtube""), 
   ""YouTube (""&amp;
   IF(REGEXMATCH(S30, ""It"&amp;"aú Cultural""), ""Itaú Cultural"",
   IF(REGEXMATCH(S30, ""Rede TVT""), ""Rede TVT"",
   IF(REGEXMATCH(S30, ""Frente pelo Desencarceramento SP""), ""Frente Pelo Desencarceramento SP"",
   IF(REGEXMATCH(S30, ""TV ABA""), ""TV ABA"",
   IF(REGEXMATCH(S30, "&amp;"""TV SENADO""), ""TV Senado"",
   IF(REGEXMATCH(S30, ""Canal USP""), ""Canal USP"",
   IF(REGEXMATCH(S30, ""Douer, Zack|Zack Douer""), ""Douer Zack"",
   IF(REGEXMATCH(S30, ""PRISIONEIRO 84\.901|PRISIONEIRO 84""), ""Prisioneiro 84.901"",
   IF(REGEXMATCH("&amp;"S30, ""^[^,]*, ""), 
        PROPER(REGEXREPLACE(REGEXEXTRACT(S30, ""^([^.]*)\.""), ""^([^,]*), (.*)"", ""$2 $1"")),
        PROPER(REGEXEXTRACT(S30, ""^([^.]*)\.""))
   )))))))))&amp;"")"",
IF(REGEXMATCH(S30, ""Spotify|spotify""), 
   ""Spotify (""&amp;
   IF(R"&amp;"EGEXMATCH(S30, ""ESTRANHO SORRISO""), ""Estranho Sorriso"",
   PROPER(REGEXEXTRACT(S30, ""^([^.]*)\.""))
   )&amp;"")"",
IF(REGEXMATCH(S30, ""Vimeo|vimeo""), 
   ""Vimeo (""&amp;
   IF(REGEXMATCH(S30, ""Passa Palavra""), ""Passa Palavra"",
   PROPER(REGEXEXTRACT"&amp;"(S30, ""^([^.]*)\.""))
   )&amp;"")"",
IF(REGEXMATCH(S30, ""Blogspot""), 
   ""Blogspot (""&amp;
   IF(REGEXMATCH(S30, ""rede2deoutubro""), ""Rede 02 de Outubro"",
   PROPER(REGEXEXTRACT(S30, ""^([^.]*)\.""))
   )&amp;"")"",
IF(REGEXMATCH(S30, ""Facebook""), 
   """&amp;"Facebook (""&amp;
   IF(REGEXMATCH(S30, ""Mídia Ninja""), ""Mídia Ninja"",
   PROPER(REGEXEXTRACT(S30, ""^([^.]*)\.""))
   )&amp;"")"",
IF(REGEXMATCH(S30, ""Instagram""), 
   ""Instagram (""&amp;
   IF(REGEXMATCH(S30, ""Memórias Carandiru""), ""Memórias Carandiru"","&amp;"
   PROPER(REGEXEXTRACT(S30, ""^([^.]*)\.""))
   )&amp;"")"",
IF(REGEXMATCH(S30, ""Folha de S\. Paulo|FOLHA DE S\. PAULO""), ""Folha de S. Paulo"",
IF(REGEXMATCH(S30, ""O Estado de S\. Paulo|ESTADAO""), ""O Estado de S. Paulo"",
IF(REGEXMATCH(S30, ""salasecr"&amp;"eta""), ""Wordpress (Sala Secreta)"",
IF(REGEXMATCH(S30, ""Wikipedia|Wikipédia|WIKIPÉDIA""), ""Wikipedia"",
IF(REGEXMATCH(S30, ""VEJA|Veja""), ""Veja Abril"",
IF(REGEXMATCH(S302, ""Rede Globo|REDE GLOBO""), ""Rede Globo"",
IF(REGEXMATCH(S302, ""G1|globo\."&amp;"com""), ""G1"",
IF(REGEXMATCH(S30, ""Deutsche Welle|DW\.com""), ""Deutsche Welle"",
IF(REGEXMATCH(S30, ""CIDH|Comissão Interamericana""), ""Comissão Interamericana de Direitos Humanos (CIDH)"",
IF(REGEXMATCH(S30, ""Pastoral Carcerária""), ""Pastoral Carce"&amp;"rária"",
IF(REGEXMATCH(S30, ""Esquerda Web""), ""Esquerda Web"",
IF(REGEXMATCH(S30, ""ONU|Organização das Nações Unidas""), ""ONU Brasil"",
IF(REGEXMATCH(S30, ""Quilombo Invisível""), ""Quilombo Invisível"",
IF(REGEXMATCH(S30, ""ALESP|Assembleia Legislati"&amp;"va""), ""ALESP"",
IF(REGEXMATCH(S30, ""Revista Opera""), ""Revista Opera"",
IF(REGEXMATCH(S30, ""SP Escola de Teatro""), ""SP Escola de Teatro"",
IF(REGEXMATCH(S30, ""EMC|Espaço Memória Carandiru""), ""EMC Espaço Memória Carandiru"",
IF(REGEXMATCH(S30, "&amp;"""^RAMOS, Nuno|Nuno Ramos""), ""Nuno Ramos"",
IF(REGEXMATCH(S30, ""^VELOSO, Caetano|Caetano Veloso""), ""YouTube (Caetano Veloso)"",
IF(REGEXMATCH(S30, ""^FATOS REAIS""), ""YouTube (Fatos Reais - Topic)"",
IF(REGEXMATCH(S30, ""^SALA SECRETA""), ""Wordpres"&amp;"s (Sala Secreta)"",
PROPER(REGEXEXTRACT(S30, ""^([^.]*)\.""))
))))))))))))))))))))))))))))))))))))))))))))))))))))))))"),"Comissão Interamericana de Direitos Humanos (CIDH)")</f>
        <v>Comissão Interamericana de Direitos Humanos (CIDH)</v>
      </c>
      <c r="N30" s="11" t="s">
        <v>47</v>
      </c>
      <c r="O30" s="11" t="s">
        <v>149</v>
      </c>
      <c r="P30" s="51">
        <v>45856.0</v>
      </c>
      <c r="Q30" s="11" t="s">
        <v>154</v>
      </c>
      <c r="R30" s="70" t="str">
        <f t="shared" ref="R30:R37" si="5">HYPERLINK(LEFT(MID(S30,FIND("http",S30),LEN(S30)),FIND(". Acesso em",S30)-FIND("http",S30)),"Aqui")</f>
        <v>Aqui</v>
      </c>
      <c r="S30" s="75" t="s">
        <v>484</v>
      </c>
    </row>
    <row r="31">
      <c r="A31" s="11">
        <v>29.0</v>
      </c>
      <c r="B31" s="11" t="s">
        <v>203</v>
      </c>
      <c r="C31" s="12" t="str">
        <f>IFERROR(__xludf.DUMMYFUNCTION("IF(B31="""","""",IF(OR(
  REGEXMATCH(B31,""Performance|Instalação|Álbum|Música|Poema|Livro|Filme|Documentário|Recitação|Espetáculo|Peça|Intervenção|Desfile|Fotografia|Exposição|Charge|Grafite|Leitura pública|Fabricação de cachaça artesanal""),
  REGEXMATC"&amp;"H(B31,""dança|teatral|artístico|musical|artística"")
),""Manifestação artístico-cultural"",
IF(OR(
  REGEXMATCH(B31,""Crônica|Série|Reportagem|Podcast|Audiotour|Entrevista|Vídeo|Rádio""),
  REGEXMATCH(B31,""midiática"")
),""Produção midiática"","""")))
"),"Manifestação artístico-cultural")</f>
        <v>Manifestação artístico-cultural</v>
      </c>
      <c r="D31" s="13" t="str">
        <f>IFERROR(__xludf.DUMMYFUNCTION("IF(B31="""","""",IF(OR(
  REGEXMATCH(B31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REGEXMATCH(B31,""público|Imediato|artística|teatral|memória"")
),""Público Imediato"",
IF(REGEXMATCH(B31,""Música|Álbum|Filme|Documentário|Série|Podcast|"&amp;"Rádio|Audiotour|Entrevista|Reportagem|Crônica|Relatório|Abaixo-assinado|Manifesto|Petição|Poema|Livro|Fotografia|Curta|Live|Webinário|Charge|Leitura pública|Vídeo""),
""Público Mediado"","""")))
"),"Público Mediado")</f>
        <v>Público Mediado</v>
      </c>
      <c r="E31" s="13" t="str">
        <f>IFERROR(__xludf.DUMMYFUNCTION("IF(B31="""","""",IF(OR(
  REGEXMATCH(B31,""Live|Webinário|Virtual""),
  REGEXMATCH(B31,""online"")
),""Virtual"",
IF(REGEXMATCH(B31,""Música|Álbum|Filme|Documentário|Série|Podcast|Rádio|Audiotour|Episódio|Reportagem|Curta|Charge|Livro|Vídeo|Entrevista""),"&amp;"
""Midiático"",
IF(REGEXMATCH(B31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1" s="14">
        <v>2001.0</v>
      </c>
      <c r="G31" s="15">
        <f t="shared" si="1"/>
        <v>2001</v>
      </c>
      <c r="H31" s="11" t="s">
        <v>23</v>
      </c>
      <c r="I31" s="16" t="s">
        <v>446</v>
      </c>
      <c r="J31" s="17" t="s">
        <v>515</v>
      </c>
      <c r="K31" s="16" t="s">
        <v>103</v>
      </c>
      <c r="L31" s="18" t="s">
        <v>475</v>
      </c>
      <c r="M31" s="15" t="str">
        <f>IFERROR(__xludf.DUMMYFUNCTION("IF(REGEXMATCH(S31, ""Companhia das Letras""), ""Companhia das Letras"",
IF(REGEXMATCH(S31, ""Labortexto Editorial""), ""Labortexto Editorial"",
IF(REGEXMATCH(S31, ""Geração Editorial""), ""Geração Editorial"",
IF(REGEXMATCH(S31, ""Editora Imprensa Oficial"&amp;"|Imprensa Oficial""), ""Editora Imprensa Oficial"",
IF(REGEXMATCH(S31, ""Folha Online""), ""Folha Online"",
IF(REGEXMATCH(S31, ""FGV DIREITO SP|FGV Direito SP""), ""FGV DIREITO SP"",
IF(REGEXMATCH(S31, ""massacrecarandiru\.org\.br""), ""Memória Massacre C"&amp;"arandiru"",
IF(REGEXMATCH(S31, ""Itaú Cultural""), ""YouTube (Itaú Cultural)"",
IF(REGEXMATCH(S31, ""Passa Palavra""), ""Vimeo (Passa Palavra)"",
IF(REGEXMATCH(S31, ""rede2deoutubro\.blogspot""), ""Blogspot (Rede 02 de Outubro)"",
IF(REGEXMATCH(S31, ""Red"&amp;"e TVT""), ""YouTube (Rede TVT)"",
IF(REGEXMATCH(S31, ""Esquerda Diário""), ""Esquerda Diário"",
IF(REGEXMATCH(S31, ""GZH""), ""GZH"",
IF(REGEXMATCH(S31, ""TVPUC""), ""TVPUC"",
IF(REGEXMATCH(S31, ""Mídia Ninja.*Facebook""), ""Facebook (Mídia Ninja)"",
IF(R"&amp;"EGEXMATCH(S31, ""Memórias Carandiru.*Instagram""), ""Instagram (Memórias Carandiru)"",
IF(REGEXMATCH(S31, ""Frente pelo Desencarceramento SP""), ""YouTube (Frente Pelo Desencarceramento SP)"",
IF(REGEXMATCH(S31, ""TV ABA""), ""YouTube (TV ABA)"",
IF(REGEX"&amp;"MATCH(S31, ""TV SENADO""), ""YouTube (TV Senado)"",
IF(REGEXMATCH(S31, ""Google Arts &amp; Culture""), ""Google Arts &amp; Culture (Memória Massacre Carandiru)"",
IF(REGEXMATCH(S31, ""Anistia Internacional|ANISTIA INTERNACIONAL""), ""Anistia Internacional"",
IF(R"&amp;"EGEXMATCH(S31, ""47\.mostra|47a Mostra""), ""47a Mostra Internacional de Cinema em São Paulo"",
IF(REGEXMATCH(S31, ""Canal USP""), ""YouTube (Canal USP)"",
IF(AND(
  REGEXMATCH(S31, ""(?i)(teses?\.usp\.br|dissertacoes?\.usp\.br|repositorio\.usp\.br)""),
 "&amp;" NOT(REGEXMATCH(S31, ""Canal USP""))
), ""Biblioteca Digital de Teses e Dissertações da USP"",
IF(REGEXMATCH(S31, ""SINTRAJUSC""), ""SINTRAJUSC"",
IF(REGEXMATCH(S31, ""Agência Brasil|Agencia Brasil""), ""Agência Brasil"",
IF(REGEXMATCH(S31, ""Brasil de Fa"&amp;"to""), ""Brasil de Fato"",
IF(REGEXMATCH(S31, ""Ponte Jornalismo|pontejornalismo""), ""Ponte Jornalismo"",
IF(REGEXMATCH(S31, ""letras\.mus\.br|Letras,""), ""Letras"",
IF(REGEXMATCH(S31, ""YouTube|youtube""), 
   ""YouTube (""&amp;
   IF(REGEXMATCH(S31, ""It"&amp;"aú Cultural""), ""Itaú Cultural"",
   IF(REGEXMATCH(S31, ""Rede TVT""), ""Rede TVT"",
   IF(REGEXMATCH(S31, ""Frente pelo Desencarceramento SP""), ""Frente Pelo Desencarceramento SP"",
   IF(REGEXMATCH(S31, ""TV ABA""), ""TV ABA"",
   IF(REGEXMATCH(S31, "&amp;"""TV SENADO""), ""TV Senado"",
   IF(REGEXMATCH(S31, ""Canal USP""), ""Canal USP"",
   IF(REGEXMATCH(S31, ""Douer, Zack|Zack Douer""), ""Douer Zack"",
   IF(REGEXMATCH(S31, ""PRISIONEIRO 84\.901|PRISIONEIRO 84""), ""Prisioneiro 84.901"",
   IF(REGEXMATCH("&amp;"S31, ""^[^,]*, ""), 
        PROPER(REGEXREPLACE(REGEXEXTRACT(S31, ""^([^.]*)\.""), ""^([^,]*), (.*)"", ""$2 $1"")),
        PROPER(REGEXEXTRACT(S31, ""^([^.]*)\.""))
   )))))))))&amp;"")"",
IF(REGEXMATCH(S31, ""Spotify|spotify""), 
   ""Spotify (""&amp;
   IF(R"&amp;"EGEXMATCH(S31, ""ESTRANHO SORRISO""), ""Estranho Sorriso"",
   PROPER(REGEXEXTRACT(S31, ""^([^.]*)\.""))
   )&amp;"")"",
IF(REGEXMATCH(S31, ""Vimeo|vimeo""), 
   ""Vimeo (""&amp;
   IF(REGEXMATCH(S31, ""Passa Palavra""), ""Passa Palavra"",
   PROPER(REGEXEXTRACT"&amp;"(S31, ""^([^.]*)\.""))
   )&amp;"")"",
IF(REGEXMATCH(S31, ""Blogspot""), 
   ""Blogspot (""&amp;
   IF(REGEXMATCH(S31, ""rede2deoutubro""), ""Rede 02 de Outubro"",
   PROPER(REGEXEXTRACT(S31, ""^([^.]*)\.""))
   )&amp;"")"",
IF(REGEXMATCH(S31, ""Facebook""), 
   """&amp;"Facebook (""&amp;
   IF(REGEXMATCH(S31, ""Mídia Ninja""), ""Mídia Ninja"",
   PROPER(REGEXEXTRACT(S31, ""^([^.]*)\.""))
   )&amp;"")"",
IF(REGEXMATCH(S31, ""Instagram""), 
   ""Instagram (""&amp;
   IF(REGEXMATCH(S31, ""Memórias Carandiru""), ""Memórias Carandiru"","&amp;"
   PROPER(REGEXEXTRACT(S31, ""^([^.]*)\.""))
   )&amp;"")"",
IF(REGEXMATCH(S31, ""Folha de S\. Paulo|FOLHA DE S\. PAULO""), ""Folha de S. Paulo"",
IF(REGEXMATCH(S31, ""O Estado de S\. Paulo|ESTADAO""), ""O Estado de S. Paulo"",
IF(REGEXMATCH(S31, ""salasecr"&amp;"eta""), ""Wordpress (Sala Secreta)"",
IF(REGEXMATCH(S31, ""Wikipedia|Wikipédia|WIKIPÉDIA""), ""Wikipedia"",
IF(REGEXMATCH(S31, ""VEJA|Veja""), ""Veja Abril"",
IF(REGEXMATCH(S303, ""Rede Globo|REDE GLOBO""), ""Rede Globo"",
IF(REGEXMATCH(S303, ""G1|globo\."&amp;"com""), ""G1"",
IF(REGEXMATCH(S31, ""Deutsche Welle|DW\.com""), ""Deutsche Welle"",
IF(REGEXMATCH(S31, ""CIDH|Comissão Interamericana""), ""Comissão Interamericana de Direitos Humanos (CIDH)"",
IF(REGEXMATCH(S31, ""Pastoral Carcerária""), ""Pastoral Carce"&amp;"rária"",
IF(REGEXMATCH(S31, ""Esquerda Web""), ""Esquerda Web"",
IF(REGEXMATCH(S31, ""ONU|Organização das Nações Unidas""), ""ONU Brasil"",
IF(REGEXMATCH(S31, ""Quilombo Invisível""), ""Quilombo Invisível"",
IF(REGEXMATCH(S31, ""ALESP|Assembleia Legislati"&amp;"va""), ""ALESP"",
IF(REGEXMATCH(S31, ""Revista Opera""), ""Revista Opera"",
IF(REGEXMATCH(S31, ""SP Escola de Teatro""), ""SP Escola de Teatro"",
IF(REGEXMATCH(S31, ""EMC|Espaço Memória Carandiru""), ""EMC Espaço Memória Carandiru"",
IF(REGEXMATCH(S31, "&amp;"""^RAMOS, Nuno|Nuno Ramos""), ""Nuno Ramos"",
IF(REGEXMATCH(S31, ""^VELOSO, Caetano|Caetano Veloso""), ""YouTube (Caetano Veloso)"",
IF(REGEXMATCH(S31, ""^FATOS REAIS""), ""YouTube (Fatos Reais - Topic)"",
IF(REGEXMATCH(S31, ""^SALA SECRETA""), ""Wordpres"&amp;"s (Sala Secreta)"",
PROPER(REGEXEXTRACT(S31, ""^([^.]*)\.""))
))))))))))))))))))))))))))))))))))))))))))))))))))))))))"),"Labortexto Editorial")</f>
        <v>Labortexto Editorial</v>
      </c>
      <c r="N31" s="11" t="s">
        <v>47</v>
      </c>
      <c r="O31" s="11" t="s">
        <v>149</v>
      </c>
      <c r="P31" s="51">
        <v>45856.0</v>
      </c>
      <c r="Q31" s="11" t="s">
        <v>154</v>
      </c>
      <c r="R31" s="194" t="str">
        <f t="shared" si="5"/>
        <v>#VALUE!</v>
      </c>
      <c r="S31" s="75" t="s">
        <v>516</v>
      </c>
    </row>
    <row r="32">
      <c r="A32" s="11">
        <v>30.0</v>
      </c>
      <c r="B32" s="11" t="s">
        <v>517</v>
      </c>
      <c r="C32" s="12" t="str">
        <f>IFERROR(__xludf.DUMMYFUNCTION("IF(B32="""","""",IF(OR(
  REGEXMATCH(B32,""Performance|Instalação|Álbum|Música|Poema|Livro|Filme|Documentário|Recitação|Espetáculo|Peça|Intervenção|Desfile|Fotografia|Exposição|Charge|Grafite|Leitura pública|Fabricação de cachaça artesanal""),
  REGEXMATC"&amp;"H(B32,""dança|teatral|artístico|musical|artística"")
),""Manifestação artístico-cultural"",
IF(OR(
  REGEXMATCH(B32,""Crônica|Série|Reportagem|Podcast|Audiotour|Entrevista|Vídeo|Rádio""),
  REGEXMATCH(B32,""midiática"")
),""Produção midiática"","""")))
"),"Manifestação artístico-cultural")</f>
        <v>Manifestação artístico-cultural</v>
      </c>
      <c r="D32" s="13" t="str">
        <f>IFERROR(__xludf.DUMMYFUNCTION("IF(B32="""","""",IF(OR(
  REGEXMATCH(B32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REGEXMATCH(B32,""público|Imediato|artística|teatral|memória"")
),""Público Imediato"",
IF(REGEXMATCH(B32,""Música|Álbum|Filme|Documentário|Série|Podcast|"&amp;"Rádio|Audiotour|Entrevista|Reportagem|Crônica|Relatório|Abaixo-assinado|Manifesto|Petição|Poema|Livro|Fotografia|Curta|Live|Webinário|Charge|Leitura pública|Vídeo""),
""Público Mediado"","""")))
"),"Público Imediato")</f>
        <v>Público Imediato</v>
      </c>
      <c r="E32" s="13" t="str">
        <f>IFERROR(__xludf.DUMMYFUNCTION("IF(B32="""","""",IF(OR(
  REGEXMATCH(B32,""Live|Webinário|Virtual""),
  REGEXMATCH(B32,""online"")
),""Virtual"",
IF(REGEXMATCH(B32,""Música|Álbum|Filme|Documentário|Série|Podcast|Rádio|Audiotour|Episódio|Reportagem|Curta|Charge|Livro|Vídeo|Entrevista""),"&amp;"
""Midiático"",
IF(REGEXMATCH(B32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2" s="14">
        <v>2001.0</v>
      </c>
      <c r="G32" s="15">
        <f t="shared" si="1"/>
        <v>2001</v>
      </c>
      <c r="H32" s="11" t="s">
        <v>518</v>
      </c>
      <c r="I32" s="16" t="s">
        <v>519</v>
      </c>
      <c r="J32" s="17" t="s">
        <v>520</v>
      </c>
      <c r="K32" s="16" t="s">
        <v>103</v>
      </c>
      <c r="L32" s="18" t="s">
        <v>489</v>
      </c>
      <c r="M32" s="15" t="str">
        <f>IFERROR(__xludf.DUMMYFUNCTION("IF(REGEXMATCH(S32, ""Companhia das Letras""), ""Companhia das Letras"",
IF(REGEXMATCH(S32, ""Labortexto Editorial""), ""Labortexto Editorial"",
IF(REGEXMATCH(S32, ""Geração Editorial""), ""Geração Editorial"",
IF(REGEXMATCH(S32, ""Editora Imprensa Oficial"&amp;"|Imprensa Oficial""), ""Editora Imprensa Oficial"",
IF(REGEXMATCH(S32, ""Folha Online""), ""Folha Online"",
IF(REGEXMATCH(S32, ""FGV DIREITO SP|FGV Direito SP""), ""FGV DIREITO SP"",
IF(REGEXMATCH(S32, ""massacrecarandiru\.org\.br""), ""Memória Massacre C"&amp;"arandiru"",
IF(REGEXMATCH(S32, ""Itaú Cultural""), ""YouTube (Itaú Cultural)"",
IF(REGEXMATCH(S32, ""Passa Palavra""), ""Vimeo (Passa Palavra)"",
IF(REGEXMATCH(S32, ""rede2deoutubro\.blogspot""), ""Blogspot (Rede 02 de Outubro)"",
IF(REGEXMATCH(S32, ""Red"&amp;"e TVT""), ""YouTube (Rede TVT)"",
IF(REGEXMATCH(S32, ""Esquerda Diário""), ""Esquerda Diário"",
IF(REGEXMATCH(S32, ""GZH""), ""GZH"",
IF(REGEXMATCH(S32, ""TVPUC""), ""TVPUC"",
IF(REGEXMATCH(S32, ""Mídia Ninja.*Facebook""), ""Facebook (Mídia Ninja)"",
IF(R"&amp;"EGEXMATCH(S32, ""Memórias Carandiru.*Instagram""), ""Instagram (Memórias Carandiru)"",
IF(REGEXMATCH(S32, ""Frente pelo Desencarceramento SP""), ""YouTube (Frente Pelo Desencarceramento SP)"",
IF(REGEXMATCH(S32, ""TV ABA""), ""YouTube (TV ABA)"",
IF(REGEX"&amp;"MATCH(S32, ""TV SENADO""), ""YouTube (TV Senado)"",
IF(REGEXMATCH(S32, ""Google Arts &amp; Culture""), ""Google Arts &amp; Culture (Memória Massacre Carandiru)"",
IF(REGEXMATCH(S32, ""Anistia Internacional|ANISTIA INTERNACIONAL""), ""Anistia Internacional"",
IF(R"&amp;"EGEXMATCH(S32, ""47\.mostra|47a Mostra""), ""47a Mostra Internacional de Cinema em São Paulo"",
IF(REGEXMATCH(S32, ""Canal USP""), ""YouTube (Canal USP)"",
IF(AND(
  REGEXMATCH(S32, ""(?i)(teses?\.usp\.br|dissertacoes?\.usp\.br|repositorio\.usp\.br)""),
 "&amp;" NOT(REGEXMATCH(S32, ""Canal USP""))
), ""Biblioteca Digital de Teses e Dissertações da USP"",
IF(REGEXMATCH(S32, ""SINTRAJUSC""), ""SINTRAJUSC"",
IF(REGEXMATCH(S32, ""Agência Brasil|Agencia Brasil""), ""Agência Brasil"",
IF(REGEXMATCH(S32, ""Brasil de Fa"&amp;"to""), ""Brasil de Fato"",
IF(REGEXMATCH(S32, ""Ponte Jornalismo|pontejornalismo""), ""Ponte Jornalismo"",
IF(REGEXMATCH(S32, ""letras\.mus\.br|Letras,""), ""Letras"",
IF(REGEXMATCH(S32, ""YouTube|youtube""), 
   ""YouTube (""&amp;
   IF(REGEXMATCH(S32, ""It"&amp;"aú Cultural""), ""Itaú Cultural"",
   IF(REGEXMATCH(S32, ""Rede TVT""), ""Rede TVT"",
   IF(REGEXMATCH(S32, ""Frente pelo Desencarceramento SP""), ""Frente Pelo Desencarceramento SP"",
   IF(REGEXMATCH(S32, ""TV ABA""), ""TV ABA"",
   IF(REGEXMATCH(S32, "&amp;"""TV SENADO""), ""TV Senado"",
   IF(REGEXMATCH(S32, ""Canal USP""), ""Canal USP"",
   IF(REGEXMATCH(S32, ""Douer, Zack|Zack Douer""), ""Douer Zack"",
   IF(REGEXMATCH(S32, ""PRISIONEIRO 84\.901|PRISIONEIRO 84""), ""Prisioneiro 84.901"",
   IF(REGEXMATCH("&amp;"S32, ""^[^,]*, ""), 
        PROPER(REGEXREPLACE(REGEXEXTRACT(S32, ""^([^.]*)\.""), ""^([^,]*), (.*)"", ""$2 $1"")),
        PROPER(REGEXEXTRACT(S32, ""^([^.]*)\.""))
   )))))))))&amp;"")"",
IF(REGEXMATCH(S32, ""Spotify|spotify""), 
   ""Spotify (""&amp;
   IF(R"&amp;"EGEXMATCH(S32, ""ESTRANHO SORRISO""), ""Estranho Sorriso"",
   PROPER(REGEXEXTRACT(S32, ""^([^.]*)\.""))
   )&amp;"")"",
IF(REGEXMATCH(S32, ""Vimeo|vimeo""), 
   ""Vimeo (""&amp;
   IF(REGEXMATCH(S32, ""Passa Palavra""), ""Passa Palavra"",
   PROPER(REGEXEXTRACT"&amp;"(S32, ""^([^.]*)\.""))
   )&amp;"")"",
IF(REGEXMATCH(S32, ""Blogspot""), 
   ""Blogspot (""&amp;
   IF(REGEXMATCH(S32, ""rede2deoutubro""), ""Rede 02 de Outubro"",
   PROPER(REGEXEXTRACT(S32, ""^([^.]*)\.""))
   )&amp;"")"",
IF(REGEXMATCH(S32, ""Facebook""), 
   """&amp;"Facebook (""&amp;
   IF(REGEXMATCH(S32, ""Mídia Ninja""), ""Mídia Ninja"",
   PROPER(REGEXEXTRACT(S32, ""^([^.]*)\.""))
   )&amp;"")"",
IF(REGEXMATCH(S32, ""Instagram""), 
   ""Instagram (""&amp;
   IF(REGEXMATCH(S32, ""Memórias Carandiru""), ""Memórias Carandiru"","&amp;"
   PROPER(REGEXEXTRACT(S32, ""^([^.]*)\.""))
   )&amp;"")"",
IF(REGEXMATCH(S32, ""Folha de S\. Paulo|FOLHA DE S\. PAULO""), ""Folha de S. Paulo"",
IF(REGEXMATCH(S32, ""O Estado de S\. Paulo|ESTADAO""), ""O Estado de S. Paulo"",
IF(REGEXMATCH(S32, ""salasecr"&amp;"eta""), ""Wordpress (Sala Secreta)"",
IF(REGEXMATCH(S32, ""Wikipedia|Wikipédia|WIKIPÉDIA""), ""Wikipedia"",
IF(REGEXMATCH(S32, ""VEJA|Veja""), ""Veja Abril"",
IF(REGEXMATCH(S304, ""Rede Globo|REDE GLOBO""), ""Rede Globo"",
IF(REGEXMATCH(S304, ""G1|globo\."&amp;"com""), ""G1"",
IF(REGEXMATCH(S32, ""Deutsche Welle|DW\.com""), ""Deutsche Welle"",
IF(REGEXMATCH(S32, ""CIDH|Comissão Interamericana""), ""Comissão Interamericana de Direitos Humanos (CIDH)"",
IF(REGEXMATCH(S32, ""Pastoral Carcerária""), ""Pastoral Carce"&amp;"rária"",
IF(REGEXMATCH(S32, ""Esquerda Web""), ""Esquerda Web"",
IF(REGEXMATCH(S32, ""ONU|Organização das Nações Unidas""), ""ONU Brasil"",
IF(REGEXMATCH(S32, ""Quilombo Invisível""), ""Quilombo Invisível"",
IF(REGEXMATCH(S32, ""ALESP|Assembleia Legislati"&amp;"va""), ""ALESP"",
IF(REGEXMATCH(S32, ""Revista Opera""), ""Revista Opera"",
IF(REGEXMATCH(S32, ""SP Escola de Teatro""), ""SP Escola de Teatro"",
IF(REGEXMATCH(S32, ""EMC|Espaço Memória Carandiru""), ""EMC Espaço Memória Carandiru"",
IF(REGEXMATCH(S32, "&amp;"""^RAMOS, Nuno|Nuno Ramos""), ""Nuno Ramos"",
IF(REGEXMATCH(S32, ""^VELOSO, Caetano|Caetano Veloso""), ""YouTube (Caetano Veloso)"",
IF(REGEXMATCH(S32, ""^FATOS REAIS""), ""YouTube (Fatos Reais - Topic)"",
IF(REGEXMATCH(S32, ""^SALA SECRETA""), ""Wordpres"&amp;"s (Sala Secreta)"",
PROPER(REGEXEXTRACT(S32, ""^([^.]*)\.""))
))))))))))))))))))))))))))))))))))))))))))))))))))))))))"),"FGV DIREITO SP")</f>
        <v>FGV DIREITO SP</v>
      </c>
      <c r="N32" s="11" t="s">
        <v>47</v>
      </c>
      <c r="O32" s="11" t="s">
        <v>221</v>
      </c>
      <c r="P32" s="51">
        <v>45856.0</v>
      </c>
      <c r="Q32" s="11" t="s">
        <v>154</v>
      </c>
      <c r="R32" s="70" t="str">
        <f t="shared" si="5"/>
        <v>Aqui</v>
      </c>
      <c r="S32" s="75" t="s">
        <v>521</v>
      </c>
    </row>
    <row r="33">
      <c r="A33" s="11">
        <v>31.0</v>
      </c>
      <c r="B33" s="11" t="s">
        <v>211</v>
      </c>
      <c r="C33" s="12" t="str">
        <f>IFERROR(__xludf.DUMMYFUNCTION("IF(B33="""","""",IF(OR(
  REGEXMATCH(B33,""Performance|Instalação|Álbum|Música|Poema|Livro|Filme|Documentário|Recitação|Espetáculo|Peça|Intervenção|Desfile|Fotografia|Exposição|Charge|Grafite|Leitura pública|Fabricação de cachaça artesanal""),
  REGEXMATC"&amp;"H(B33,""dança|teatral|artístico|musical|artística"")
),""Manifestação artístico-cultural"",
IF(OR(
  REGEXMATCH(B33,""Crônica|Série|Reportagem|Podcast|Audiotour|Entrevista|Vídeo|Rádio""),
  REGEXMATCH(B33,""midiática"")
),""Produção midiática"","""")))
"),"Manifestação artístico-cultural")</f>
        <v>Manifestação artístico-cultural</v>
      </c>
      <c r="D33" s="13" t="str">
        <f>IFERROR(__xludf.DUMMYFUNCTION("IF(B33="""","""",IF(OR(
  REGEXMATCH(B33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REGEXMATCH(B33,""público|Imediato|artística|teatral|memória"")
),""Público Imediato"",
IF(REGEXMATCH(B33,""Música|Álbum|Filme|Documentário|Série|Podcast|"&amp;"Rádio|Audiotour|Entrevista|Reportagem|Crônica|Relatório|Abaixo-assinado|Manifesto|Petição|Poema|Livro|Fotografia|Curta|Live|Webinário|Charge|Leitura pública|Vídeo""),
""Público Mediado"","""")))
"),"Público Mediado")</f>
        <v>Público Mediado</v>
      </c>
      <c r="E33" s="13" t="str">
        <f>IFERROR(__xludf.DUMMYFUNCTION("IF(B33="""","""",IF(OR(
  REGEXMATCH(B33,""Live|Webinário|Virtual""),
  REGEXMATCH(B33,""online"")
),""Virtual"",
IF(REGEXMATCH(B33,""Música|Álbum|Filme|Documentário|Série|Podcast|Rádio|Audiotour|Episódio|Reportagem|Curta|Charge|Livro|Vídeo|Entrevista""),"&amp;"
""Midiático"",
IF(REGEXMATCH(B33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3" s="14">
        <v>2001.0</v>
      </c>
      <c r="G33" s="15">
        <f t="shared" si="1"/>
        <v>2001</v>
      </c>
      <c r="H33" s="11" t="s">
        <v>23</v>
      </c>
      <c r="I33" s="16" t="s">
        <v>476</v>
      </c>
      <c r="J33" s="17" t="s">
        <v>522</v>
      </c>
      <c r="K33" s="16" t="s">
        <v>222</v>
      </c>
      <c r="L33" s="18" t="s">
        <v>106</v>
      </c>
      <c r="M33" s="15" t="str">
        <f>IFERROR(__xludf.DUMMYFUNCTION("IF(REGEXMATCH(S33, ""Companhia das Letras""), ""Companhia das Letras"",
IF(REGEXMATCH(S33, ""Labortexto Editorial""), ""Labortexto Editorial"",
IF(REGEXMATCH(S33, ""Geração Editorial""), ""Geração Editorial"",
IF(REGEXMATCH(S33, ""Editora Imprensa Oficial"&amp;"|Imprensa Oficial""), ""Editora Imprensa Oficial"",
IF(REGEXMATCH(S33, ""Folha Online""), ""Folha Online"",
IF(REGEXMATCH(S33, ""FGV DIREITO SP|FGV Direito SP""), ""FGV DIREITO SP"",
IF(REGEXMATCH(S33, ""massacrecarandiru\.org\.br""), ""Memória Massacre C"&amp;"arandiru"",
IF(REGEXMATCH(S33, ""Itaú Cultural""), ""YouTube (Itaú Cultural)"",
IF(REGEXMATCH(S33, ""Passa Palavra""), ""Vimeo (Passa Palavra)"",
IF(REGEXMATCH(S33, ""rede2deoutubro\.blogspot""), ""Blogspot (Rede 02 de Outubro)"",
IF(REGEXMATCH(S33, ""Red"&amp;"e TVT""), ""YouTube (Rede TVT)"",
IF(REGEXMATCH(S33, ""Esquerda Diário""), ""Esquerda Diário"",
IF(REGEXMATCH(S33, ""GZH""), ""GZH"",
IF(REGEXMATCH(S33, ""TVPUC""), ""TVPUC"",
IF(REGEXMATCH(S33, ""Mídia Ninja.*Facebook""), ""Facebook (Mídia Ninja)"",
IF(R"&amp;"EGEXMATCH(S33, ""Memórias Carandiru.*Instagram""), ""Instagram (Memórias Carandiru)"",
IF(REGEXMATCH(S33, ""Frente pelo Desencarceramento SP""), ""YouTube (Frente Pelo Desencarceramento SP)"",
IF(REGEXMATCH(S33, ""TV ABA""), ""YouTube (TV ABA)"",
IF(REGEX"&amp;"MATCH(S33, ""TV SENADO""), ""YouTube (TV Senado)"",
IF(REGEXMATCH(S33, ""Google Arts &amp; Culture""), ""Google Arts &amp; Culture (Memória Massacre Carandiru)"",
IF(REGEXMATCH(S33, ""Anistia Internacional|ANISTIA INTERNACIONAL""), ""Anistia Internacional"",
IF(R"&amp;"EGEXMATCH(S33, ""47\.mostra|47a Mostra""), ""47a Mostra Internacional de Cinema em São Paulo"",
IF(REGEXMATCH(S33, ""Canal USP""), ""YouTube (Canal USP)"",
IF(AND(
  REGEXMATCH(S33, ""(?i)(teses?\.usp\.br|dissertacoes?\.usp\.br|repositorio\.usp\.br)""),
 "&amp;" NOT(REGEXMATCH(S33, ""Canal USP""))
), ""Biblioteca Digital de Teses e Dissertações da USP"",
IF(REGEXMATCH(S33, ""SINTRAJUSC""), ""SINTRAJUSC"",
IF(REGEXMATCH(S33, ""Agência Brasil|Agencia Brasil""), ""Agência Brasil"",
IF(REGEXMATCH(S33, ""Brasil de Fa"&amp;"to""), ""Brasil de Fato"",
IF(REGEXMATCH(S33, ""Ponte Jornalismo|pontejornalismo""), ""Ponte Jornalismo"",
IF(REGEXMATCH(S33, ""letras\.mus\.br|Letras,""), ""Letras"",
IF(REGEXMATCH(S33, ""YouTube|youtube""), 
   ""YouTube (""&amp;
   IF(REGEXMATCH(S33, ""It"&amp;"aú Cultural""), ""Itaú Cultural"",
   IF(REGEXMATCH(S33, ""Rede TVT""), ""Rede TVT"",
   IF(REGEXMATCH(S33, ""Frente pelo Desencarceramento SP""), ""Frente Pelo Desencarceramento SP"",
   IF(REGEXMATCH(S33, ""TV ABA""), ""TV ABA"",
   IF(REGEXMATCH(S33, "&amp;"""TV SENADO""), ""TV Senado"",
   IF(REGEXMATCH(S33, ""Canal USP""), ""Canal USP"",
   IF(REGEXMATCH(S33, ""Douer, Zack|Zack Douer""), ""Douer Zack"",
   IF(REGEXMATCH(S33, ""PRISIONEIRO 84\.901|PRISIONEIRO 84""), ""Prisioneiro 84.901"",
   IF(REGEXMATCH("&amp;"S33, ""^[^,]*, ""), 
        PROPER(REGEXREPLACE(REGEXEXTRACT(S33, ""^([^.]*)\.""), ""^([^,]*), (.*)"", ""$2 $1"")),
        PROPER(REGEXEXTRACT(S33, ""^([^.]*)\.""))
   )))))))))&amp;"")"",
IF(REGEXMATCH(S33, ""Spotify|spotify""), 
   ""Spotify (""&amp;
   IF(R"&amp;"EGEXMATCH(S33, ""ESTRANHO SORRISO""), ""Estranho Sorriso"",
   PROPER(REGEXEXTRACT(S33, ""^([^.]*)\.""))
   )&amp;"")"",
IF(REGEXMATCH(S33, ""Vimeo|vimeo""), 
   ""Vimeo (""&amp;
   IF(REGEXMATCH(S33, ""Passa Palavra""), ""Passa Palavra"",
   PROPER(REGEXEXTRACT"&amp;"(S33, ""^([^.]*)\.""))
   )&amp;"")"",
IF(REGEXMATCH(S33, ""Blogspot""), 
   ""Blogspot (""&amp;
   IF(REGEXMATCH(S33, ""rede2deoutubro""), ""Rede 02 de Outubro"",
   PROPER(REGEXEXTRACT(S33, ""^([^.]*)\.""))
   )&amp;"")"",
IF(REGEXMATCH(S33, ""Facebook""), 
   """&amp;"Facebook (""&amp;
   IF(REGEXMATCH(S33, ""Mídia Ninja""), ""Mídia Ninja"",
   PROPER(REGEXEXTRACT(S33, ""^([^.]*)\.""))
   )&amp;"")"",
IF(REGEXMATCH(S33, ""Instagram""), 
   ""Instagram (""&amp;
   IF(REGEXMATCH(S33, ""Memórias Carandiru""), ""Memórias Carandiru"","&amp;"
   PROPER(REGEXEXTRACT(S33, ""^([^.]*)\.""))
   )&amp;"")"",
IF(REGEXMATCH(S33, ""Folha de S\. Paulo|FOLHA DE S\. PAULO""), ""Folha de S. Paulo"",
IF(REGEXMATCH(S33, ""O Estado de S\. Paulo|ESTADAO""), ""O Estado de S. Paulo"",
IF(REGEXMATCH(S33, ""salasecr"&amp;"eta""), ""Wordpress (Sala Secreta)"",
IF(REGEXMATCH(S33, ""Wikipedia|Wikipédia|WIKIPÉDIA""), ""Wikipedia"",
IF(REGEXMATCH(S33, ""VEJA|Veja""), ""Veja Abril"",
IF(REGEXMATCH(S305, ""Rede Globo|REDE GLOBO""), ""Rede Globo"",
IF(REGEXMATCH(S305, ""G1|globo\."&amp;"com""), ""G1"",
IF(REGEXMATCH(S33, ""Deutsche Welle|DW\.com""), ""Deutsche Welle"",
IF(REGEXMATCH(S33, ""CIDH|Comissão Interamericana""), ""Comissão Interamericana de Direitos Humanos (CIDH)"",
IF(REGEXMATCH(S33, ""Pastoral Carcerária""), ""Pastoral Carce"&amp;"rária"",
IF(REGEXMATCH(S33, ""Esquerda Web""), ""Esquerda Web"",
IF(REGEXMATCH(S33, ""ONU|Organização das Nações Unidas""), ""ONU Brasil"",
IF(REGEXMATCH(S33, ""Quilombo Invisível""), ""Quilombo Invisível"",
IF(REGEXMATCH(S33, ""ALESP|Assembleia Legislati"&amp;"va""), ""ALESP"",
IF(REGEXMATCH(S33, ""Revista Opera""), ""Revista Opera"",
IF(REGEXMATCH(S33, ""SP Escola de Teatro""), ""SP Escola de Teatro"",
IF(REGEXMATCH(S33, ""EMC|Espaço Memória Carandiru""), ""EMC Espaço Memória Carandiru"",
IF(REGEXMATCH(S33, "&amp;"""^RAMOS, Nuno|Nuno Ramos""), ""Nuno Ramos"",
IF(REGEXMATCH(S33, ""^VELOSO, Caetano|Caetano Veloso""), ""YouTube (Caetano Veloso)"",
IF(REGEXMATCH(S33, ""^FATOS REAIS""), ""YouTube (Fatos Reais - Topic)"",
IF(REGEXMATCH(S33, ""^SALA SECRETA""), ""Wordpres"&amp;"s (Sala Secreta)"",
PROPER(REGEXEXTRACT(S33, ""^([^.]*)\.""))
))))))))))))))))))))))))))))))))))))))))))))))))))))))))"),"YouTube (Sabotage)")</f>
        <v>YouTube (Sabotage)</v>
      </c>
      <c r="N33" s="11" t="s">
        <v>47</v>
      </c>
      <c r="O33" s="11" t="s">
        <v>149</v>
      </c>
      <c r="P33" s="51">
        <v>45856.0</v>
      </c>
      <c r="Q33" s="11" t="s">
        <v>154</v>
      </c>
      <c r="R33" s="70" t="str">
        <f t="shared" si="5"/>
        <v>Aqui</v>
      </c>
      <c r="S33" s="75" t="s">
        <v>523</v>
      </c>
    </row>
    <row r="34">
      <c r="A34" s="11">
        <v>32.0</v>
      </c>
      <c r="B34" s="11" t="s">
        <v>524</v>
      </c>
      <c r="C34" s="122" t="s">
        <v>165</v>
      </c>
      <c r="D34" s="13" t="str">
        <f>IFERROR(__xludf.DUMMYFUNCTION("IF(B34="""","""",IF(OR(
  REGEXMATCH(B34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REGEXMATCH(B34,""público|Imediato|artística|teatral|memória"")
),""Público Imediato"",
IF(REGEXMATCH(B34,""Música|Álbum|Filme|Documentário|Série|Podcast|"&amp;"Rádio|Audiotour|Entrevista|Reportagem|Crônica|Relatório|Abaixo-assinado|Manifesto|Petição|Poema|Livro|Fotografia|Curta|Live|Webinário|Charge|Leitura pública|Vídeo""),
""Público Mediado"","""")))
"),"Público Imediato")</f>
        <v>Público Imediato</v>
      </c>
      <c r="E34" s="13" t="str">
        <f>IFERROR(__xludf.DUMMYFUNCTION("IF(B34="""","""",IF(OR(
  REGEXMATCH(B34,""Live|Webinário|Virtual""),
  REGEXMATCH(B34,""online"")
),""Virtual"",
IF(REGEXMATCH(B34,""Música|Álbum|Filme|Documentário|Série|Podcast|Rádio|Audiotour|Episódio|Reportagem|Curta|Charge|Livro|Vídeo|Entrevista""),"&amp;"
""Midiático"",
IF(REGEXMATCH(B34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4" s="183">
        <v>37062.0</v>
      </c>
      <c r="G34" s="15">
        <f t="shared" si="1"/>
        <v>2001</v>
      </c>
      <c r="H34" s="11" t="s">
        <v>525</v>
      </c>
      <c r="I34" s="16" t="s">
        <v>526</v>
      </c>
      <c r="J34" s="17" t="s">
        <v>527</v>
      </c>
      <c r="K34" s="16" t="s">
        <v>26</v>
      </c>
      <c r="L34" s="18" t="s">
        <v>489</v>
      </c>
      <c r="M34" s="15" t="str">
        <f>IFERROR(__xludf.DUMMYFUNCTION("IF(REGEXMATCH(S34, ""Companhia das Letras""), ""Companhia das Letras"",
IF(REGEXMATCH(S34, ""Labortexto Editorial""), ""Labortexto Editorial"",
IF(REGEXMATCH(S34, ""Geração Editorial""), ""Geração Editorial"",
IF(REGEXMATCH(S34, ""Editora Imprensa Oficial"&amp;"|Imprensa Oficial""), ""Editora Imprensa Oficial"",
IF(REGEXMATCH(S34, ""Folha Online""), ""Folha Online"",
IF(REGEXMATCH(S34, ""FGV DIREITO SP|FGV Direito SP""), ""FGV DIREITO SP"",
IF(REGEXMATCH(S34, ""massacrecarandiru\.org\.br""), ""Memória Massacre C"&amp;"arandiru"",
IF(REGEXMATCH(S34, ""Itaú Cultural""), ""YouTube (Itaú Cultural)"",
IF(REGEXMATCH(S34, ""Passa Palavra""), ""Vimeo (Passa Palavra)"",
IF(REGEXMATCH(S34, ""rede2deoutubro\.blogspot""), ""Blogspot (Rede 02 de Outubro)"",
IF(REGEXMATCH(S34, ""Red"&amp;"e TVT""), ""YouTube (Rede TVT)"",
IF(REGEXMATCH(S34, ""Esquerda Diário""), ""Esquerda Diário"",
IF(REGEXMATCH(S34, ""GZH""), ""GZH"",
IF(REGEXMATCH(S34, ""TVPUC""), ""TVPUC"",
IF(REGEXMATCH(S34, ""Mídia Ninja.*Facebook""), ""Facebook (Mídia Ninja)"",
IF(R"&amp;"EGEXMATCH(S34, ""Memórias Carandiru.*Instagram""), ""Instagram (Memórias Carandiru)"",
IF(REGEXMATCH(S34, ""Frente pelo Desencarceramento SP""), ""YouTube (Frente Pelo Desencarceramento SP)"",
IF(REGEXMATCH(S34, ""TV ABA""), ""YouTube (TV ABA)"",
IF(REGEX"&amp;"MATCH(S34, ""TV SENADO""), ""YouTube (TV Senado)"",
IF(REGEXMATCH(S34, ""Google Arts &amp; Culture""), ""Google Arts &amp; Culture (Memória Massacre Carandiru)"",
IF(REGEXMATCH(S34, ""Anistia Internacional|ANISTIA INTERNACIONAL""), ""Anistia Internacional"",
IF(R"&amp;"EGEXMATCH(S34, ""47\.mostra|47a Mostra""), ""47a Mostra Internacional de Cinema em São Paulo"",
IF(REGEXMATCH(S34, ""Canal USP""), ""YouTube (Canal USP)"",
IF(AND(
  REGEXMATCH(S34, ""(?i)(teses?\.usp\.br|dissertacoes?\.usp\.br|repositorio\.usp\.br)""),
 "&amp;" NOT(REGEXMATCH(S34, ""Canal USP""))
), ""Biblioteca Digital de Teses e Dissertações da USP"",
IF(REGEXMATCH(S34, ""SINTRAJUSC""), ""SINTRAJUSC"",
IF(REGEXMATCH(S34, ""Agência Brasil|Agencia Brasil""), ""Agência Brasil"",
IF(REGEXMATCH(S34, ""Brasil de Fa"&amp;"to""), ""Brasil de Fato"",
IF(REGEXMATCH(S34, ""Ponte Jornalismo|pontejornalismo""), ""Ponte Jornalismo"",
IF(REGEXMATCH(S34, ""letras\.mus\.br|Letras,""), ""Letras"",
IF(REGEXMATCH(S34, ""YouTube|youtube""), 
   ""YouTube (""&amp;
   IF(REGEXMATCH(S34, ""It"&amp;"aú Cultural""), ""Itaú Cultural"",
   IF(REGEXMATCH(S34, ""Rede TVT""), ""Rede TVT"",
   IF(REGEXMATCH(S34, ""Frente pelo Desencarceramento SP""), ""Frente Pelo Desencarceramento SP"",
   IF(REGEXMATCH(S34, ""TV ABA""), ""TV ABA"",
   IF(REGEXMATCH(S34, "&amp;"""TV SENADO""), ""TV Senado"",
   IF(REGEXMATCH(S34, ""Canal USP""), ""Canal USP"",
   IF(REGEXMATCH(S34, ""Douer, Zack|Zack Douer""), ""Douer Zack"",
   IF(REGEXMATCH(S34, ""PRISIONEIRO 84\.901|PRISIONEIRO 84""), ""Prisioneiro 84.901"",
   IF(REGEXMATCH("&amp;"S34, ""^[^,]*, ""), 
        PROPER(REGEXREPLACE(REGEXEXTRACT(S34, ""^([^.]*)\.""), ""^([^,]*), (.*)"", ""$2 $1"")),
        PROPER(REGEXEXTRACT(S34, ""^([^.]*)\.""))
   )))))))))&amp;"")"",
IF(REGEXMATCH(S34, ""Spotify|spotify""), 
   ""Spotify (""&amp;
   IF(R"&amp;"EGEXMATCH(S34, ""ESTRANHO SORRISO""), ""Estranho Sorriso"",
   PROPER(REGEXEXTRACT(S34, ""^([^.]*)\.""))
   )&amp;"")"",
IF(REGEXMATCH(S34, ""Vimeo|vimeo""), 
   ""Vimeo (""&amp;
   IF(REGEXMATCH(S34, ""Passa Palavra""), ""Passa Palavra"",
   PROPER(REGEXEXTRACT"&amp;"(S34, ""^([^.]*)\.""))
   )&amp;"")"",
IF(REGEXMATCH(S34, ""Blogspot""), 
   ""Blogspot (""&amp;
   IF(REGEXMATCH(S34, ""rede2deoutubro""), ""Rede 02 de Outubro"",
   PROPER(REGEXEXTRACT(S34, ""^([^.]*)\.""))
   )&amp;"")"",
IF(REGEXMATCH(S34, ""Facebook""), 
   """&amp;"Facebook (""&amp;
   IF(REGEXMATCH(S34, ""Mídia Ninja""), ""Mídia Ninja"",
   PROPER(REGEXEXTRACT(S34, ""^([^.]*)\.""))
   )&amp;"")"",
IF(REGEXMATCH(S34, ""Instagram""), 
   ""Instagram (""&amp;
   IF(REGEXMATCH(S34, ""Memórias Carandiru""), ""Memórias Carandiru"","&amp;"
   PROPER(REGEXEXTRACT(S34, ""^([^.]*)\.""))
   )&amp;"")"",
IF(REGEXMATCH(S34, ""Folha de S\. Paulo|FOLHA DE S\. PAULO""), ""Folha de S. Paulo"",
IF(REGEXMATCH(S34, ""O Estado de S\. Paulo|ESTADAO""), ""O Estado de S. Paulo"",
IF(REGEXMATCH(S34, ""salasecr"&amp;"eta""), ""Wordpress (Sala Secreta)"",
IF(REGEXMATCH(S34, ""Wikipedia|Wikipédia|WIKIPÉDIA""), ""Wikipedia"",
IF(REGEXMATCH(S34, ""VEJA|Veja""), ""Veja Abril"",
IF(REGEXMATCH(S306, ""Rede Globo|REDE GLOBO""), ""Rede Globo"",
IF(REGEXMATCH(S306, ""G1|globo\."&amp;"com""), ""G1"",
IF(REGEXMATCH(S34, ""Deutsche Welle|DW\.com""), ""Deutsche Welle"",
IF(REGEXMATCH(S34, ""CIDH|Comissão Interamericana""), ""Comissão Interamericana de Direitos Humanos (CIDH)"",
IF(REGEXMATCH(S34, ""Pastoral Carcerária""), ""Pastoral Carce"&amp;"rária"",
IF(REGEXMATCH(S34, ""Esquerda Web""), ""Esquerda Web"",
IF(REGEXMATCH(S34, ""ONU|Organização das Nações Unidas""), ""ONU Brasil"",
IF(REGEXMATCH(S34, ""Quilombo Invisível""), ""Quilombo Invisível"",
IF(REGEXMATCH(S34, ""ALESP|Assembleia Legislati"&amp;"va""), ""ALESP"",
IF(REGEXMATCH(S34, ""Revista Opera""), ""Revista Opera"",
IF(REGEXMATCH(S34, ""SP Escola de Teatro""), ""SP Escola de Teatro"",
IF(REGEXMATCH(S34, ""EMC|Espaço Memória Carandiru""), ""EMC Espaço Memória Carandiru"",
IF(REGEXMATCH(S34, "&amp;"""^RAMOS, Nuno|Nuno Ramos""), ""Nuno Ramos"",
IF(REGEXMATCH(S34, ""^VELOSO, Caetano|Caetano Veloso""), ""YouTube (Caetano Veloso)"",
IF(REGEXMATCH(S34, ""^FATOS REAIS""), ""YouTube (Fatos Reais - Topic)"",
IF(REGEXMATCH(S34, ""^SALA SECRETA""), ""Wordpres"&amp;"s (Sala Secreta)"",
PROPER(REGEXEXTRACT(S34, ""^([^.]*)\.""))
))))))))))))))))))))))))))))))))))))))))))))))))))))))))"),"Folha Online")</f>
        <v>Folha Online</v>
      </c>
      <c r="N34" s="11" t="s">
        <v>47</v>
      </c>
      <c r="O34" s="11" t="s">
        <v>221</v>
      </c>
      <c r="P34" s="51">
        <v>45854.0</v>
      </c>
      <c r="Q34" s="11" t="s">
        <v>154</v>
      </c>
      <c r="R34" s="70" t="str">
        <f t="shared" si="5"/>
        <v>Aqui</v>
      </c>
      <c r="S34" s="75" t="s">
        <v>528</v>
      </c>
    </row>
    <row r="35">
      <c r="A35" s="11">
        <v>33.0</v>
      </c>
      <c r="B35" s="11" t="s">
        <v>228</v>
      </c>
      <c r="C35" s="122" t="s">
        <v>165</v>
      </c>
      <c r="D35" s="13" t="str">
        <f>IFERROR(__xludf.DUMMYFUNCTION("IF(B35="""","""",IF(OR(
  REGEXMATCH(B35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REGEXMATCH(B35,""público|Imediato|artística|teatral|memória"")
),""Público Imediato"",
IF(REGEXMATCH(B35,""Música|Álbum|Filme|Documentário|Série|Podcast|"&amp;"Rádio|Audiotour|Entrevista|Reportagem|Crônica|Relatório|Abaixo-assinado|Manifesto|Petição|Poema|Livro|Fotografia|Curta|Live|Webinário|Charge|Leitura pública|Vídeo""),
""Público Mediado"","""")))
"),"Público Imediato")</f>
        <v>Público Imediato</v>
      </c>
      <c r="E35" s="13" t="str">
        <f>IFERROR(__xludf.DUMMYFUNCTION("IF(B35="""","""",IF(OR(
  REGEXMATCH(B35,""Live|Webinário|Virtual""),
  REGEXMATCH(B35,""online"")
),""Virtual"",
IF(REGEXMATCH(B35,""Música|Álbum|Filme|Documentário|Série|Podcast|Rádio|Audiotour|Episódio|Reportagem|Curta|Charge|Livro|Vídeo|Entrevista""),"&amp;"
""Midiático"",
IF(REGEXMATCH(B35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5" s="183">
        <v>37063.0</v>
      </c>
      <c r="G35" s="15">
        <f t="shared" si="1"/>
        <v>2001</v>
      </c>
      <c r="H35" s="11" t="s">
        <v>529</v>
      </c>
      <c r="I35" s="16" t="s">
        <v>530</v>
      </c>
      <c r="J35" s="17" t="s">
        <v>531</v>
      </c>
      <c r="K35" s="16" t="s">
        <v>26</v>
      </c>
      <c r="L35" s="18" t="s">
        <v>27</v>
      </c>
      <c r="M35" s="15" t="str">
        <f>IFERROR(__xludf.DUMMYFUNCTION("IF(REGEXMATCH(S35, ""Companhia das Letras""), ""Companhia das Letras"",
IF(REGEXMATCH(S35, ""Labortexto Editorial""), ""Labortexto Editorial"",
IF(REGEXMATCH(S35, ""Geração Editorial""), ""Geração Editorial"",
IF(REGEXMATCH(S35, ""Editora Imprensa Oficial"&amp;"|Imprensa Oficial""), ""Editora Imprensa Oficial"",
IF(REGEXMATCH(S35, ""Folha Online""), ""Folha Online"",
IF(REGEXMATCH(S35, ""FGV DIREITO SP|FGV Direito SP""), ""FGV DIREITO SP"",
IF(REGEXMATCH(S35, ""massacrecarandiru\.org\.br""), ""Memória Massacre C"&amp;"arandiru"",
IF(REGEXMATCH(S35, ""Itaú Cultural""), ""YouTube (Itaú Cultural)"",
IF(REGEXMATCH(S35, ""Passa Palavra""), ""Vimeo (Passa Palavra)"",
IF(REGEXMATCH(S35, ""rede2deoutubro\.blogspot""), ""Blogspot (Rede 02 de Outubro)"",
IF(REGEXMATCH(S35, ""Red"&amp;"e TVT""), ""YouTube (Rede TVT)"",
IF(REGEXMATCH(S35, ""Esquerda Diário""), ""Esquerda Diário"",
IF(REGEXMATCH(S35, ""GZH""), ""GZH"",
IF(REGEXMATCH(S35, ""TVPUC""), ""TVPUC"",
IF(REGEXMATCH(S35, ""Mídia Ninja.*Facebook""), ""Facebook (Mídia Ninja)"",
IF(R"&amp;"EGEXMATCH(S35, ""Memórias Carandiru.*Instagram""), ""Instagram (Memórias Carandiru)"",
IF(REGEXMATCH(S35, ""Frente pelo Desencarceramento SP""), ""YouTube (Frente Pelo Desencarceramento SP)"",
IF(REGEXMATCH(S35, ""TV ABA""), ""YouTube (TV ABA)"",
IF(REGEX"&amp;"MATCH(S35, ""TV SENADO""), ""YouTube (TV Senado)"",
IF(REGEXMATCH(S35, ""Google Arts &amp; Culture""), ""Google Arts &amp; Culture (Memória Massacre Carandiru)"",
IF(REGEXMATCH(S35, ""Anistia Internacional|ANISTIA INTERNACIONAL""), ""Anistia Internacional"",
IF(R"&amp;"EGEXMATCH(S35, ""47\.mostra|47a Mostra""), ""47a Mostra Internacional de Cinema em São Paulo"",
IF(REGEXMATCH(S35, ""Canal USP""), ""YouTube (Canal USP)"",
IF(AND(
  REGEXMATCH(S35, ""(?i)(teses?\.usp\.br|dissertacoes?\.usp\.br|repositorio\.usp\.br)""),
 "&amp;" NOT(REGEXMATCH(S35, ""Canal USP""))
), ""Biblioteca Digital de Teses e Dissertações da USP"",
IF(REGEXMATCH(S35, ""SINTRAJUSC""), ""SINTRAJUSC"",
IF(REGEXMATCH(S35, ""Agência Brasil|Agencia Brasil""), ""Agência Brasil"",
IF(REGEXMATCH(S35, ""Brasil de Fa"&amp;"to""), ""Brasil de Fato"",
IF(REGEXMATCH(S35, ""Ponte Jornalismo|pontejornalismo""), ""Ponte Jornalismo"",
IF(REGEXMATCH(S35, ""letras\.mus\.br|Letras,""), ""Letras"",
IF(REGEXMATCH(S35, ""YouTube|youtube""), 
   ""YouTube (""&amp;
   IF(REGEXMATCH(S35, ""It"&amp;"aú Cultural""), ""Itaú Cultural"",
   IF(REGEXMATCH(S35, ""Rede TVT""), ""Rede TVT"",
   IF(REGEXMATCH(S35, ""Frente pelo Desencarceramento SP""), ""Frente Pelo Desencarceramento SP"",
   IF(REGEXMATCH(S35, ""TV ABA""), ""TV ABA"",
   IF(REGEXMATCH(S35, "&amp;"""TV SENADO""), ""TV Senado"",
   IF(REGEXMATCH(S35, ""Canal USP""), ""Canal USP"",
   IF(REGEXMATCH(S35, ""Douer, Zack|Zack Douer""), ""Douer Zack"",
   IF(REGEXMATCH(S35, ""PRISIONEIRO 84\.901|PRISIONEIRO 84""), ""Prisioneiro 84.901"",
   IF(REGEXMATCH("&amp;"S35, ""^[^,]*, ""), 
        PROPER(REGEXREPLACE(REGEXEXTRACT(S35, ""^([^.]*)\.""), ""^([^,]*), (.*)"", ""$2 $1"")),
        PROPER(REGEXEXTRACT(S35, ""^([^.]*)\.""))
   )))))))))&amp;"")"",
IF(REGEXMATCH(S35, ""Spotify|spotify""), 
   ""Spotify (""&amp;
   IF(R"&amp;"EGEXMATCH(S35, ""ESTRANHO SORRISO""), ""Estranho Sorriso"",
   PROPER(REGEXEXTRACT(S35, ""^([^.]*)\.""))
   )&amp;"")"",
IF(REGEXMATCH(S35, ""Vimeo|vimeo""), 
   ""Vimeo (""&amp;
   IF(REGEXMATCH(S35, ""Passa Palavra""), ""Passa Palavra"",
   PROPER(REGEXEXTRACT"&amp;"(S35, ""^([^.]*)\.""))
   )&amp;"")"",
IF(REGEXMATCH(S35, ""Blogspot""), 
   ""Blogspot (""&amp;
   IF(REGEXMATCH(S35, ""rede2deoutubro""), ""Rede 02 de Outubro"",
   PROPER(REGEXEXTRACT(S35, ""^([^.]*)\.""))
   )&amp;"")"",
IF(REGEXMATCH(S35, ""Facebook""), 
   """&amp;"Facebook (""&amp;
   IF(REGEXMATCH(S35, ""Mídia Ninja""), ""Mídia Ninja"",
   PROPER(REGEXEXTRACT(S35, ""^([^.]*)\.""))
   )&amp;"")"",
IF(REGEXMATCH(S35, ""Instagram""), 
   ""Instagram (""&amp;
   IF(REGEXMATCH(S35, ""Memórias Carandiru""), ""Memórias Carandiru"","&amp;"
   PROPER(REGEXEXTRACT(S35, ""^([^.]*)\.""))
   )&amp;"")"",
IF(REGEXMATCH(S35, ""Folha de S\. Paulo|FOLHA DE S\. PAULO""), ""Folha de S. Paulo"",
IF(REGEXMATCH(S35, ""O Estado de S\. Paulo|ESTADAO""), ""O Estado de S. Paulo"",
IF(REGEXMATCH(S35, ""salasecr"&amp;"eta""), ""Wordpress (Sala Secreta)"",
IF(REGEXMATCH(S35, ""Wikipedia|Wikipédia|WIKIPÉDIA""), ""Wikipedia"",
IF(REGEXMATCH(S35, ""VEJA|Veja""), ""Veja Abril"",
IF(REGEXMATCH(S307, ""Rede Globo|REDE GLOBO""), ""Rede Globo"",
IF(REGEXMATCH(S307, ""G1|globo\."&amp;"com""), ""G1"",
IF(REGEXMATCH(S35, ""Deutsche Welle|DW\.com""), ""Deutsche Welle"",
IF(REGEXMATCH(S35, ""CIDH|Comissão Interamericana""), ""Comissão Interamericana de Direitos Humanos (CIDH)"",
IF(REGEXMATCH(S35, ""Pastoral Carcerária""), ""Pastoral Carce"&amp;"rária"",
IF(REGEXMATCH(S35, ""Esquerda Web""), ""Esquerda Web"",
IF(REGEXMATCH(S35, ""ONU|Organização das Nações Unidas""), ""ONU Brasil"",
IF(REGEXMATCH(S35, ""Quilombo Invisível""), ""Quilombo Invisível"",
IF(REGEXMATCH(S35, ""ALESP|Assembleia Legislati"&amp;"va""), ""ALESP"",
IF(REGEXMATCH(S35, ""Revista Opera""), ""Revista Opera"",
IF(REGEXMATCH(S35, ""SP Escola de Teatro""), ""SP Escola de Teatro"",
IF(REGEXMATCH(S35, ""EMC|Espaço Memória Carandiru""), ""EMC Espaço Memória Carandiru"",
IF(REGEXMATCH(S35, "&amp;"""^RAMOS, Nuno|Nuno Ramos""), ""Nuno Ramos"",
IF(REGEXMATCH(S35, ""^VELOSO, Caetano|Caetano Veloso""), ""YouTube (Caetano Veloso)"",
IF(REGEXMATCH(S35, ""^FATOS REAIS""), ""YouTube (Fatos Reais - Topic)"",
IF(REGEXMATCH(S35, ""^SALA SECRETA""), ""Wordpres"&amp;"s (Sala Secreta)"",
PROPER(REGEXEXTRACT(S35, ""^([^.]*)\.""))
))))))))))))))))))))))))))))))))))))))))))))))))))))))))"),"O Estado de S. Paulo")</f>
        <v>O Estado de S. Paulo</v>
      </c>
      <c r="N35" s="11" t="s">
        <v>47</v>
      </c>
      <c r="O35" s="11" t="s">
        <v>48</v>
      </c>
      <c r="P35" s="51">
        <v>45853.0</v>
      </c>
      <c r="Q35" s="11" t="s">
        <v>53</v>
      </c>
      <c r="R35" s="70" t="str">
        <f t="shared" si="5"/>
        <v>Aqui</v>
      </c>
      <c r="S35" s="75" t="s">
        <v>532</v>
      </c>
    </row>
    <row r="36">
      <c r="A36" s="11">
        <v>34.0</v>
      </c>
      <c r="B36" s="11" t="s">
        <v>524</v>
      </c>
      <c r="C36" s="122" t="s">
        <v>165</v>
      </c>
      <c r="D36" s="13" t="str">
        <f>IFERROR(__xludf.DUMMYFUNCTION("IF(B36="""","""",IF(OR(
  REGEXMATCH(B36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REGEXMATCH(B36,""público|Imediato|artística|teatral|memória"")
),""Público Imediato"",
IF(REGEXMATCH(B36,""Música|Álbum|Filme|Documentário|Série|Podcast|"&amp;"Rádio|Audiotour|Entrevista|Reportagem|Crônica|Relatório|Abaixo-assinado|Manifesto|Petição|Poema|Livro|Fotografia|Curta|Live|Webinário|Charge|Leitura pública|Vídeo""),
""Público Mediado"","""")))
"),"Público Imediato")</f>
        <v>Público Imediato</v>
      </c>
      <c r="E36" s="13" t="str">
        <f>IFERROR(__xludf.DUMMYFUNCTION("IF(B36="""","""",IF(OR(
  REGEXMATCH(B36,""Live|Webinário|Virtual""),
  REGEXMATCH(B36,""online"")
),""Virtual"",
IF(REGEXMATCH(B36,""Música|Álbum|Filme|Documentário|Série|Podcast|Rádio|Audiotour|Episódio|Reportagem|Curta|Charge|Livro|Vídeo|Entrevista""),"&amp;"
""Midiático"",
IF(REGEXMATCH(B36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6" s="183">
        <v>37071.0</v>
      </c>
      <c r="G36" s="15">
        <f t="shared" si="1"/>
        <v>2001</v>
      </c>
      <c r="H36" s="11" t="s">
        <v>529</v>
      </c>
      <c r="I36" s="16" t="s">
        <v>533</v>
      </c>
      <c r="J36" s="17" t="s">
        <v>534</v>
      </c>
      <c r="K36" s="16" t="s">
        <v>26</v>
      </c>
      <c r="L36" s="18" t="s">
        <v>27</v>
      </c>
      <c r="M36" s="15" t="str">
        <f>IFERROR(__xludf.DUMMYFUNCTION("IF(REGEXMATCH(S36, ""Companhia das Letras""), ""Companhia das Letras"",
IF(REGEXMATCH(S36, ""Labortexto Editorial""), ""Labortexto Editorial"",
IF(REGEXMATCH(S36, ""Geração Editorial""), ""Geração Editorial"",
IF(REGEXMATCH(S36, ""Editora Imprensa Oficial"&amp;"|Imprensa Oficial""), ""Editora Imprensa Oficial"",
IF(REGEXMATCH(S36, ""Folha Online""), ""Folha Online"",
IF(REGEXMATCH(S36, ""FGV DIREITO SP|FGV Direito SP""), ""FGV DIREITO SP"",
IF(REGEXMATCH(S36, ""massacrecarandiru\.org\.br""), ""Memória Massacre C"&amp;"arandiru"",
IF(REGEXMATCH(S36, ""Itaú Cultural""), ""YouTube (Itaú Cultural)"",
IF(REGEXMATCH(S36, ""Passa Palavra""), ""Vimeo (Passa Palavra)"",
IF(REGEXMATCH(S36, ""rede2deoutubro\.blogspot""), ""Blogspot (Rede 02 de Outubro)"",
IF(REGEXMATCH(S36, ""Red"&amp;"e TVT""), ""YouTube (Rede TVT)"",
IF(REGEXMATCH(S36, ""Esquerda Diário""), ""Esquerda Diário"",
IF(REGEXMATCH(S36, ""GZH""), ""GZH"",
IF(REGEXMATCH(S36, ""TVPUC""), ""TVPUC"",
IF(REGEXMATCH(S36, ""Mídia Ninja.*Facebook""), ""Facebook (Mídia Ninja)"",
IF(R"&amp;"EGEXMATCH(S36, ""Memórias Carandiru.*Instagram""), ""Instagram (Memórias Carandiru)"",
IF(REGEXMATCH(S36, ""Frente pelo Desencarceramento SP""), ""YouTube (Frente Pelo Desencarceramento SP)"",
IF(REGEXMATCH(S36, ""TV ABA""), ""YouTube (TV ABA)"",
IF(REGEX"&amp;"MATCH(S36, ""TV SENADO""), ""YouTube (TV Senado)"",
IF(REGEXMATCH(S36, ""Google Arts &amp; Culture""), ""Google Arts &amp; Culture (Memória Massacre Carandiru)"",
IF(REGEXMATCH(S36, ""Anistia Internacional|ANISTIA INTERNACIONAL""), ""Anistia Internacional"",
IF(R"&amp;"EGEXMATCH(S36, ""47\.mostra|47a Mostra""), ""47a Mostra Internacional de Cinema em São Paulo"",
IF(REGEXMATCH(S36, ""Canal USP""), ""YouTube (Canal USP)"",
IF(AND(
  REGEXMATCH(S36, ""(?i)(teses?\.usp\.br|dissertacoes?\.usp\.br|repositorio\.usp\.br)""),
 "&amp;" NOT(REGEXMATCH(S36, ""Canal USP""))
), ""Biblioteca Digital de Teses e Dissertações da USP"",
IF(REGEXMATCH(S36, ""SINTRAJUSC""), ""SINTRAJUSC"",
IF(REGEXMATCH(S36, ""Agência Brasil|Agencia Brasil""), ""Agência Brasil"",
IF(REGEXMATCH(S36, ""Brasil de Fa"&amp;"to""), ""Brasil de Fato"",
IF(REGEXMATCH(S36, ""Ponte Jornalismo|pontejornalismo""), ""Ponte Jornalismo"",
IF(REGEXMATCH(S36, ""letras\.mus\.br|Letras,""), ""Letras"",
IF(REGEXMATCH(S36, ""YouTube|youtube""), 
   ""YouTube (""&amp;
   IF(REGEXMATCH(S36, ""It"&amp;"aú Cultural""), ""Itaú Cultural"",
   IF(REGEXMATCH(S36, ""Rede TVT""), ""Rede TVT"",
   IF(REGEXMATCH(S36, ""Frente pelo Desencarceramento SP""), ""Frente Pelo Desencarceramento SP"",
   IF(REGEXMATCH(S36, ""TV ABA""), ""TV ABA"",
   IF(REGEXMATCH(S36, "&amp;"""TV SENADO""), ""TV Senado"",
   IF(REGEXMATCH(S36, ""Canal USP""), ""Canal USP"",
   IF(REGEXMATCH(S36, ""Douer, Zack|Zack Douer""), ""Douer Zack"",
   IF(REGEXMATCH(S36, ""PRISIONEIRO 84\.901|PRISIONEIRO 84""), ""Prisioneiro 84.901"",
   IF(REGEXMATCH("&amp;"S36, ""^[^,]*, ""), 
        PROPER(REGEXREPLACE(REGEXEXTRACT(S36, ""^([^.]*)\.""), ""^([^,]*), (.*)"", ""$2 $1"")),
        PROPER(REGEXEXTRACT(S36, ""^([^.]*)\.""))
   )))))))))&amp;"")"",
IF(REGEXMATCH(S36, ""Spotify|spotify""), 
   ""Spotify (""&amp;
   IF(R"&amp;"EGEXMATCH(S36, ""ESTRANHO SORRISO""), ""Estranho Sorriso"",
   PROPER(REGEXEXTRACT(S36, ""^([^.]*)\.""))
   )&amp;"")"",
IF(REGEXMATCH(S36, ""Vimeo|vimeo""), 
   ""Vimeo (""&amp;
   IF(REGEXMATCH(S36, ""Passa Palavra""), ""Passa Palavra"",
   PROPER(REGEXEXTRACT"&amp;"(S36, ""^([^.]*)\.""))
   )&amp;"")"",
IF(REGEXMATCH(S36, ""Blogspot""), 
   ""Blogspot (""&amp;
   IF(REGEXMATCH(S36, ""rede2deoutubro""), ""Rede 02 de Outubro"",
   PROPER(REGEXEXTRACT(S36, ""^([^.]*)\.""))
   )&amp;"")"",
IF(REGEXMATCH(S36, ""Facebook""), 
   """&amp;"Facebook (""&amp;
   IF(REGEXMATCH(S36, ""Mídia Ninja""), ""Mídia Ninja"",
   PROPER(REGEXEXTRACT(S36, ""^([^.]*)\.""))
   )&amp;"")"",
IF(REGEXMATCH(S36, ""Instagram""), 
   ""Instagram (""&amp;
   IF(REGEXMATCH(S36, ""Memórias Carandiru""), ""Memórias Carandiru"","&amp;"
   PROPER(REGEXEXTRACT(S36, ""^([^.]*)\.""))
   )&amp;"")"",
IF(REGEXMATCH(S36, ""Folha de S\. Paulo|FOLHA DE S\. PAULO""), ""Folha de S. Paulo"",
IF(REGEXMATCH(S36, ""O Estado de S\. Paulo|ESTADAO""), ""O Estado de S. Paulo"",
IF(REGEXMATCH(S36, ""salasecr"&amp;"eta""), ""Wordpress (Sala Secreta)"",
IF(REGEXMATCH(S36, ""Wikipedia|Wikipédia|WIKIPÉDIA""), ""Wikipedia"",
IF(REGEXMATCH(S36, ""VEJA|Veja""), ""Veja Abril"",
IF(REGEXMATCH(S308, ""Rede Globo|REDE GLOBO""), ""Rede Globo"",
IF(REGEXMATCH(S308, ""G1|globo\."&amp;"com""), ""G1"",
IF(REGEXMATCH(S36, ""Deutsche Welle|DW\.com""), ""Deutsche Welle"",
IF(REGEXMATCH(S36, ""CIDH|Comissão Interamericana""), ""Comissão Interamericana de Direitos Humanos (CIDH)"",
IF(REGEXMATCH(S36, ""Pastoral Carcerária""), ""Pastoral Carce"&amp;"rária"",
IF(REGEXMATCH(S36, ""Esquerda Web""), ""Esquerda Web"",
IF(REGEXMATCH(S36, ""ONU|Organização das Nações Unidas""), ""ONU Brasil"",
IF(REGEXMATCH(S36, ""Quilombo Invisível""), ""Quilombo Invisível"",
IF(REGEXMATCH(S36, ""ALESP|Assembleia Legislati"&amp;"va""), ""ALESP"",
IF(REGEXMATCH(S36, ""Revista Opera""), ""Revista Opera"",
IF(REGEXMATCH(S36, ""SP Escola de Teatro""), ""SP Escola de Teatro"",
IF(REGEXMATCH(S36, ""EMC|Espaço Memória Carandiru""), ""EMC Espaço Memória Carandiru"",
IF(REGEXMATCH(S36, "&amp;"""^RAMOS, Nuno|Nuno Ramos""), ""Nuno Ramos"",
IF(REGEXMATCH(S36, ""^VELOSO, Caetano|Caetano Veloso""), ""YouTube (Caetano Veloso)"",
IF(REGEXMATCH(S36, ""^FATOS REAIS""), ""YouTube (Fatos Reais - Topic)"",
IF(REGEXMATCH(S36, ""^SALA SECRETA""), ""Wordpres"&amp;"s (Sala Secreta)"",
PROPER(REGEXEXTRACT(S36, ""^([^.]*)\.""))
))))))))))))))))))))))))))))))))))))))))))))))))))))))))"),"O Estado de S. Paulo")</f>
        <v>O Estado de S. Paulo</v>
      </c>
      <c r="N36" s="11" t="s">
        <v>47</v>
      </c>
      <c r="O36" s="11" t="s">
        <v>48</v>
      </c>
      <c r="P36" s="51">
        <v>45853.0</v>
      </c>
      <c r="Q36" s="11" t="s">
        <v>53</v>
      </c>
      <c r="R36" s="70" t="str">
        <f t="shared" si="5"/>
        <v>Aqui</v>
      </c>
      <c r="S36" s="75" t="s">
        <v>535</v>
      </c>
    </row>
    <row r="37">
      <c r="A37" s="11">
        <v>35.0</v>
      </c>
      <c r="B37" s="11" t="s">
        <v>203</v>
      </c>
      <c r="C37" s="12" t="str">
        <f>IFERROR(__xludf.DUMMYFUNCTION("IF(B37="""","""",IF(OR(
  REGEXMATCH(B37,""Performance|Instalação|Álbum|Música|Poema|Livro|Filme|Documentário|Recitação|Espetáculo|Peça|Intervenção|Desfile|Fotografia|Exposição|Charge|Grafite|Leitura pública|Fabricação de cachaça artesanal""),
  REGEXMATC"&amp;"H(B37,""dança|teatral|artístico|musical|artística"")
),""Manifestação artístico-cultural"",
IF(OR(
  REGEXMATCH(B37,""Crônica|Série|Reportagem|Podcast|Audiotour|Entrevista|Vídeo|Rádio""),
  REGEXMATCH(B37,""midiática"")
),""Produção midiática"","""")))
"),"Manifestação artístico-cultural")</f>
        <v>Manifestação artístico-cultural</v>
      </c>
      <c r="D37" s="13" t="str">
        <f>IFERROR(__xludf.DUMMYFUNCTION("IF(B37="""","""",IF(OR(
  REGEXMATCH(B37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REGEXMATCH(B37,""público|Imediato|artística|teatral|memória"")
),""Público Imediato"",
IF(REGEXMATCH(B37,""Música|Álbum|Filme|Documentário|Série|Podcast|"&amp;"Rádio|Audiotour|Entrevista|Reportagem|Crônica|Relatório|Abaixo-assinado|Manifesto|Petição|Poema|Livro|Fotografia|Curta|Live|Webinário|Charge|Leitura pública|Vídeo""),
""Público Mediado"","""")))
"),"Público Mediado")</f>
        <v>Público Mediado</v>
      </c>
      <c r="E37" s="13" t="str">
        <f>IFERROR(__xludf.DUMMYFUNCTION("IF(B37="""","""",IF(OR(
  REGEXMATCH(B37,""Live|Webinário|Virtual""),
  REGEXMATCH(B37,""online"")
),""Virtual"",
IF(REGEXMATCH(B37,""Música|Álbum|Filme|Documentário|Série|Podcast|Rádio|Audiotour|Episódio|Reportagem|Curta|Charge|Livro|Vídeo|Entrevista""),"&amp;"
""Midiático"",
IF(REGEXMATCH(B37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7" s="11">
        <v>2001.0</v>
      </c>
      <c r="G37" s="15">
        <f t="shared" si="1"/>
        <v>2001</v>
      </c>
      <c r="H37" s="11" t="s">
        <v>23</v>
      </c>
      <c r="I37" s="16" t="s">
        <v>536</v>
      </c>
      <c r="J37" s="17" t="s">
        <v>537</v>
      </c>
      <c r="K37" s="16" t="s">
        <v>103</v>
      </c>
      <c r="L37" s="18" t="s">
        <v>475</v>
      </c>
      <c r="M37" s="15" t="str">
        <f>IFERROR(__xludf.DUMMYFUNCTION("IF(REGEXMATCH(S37, ""Companhia das Letras""), ""Companhia das Letras"",
IF(REGEXMATCH(S37, ""Labortexto Editorial""), ""Labortexto Editorial"",
IF(REGEXMATCH(S37, ""Geração Editorial""), ""Geração Editorial"",
IF(REGEXMATCH(S37, ""Editora Imprensa Oficial"&amp;"|Imprensa Oficial""), ""Editora Imprensa Oficial"",
IF(REGEXMATCH(S37, ""Folha Online""), ""Folha Online"",
IF(REGEXMATCH(S37, ""FGV DIREITO SP|FGV Direito SP""), ""FGV DIREITO SP"",
IF(REGEXMATCH(S37, ""massacrecarandiru\.org\.br""), ""Memória Massacre C"&amp;"arandiru"",
IF(REGEXMATCH(S37, ""Itaú Cultural""), ""YouTube (Itaú Cultural)"",
IF(REGEXMATCH(S37, ""Passa Palavra""), ""Vimeo (Passa Palavra)"",
IF(REGEXMATCH(S37, ""rede2deoutubro\.blogspot""), ""Blogspot (Rede 02 de Outubro)"",
IF(REGEXMATCH(S37, ""Red"&amp;"e TVT""), ""YouTube (Rede TVT)"",
IF(REGEXMATCH(S37, ""Esquerda Diário""), ""Esquerda Diário"",
IF(REGEXMATCH(S37, ""GZH""), ""GZH"",
IF(REGEXMATCH(S37, ""TVPUC""), ""TVPUC"",
IF(REGEXMATCH(S37, ""Mídia Ninja.*Facebook""), ""Facebook (Mídia Ninja)"",
IF(R"&amp;"EGEXMATCH(S37, ""Memórias Carandiru.*Instagram""), ""Instagram (Memórias Carandiru)"",
IF(REGEXMATCH(S37, ""Frente pelo Desencarceramento SP""), ""YouTube (Frente Pelo Desencarceramento SP)"",
IF(REGEXMATCH(S37, ""TV ABA""), ""YouTube (TV ABA)"",
IF(REGEX"&amp;"MATCH(S37, ""TV SENADO""), ""YouTube (TV Senado)"",
IF(REGEXMATCH(S37, ""Google Arts &amp; Culture""), ""Google Arts &amp; Culture (Memória Massacre Carandiru)"",
IF(REGEXMATCH(S37, ""Anistia Internacional|ANISTIA INTERNACIONAL""), ""Anistia Internacional"",
IF(R"&amp;"EGEXMATCH(S37, ""47\.mostra|47a Mostra""), ""47a Mostra Internacional de Cinema em São Paulo"",
IF(REGEXMATCH(S37, ""Canal USP""), ""YouTube (Canal USP)"",
IF(AND(
  REGEXMATCH(S37, ""(?i)(teses?\.usp\.br|dissertacoes?\.usp\.br|repositorio\.usp\.br)""),
 "&amp;" NOT(REGEXMATCH(S37, ""Canal USP""))
), ""Biblioteca Digital de Teses e Dissertações da USP"",
IF(REGEXMATCH(S37, ""SINTRAJUSC""), ""SINTRAJUSC"",
IF(REGEXMATCH(S37, ""Agência Brasil|Agencia Brasil""), ""Agência Brasil"",
IF(REGEXMATCH(S37, ""Brasil de Fa"&amp;"to""), ""Brasil de Fato"",
IF(REGEXMATCH(S37, ""Ponte Jornalismo|pontejornalismo""), ""Ponte Jornalismo"",
IF(REGEXMATCH(S37, ""letras\.mus\.br|Letras,""), ""Letras"",
IF(REGEXMATCH(S37, ""YouTube|youtube""), 
   ""YouTube (""&amp;
   IF(REGEXMATCH(S37, ""It"&amp;"aú Cultural""), ""Itaú Cultural"",
   IF(REGEXMATCH(S37, ""Rede TVT""), ""Rede TVT"",
   IF(REGEXMATCH(S37, ""Frente pelo Desencarceramento SP""), ""Frente Pelo Desencarceramento SP"",
   IF(REGEXMATCH(S37, ""TV ABA""), ""TV ABA"",
   IF(REGEXMATCH(S37, "&amp;"""TV SENADO""), ""TV Senado"",
   IF(REGEXMATCH(S37, ""Canal USP""), ""Canal USP"",
   IF(REGEXMATCH(S37, ""Douer, Zack|Zack Douer""), ""Douer Zack"",
   IF(REGEXMATCH(S37, ""PRISIONEIRO 84\.901|PRISIONEIRO 84""), ""Prisioneiro 84.901"",
   IF(REGEXMATCH("&amp;"S37, ""^[^,]*, ""), 
        PROPER(REGEXREPLACE(REGEXEXTRACT(S37, ""^([^.]*)\.""), ""^([^,]*), (.*)"", ""$2 $1"")),
        PROPER(REGEXEXTRACT(S37, ""^([^.]*)\.""))
   )))))))))&amp;"")"",
IF(REGEXMATCH(S37, ""Spotify|spotify""), 
   ""Spotify (""&amp;
   IF(R"&amp;"EGEXMATCH(S37, ""ESTRANHO SORRISO""), ""Estranho Sorriso"",
   PROPER(REGEXEXTRACT(S37, ""^([^.]*)\.""))
   )&amp;"")"",
IF(REGEXMATCH(S37, ""Vimeo|vimeo""), 
   ""Vimeo (""&amp;
   IF(REGEXMATCH(S37, ""Passa Palavra""), ""Passa Palavra"",
   PROPER(REGEXEXTRACT"&amp;"(S37, ""^([^.]*)\.""))
   )&amp;"")"",
IF(REGEXMATCH(S37, ""Blogspot""), 
   ""Blogspot (""&amp;
   IF(REGEXMATCH(S37, ""rede2deoutubro""), ""Rede 02 de Outubro"",
   PROPER(REGEXEXTRACT(S37, ""^([^.]*)\.""))
   )&amp;"")"",
IF(REGEXMATCH(S37, ""Facebook""), 
   """&amp;"Facebook (""&amp;
   IF(REGEXMATCH(S37, ""Mídia Ninja""), ""Mídia Ninja"",
   PROPER(REGEXEXTRACT(S37, ""^([^.]*)\.""))
   )&amp;"")"",
IF(REGEXMATCH(S37, ""Instagram""), 
   ""Instagram (""&amp;
   IF(REGEXMATCH(S37, ""Memórias Carandiru""), ""Memórias Carandiru"","&amp;"
   PROPER(REGEXEXTRACT(S37, ""^([^.]*)\.""))
   )&amp;"")"",
IF(REGEXMATCH(S37, ""Folha de S\. Paulo|FOLHA DE S\. PAULO""), ""Folha de S. Paulo"",
IF(REGEXMATCH(S37, ""O Estado de S\. Paulo|ESTADAO""), ""O Estado de S. Paulo"",
IF(REGEXMATCH(S37, ""salasecr"&amp;"eta""), ""Wordpress (Sala Secreta)"",
IF(REGEXMATCH(S37, ""Wikipedia|Wikipédia|WIKIPÉDIA""), ""Wikipedia"",
IF(REGEXMATCH(S37, ""VEJA|Veja""), ""Veja Abril"",
IF(REGEXMATCH(S309, ""Rede Globo|REDE GLOBO""), ""Rede Globo"",
IF(REGEXMATCH(S309, ""G1|globo\."&amp;"com""), ""G1"",
IF(REGEXMATCH(S37, ""Deutsche Welle|DW\.com""), ""Deutsche Welle"",
IF(REGEXMATCH(S37, ""CIDH|Comissão Interamericana""), ""Comissão Interamericana de Direitos Humanos (CIDH)"",
IF(REGEXMATCH(S37, ""Pastoral Carcerária""), ""Pastoral Carce"&amp;"rária"",
IF(REGEXMATCH(S37, ""Esquerda Web""), ""Esquerda Web"",
IF(REGEXMATCH(S37, ""ONU|Organização das Nações Unidas""), ""ONU Brasil"",
IF(REGEXMATCH(S37, ""Quilombo Invisível""), ""Quilombo Invisível"",
IF(REGEXMATCH(S37, ""ALESP|Assembleia Legislati"&amp;"va""), ""ALESP"",
IF(REGEXMATCH(S37, ""Revista Opera""), ""Revista Opera"",
IF(REGEXMATCH(S37, ""SP Escola de Teatro""), ""SP Escola de Teatro"",
IF(REGEXMATCH(S37, ""EMC|Espaço Memória Carandiru""), ""EMC Espaço Memória Carandiru"",
IF(REGEXMATCH(S37, "&amp;"""^RAMOS, Nuno|Nuno Ramos""), ""Nuno Ramos"",
IF(REGEXMATCH(S37, ""^VELOSO, Caetano|Caetano Veloso""), ""YouTube (Caetano Veloso)"",
IF(REGEXMATCH(S37, ""^FATOS REAIS""), ""YouTube (Fatos Reais - Topic)"",
IF(REGEXMATCH(S37, ""^SALA SECRETA""), ""Wordpres"&amp;"s (Sala Secreta)"",
PROPER(REGEXEXTRACT(S37, ""^([^.]*)\.""))
))))))))))))))))))))))))))))))))))))))))))))))))))))))))"),"Biblioteca Digital de Teses e Dissertações da USP")</f>
        <v>Biblioteca Digital de Teses e Dissertações da USP</v>
      </c>
      <c r="N37" s="11" t="s">
        <v>47</v>
      </c>
      <c r="O37" s="14" t="s">
        <v>477</v>
      </c>
      <c r="P37" s="171">
        <v>45945.0</v>
      </c>
      <c r="Q37" s="11" t="s">
        <v>154</v>
      </c>
      <c r="R37" s="70" t="str">
        <f t="shared" si="5"/>
        <v>Aqui</v>
      </c>
      <c r="S37" s="196" t="s">
        <v>538</v>
      </c>
    </row>
    <row r="38">
      <c r="A38" s="11">
        <v>36.0</v>
      </c>
      <c r="B38" s="11" t="s">
        <v>203</v>
      </c>
      <c r="C38" s="12" t="str">
        <f>IFERROR(__xludf.DUMMYFUNCTION("IF(B38="""","""",IF(OR(
  REGEXMATCH(B38,""Performance|Instalação|Álbum|Música|Poema|Livro|Filme|Documentário|Recitação|Espetáculo|Peça|Intervenção|Desfile|Fotografia|Exposição|Charge|Grafite|Leitura pública|Fabricação de cachaça artesanal""),
  REGEXMATC"&amp;"H(B38,""dança|teatral|artístico|musical|artística"")
),""Manifestação artístico-cultural"",
IF(OR(
  REGEXMATCH(B38,""Crônica|Série|Reportagem|Podcast|Audiotour|Entrevista|Vídeo|Rádio""),
  REGEXMATCH(B38,""midiática"")
),""Produção midiática"","""")))
"),"Manifestação artístico-cultural")</f>
        <v>Manifestação artístico-cultural</v>
      </c>
      <c r="D38" s="13" t="str">
        <f>IFERROR(__xludf.DUMMYFUNCTION("IF(B38="""","""",IF(OR(
  REGEXMATCH(B38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REGEXMATCH(B38,""público|Imediato|artística|teatral|memória"")
),""Público Imediato"",
IF(REGEXMATCH(B38,""Música|Álbum|Filme|Documentário|Série|Podcast|"&amp;"Rádio|Audiotour|Entrevista|Reportagem|Crônica|Relatório|Abaixo-assinado|Manifesto|Petição|Poema|Livro|Fotografia|Curta|Live|Webinário|Charge|Leitura pública|Vídeo""),
""Público Mediado"","""")))
"),"Público Mediado")</f>
        <v>Público Mediado</v>
      </c>
      <c r="E38" s="13" t="str">
        <f>IFERROR(__xludf.DUMMYFUNCTION("IF(B38="""","""",IF(OR(
  REGEXMATCH(B38,""Live|Webinário|Virtual""),
  REGEXMATCH(B38,""online"")
),""Virtual"",
IF(REGEXMATCH(B38,""Música|Álbum|Filme|Documentário|Série|Podcast|Rádio|Audiotour|Episódio|Reportagem|Curta|Charge|Livro|Vídeo|Entrevista""),"&amp;"
""Midiático"",
IF(REGEXMATCH(B38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8" s="11">
        <v>2001.0</v>
      </c>
      <c r="G38" s="15">
        <f t="shared" si="1"/>
        <v>2001</v>
      </c>
      <c r="H38" s="11" t="s">
        <v>539</v>
      </c>
      <c r="I38" s="16" t="s">
        <v>540</v>
      </c>
      <c r="J38" s="17" t="s">
        <v>541</v>
      </c>
      <c r="K38" s="16" t="s">
        <v>103</v>
      </c>
      <c r="L38" s="18" t="s">
        <v>475</v>
      </c>
      <c r="M38" s="15" t="s">
        <v>542</v>
      </c>
      <c r="N38" s="11" t="s">
        <v>47</v>
      </c>
      <c r="O38" s="14" t="s">
        <v>165</v>
      </c>
      <c r="P38" s="171">
        <v>46276.0</v>
      </c>
      <c r="Q38" s="11" t="s">
        <v>53</v>
      </c>
      <c r="R38" s="194"/>
      <c r="S38" s="172" t="s">
        <v>543</v>
      </c>
    </row>
    <row r="39">
      <c r="A39" s="11">
        <v>37.0</v>
      </c>
      <c r="B39" s="11" t="s">
        <v>544</v>
      </c>
      <c r="C39" s="122" t="s">
        <v>165</v>
      </c>
      <c r="D39" s="13" t="str">
        <f>IFERROR(__xludf.DUMMYFUNCTION("IF(B39="""","""",IF(OR(
  REGEXMATCH(B39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REGEXMATCH(B39,""público|Imediato|artística|teatral|memória"")
),""Público Imediato"",
IF(REGEXMATCH(B39,""Música|Álbum|Filme|Documentário|Série|Podcast|"&amp;"Rádio|Audiotour|Entrevista|Reportagem|Crônica|Relatório|Abaixo-assinado|Manifesto|Petição|Poema|Livro|Fotografia|Curta|Live|Webinário|Charge|Leitura pública|Vídeo""),
""Público Mediado"","""")))
"),"Público Imediato")</f>
        <v>Público Imediato</v>
      </c>
      <c r="E39" s="13" t="str">
        <f>IFERROR(__xludf.DUMMYFUNCTION("IF(B39="""","""",IF(OR(
  REGEXMATCH(B39,""Live|Webinário|Virtual""),
  REGEXMATCH(B39,""online"")
),""Virtual"",
IF(REGEXMATCH(B39,""Música|Álbum|Filme|Documentário|Série|Podcast|Rádio|Audiotour|Episódio|Reportagem|Curta|Charge|Livro|Vídeo|Entrevista""),"&amp;"
""Midiático"",
IF(REGEXMATCH(B39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9" s="11">
        <v>2001.0</v>
      </c>
      <c r="G39" s="15">
        <f t="shared" si="1"/>
        <v>2001</v>
      </c>
      <c r="H39" s="14" t="s">
        <v>23</v>
      </c>
      <c r="I39" s="16" t="s">
        <v>545</v>
      </c>
      <c r="J39" s="169" t="str">
        <f>IFERROR(__xludf.DUMMYFUNCTION("REGEXEXTRACT(S39, ""\.\s(.*?)\s*YouTube"")"),"Mega rebelião 2001: vista da Penitenciária do Estado (Mercadão) – Parte 1.")</f>
        <v>Mega rebelião 2001: vista da Penitenciária do Estado (Mercadão) – Parte 1.</v>
      </c>
      <c r="K39" s="16" t="s">
        <v>83</v>
      </c>
      <c r="L39" s="18" t="s">
        <v>329</v>
      </c>
      <c r="M39" s="15" t="str">
        <f>IFERROR(__xludf.DUMMYFUNCTION("IF(REGEXMATCH(S39, ""Companhia das Letras""), ""Companhia das Letras"",
IF(REGEXMATCH(S39, ""Labortexto Editorial""), ""Labortexto Editorial"",
IF(REGEXMATCH(S39, ""Geração Editorial""), ""Geração Editorial"",
IF(REGEXMATCH(S39, ""Editora Imprensa Oficial"&amp;"|Imprensa Oficial""), ""Editora Imprensa Oficial"",
IF(REGEXMATCH(S39, ""Folha Online""), ""Folha Online"",
IF(REGEXMATCH(S39, ""FGV DIREITO SP|FGV Direito SP""), ""FGV DIREITO SP"",
IF(REGEXMATCH(S39, ""massacrecarandiru\.org\.br""), ""Memória Massacre C"&amp;"arandiru"",
IF(REGEXMATCH(S39, ""Itaú Cultural""), ""YouTube (Itaú Cultural)"",
IF(REGEXMATCH(S39, ""Passa Palavra""), ""Vimeo (Passa Palavra)"",
IF(REGEXMATCH(S39, ""rede2deoutubro\.blogspot""), ""Blogspot (Rede 02 de Outubro)"",
IF(REGEXMATCH(S39, ""Red"&amp;"e TVT""), ""YouTube (Rede TVT)"",
IF(REGEXMATCH(S39, ""Esquerda Diário""), ""Esquerda Diário"",
IF(REGEXMATCH(S39, ""GZH""), ""GZH"",
IF(REGEXMATCH(S39, ""TVPUC""), ""TVPUC"",
IF(REGEXMATCH(S39, ""Mídia Ninja.*Facebook""), ""Facebook (Mídia Ninja)"",
IF(R"&amp;"EGEXMATCH(S39, ""Memórias Carandiru.*Instagram""), ""Instagram (Memórias Carandiru)"",
IF(REGEXMATCH(S39, ""Frente pelo Desencarceramento SP""), ""YouTube (Frente Pelo Desencarceramento SP)"",
IF(REGEXMATCH(S39, ""TV ABA""), ""YouTube (TV ABA)"",
IF(REGEX"&amp;"MATCH(S39, ""TV SENADO""), ""YouTube (TV Senado)"",
IF(REGEXMATCH(S39, ""Google Arts &amp; Culture""), ""Google Arts &amp; Culture (Memória Massacre Carandiru)"",
IF(REGEXMATCH(S39, ""Anistia Internacional|ANISTIA INTERNACIONAL""), ""Anistia Internacional"",
IF(R"&amp;"EGEXMATCH(S39, ""47\.mostra|47a Mostra""), ""47a Mostra Internacional de Cinema em São Paulo"",
IF(REGEXMATCH(S39, ""Canal USP""), ""YouTube (Canal USP)"",
IF(AND(
  REGEXMATCH(S39, ""(?i)(teses?\.usp\.br|dissertacoes?\.usp\.br|repositorio\.usp\.br)""),
 "&amp;" NOT(REGEXMATCH(S39, ""Canal USP""))
), ""Biblioteca Digital de Teses e Dissertações da USP"",
IF(REGEXMATCH(S39, ""SINTRAJUSC""), ""SINTRAJUSC"",
IF(REGEXMATCH(S39, ""Agência Brasil|Agencia Brasil""), ""Agência Brasil"",
IF(REGEXMATCH(S39, ""Brasil de Fa"&amp;"to""), ""Brasil de Fato"",
IF(REGEXMATCH(S39, ""Ponte Jornalismo|pontejornalismo""), ""Ponte Jornalismo"",
IF(REGEXMATCH(S39, ""letras\.mus\.br|Letras,""), ""Letras"",
IF(REGEXMATCH(S39, ""YouTube|youtube""), 
   ""YouTube (""&amp;
   IF(REGEXMATCH(S39, ""It"&amp;"aú Cultural""), ""Itaú Cultural"",
   IF(REGEXMATCH(S39, ""Rede TVT""), ""Rede TVT"",
   IF(REGEXMATCH(S39, ""Frente pelo Desencarceramento SP""), ""Frente Pelo Desencarceramento SP"",
   IF(REGEXMATCH(S39, ""TV ABA""), ""TV ABA"",
   IF(REGEXMATCH(S39, "&amp;"""TV SENADO""), ""TV Senado"",
   IF(REGEXMATCH(S39, ""Canal USP""), ""Canal USP"",
   IF(REGEXMATCH(S39, ""Douer, Zack|Zack Douer""), ""Douer Zack"",
   IF(REGEXMATCH(S39, ""PRISIONEIRO 84\.901|PRISIONEIRO 84""), ""Prisioneiro 84.901"",
   IF(REGEXMATCH("&amp;"S39, ""^[^,]*, ""), 
        PROPER(REGEXREPLACE(REGEXEXTRACT(S39, ""^([^.]*)\.""), ""^([^,]*), (.*)"", ""$2 $1"")),
        PROPER(REGEXEXTRACT(S39, ""^([^.]*)\.""))
   )))))))))&amp;"")"",
IF(REGEXMATCH(S39, ""Spotify|spotify""), 
   ""Spotify (""&amp;
   IF(R"&amp;"EGEXMATCH(S39, ""ESTRANHO SORRISO""), ""Estranho Sorriso"",
   PROPER(REGEXEXTRACT(S39, ""^([^.]*)\.""))
   )&amp;"")"",
IF(REGEXMATCH(S39, ""Vimeo|vimeo""), 
   ""Vimeo (""&amp;
   IF(REGEXMATCH(S39, ""Passa Palavra""), ""Passa Palavra"",
   PROPER(REGEXEXTRACT"&amp;"(S39, ""^([^.]*)\.""))
   )&amp;"")"",
IF(REGEXMATCH(S39, ""Blogspot""), 
   ""Blogspot (""&amp;
   IF(REGEXMATCH(S39, ""rede2deoutubro""), ""Rede 02 de Outubro"",
   PROPER(REGEXEXTRACT(S39, ""^([^.]*)\.""))
   )&amp;"")"",
IF(REGEXMATCH(S39, ""Facebook""), 
   """&amp;"Facebook (""&amp;
   IF(REGEXMATCH(S39, ""Mídia Ninja""), ""Mídia Ninja"",
   PROPER(REGEXEXTRACT(S39, ""^([^.]*)\.""))
   )&amp;"")"",
IF(REGEXMATCH(S39, ""Instagram""), 
   ""Instagram (""&amp;
   IF(REGEXMATCH(S39, ""Memórias Carandiru""), ""Memórias Carandiru"","&amp;"
   PROPER(REGEXEXTRACT(S39, ""^([^.]*)\.""))
   )&amp;"")"",
IF(REGEXMATCH(S39, ""Folha de S\. Paulo|FOLHA DE S\. PAULO""), ""Folha de S. Paulo"",
IF(REGEXMATCH(S39, ""O Estado de S\. Paulo|ESTADAO""), ""O Estado de S. Paulo"",
IF(REGEXMATCH(S39, ""salasecr"&amp;"eta""), ""Wordpress (Sala Secreta)"",
IF(REGEXMATCH(S39, ""Wikipedia|Wikipédia|WIKIPÉDIA""), ""Wikipedia"",
IF(REGEXMATCH(S39, ""VEJA|Veja""), ""Veja Abril"",
IF(REGEXMATCH(S310, ""Rede Globo|REDE GLOBO""), ""Rede Globo"",
IF(REGEXMATCH(S310, ""G1|globo\."&amp;"com""), ""G1"",
IF(REGEXMATCH(S39, ""Deutsche Welle|DW\.com""), ""Deutsche Welle"",
IF(REGEXMATCH(S39, ""CIDH|Comissão Interamericana""), ""Comissão Interamericana de Direitos Humanos (CIDH)"",
IF(REGEXMATCH(S39, ""Pastoral Carcerária""), ""Pastoral Carce"&amp;"rária"",
IF(REGEXMATCH(S39, ""Esquerda Web""), ""Esquerda Web"",
IF(REGEXMATCH(S39, ""ONU|Organização das Nações Unidas""), ""ONU Brasil"",
IF(REGEXMATCH(S39, ""Quilombo Invisível""), ""Quilombo Invisível"",
IF(REGEXMATCH(S39, ""ALESP|Assembleia Legislati"&amp;"va""), ""ALESP"",
IF(REGEXMATCH(S39, ""Revista Opera""), ""Revista Opera"",
IF(REGEXMATCH(S39, ""SP Escola de Teatro""), ""SP Escola de Teatro"",
IF(REGEXMATCH(S39, ""EMC|Espaço Memória Carandiru""), ""EMC Espaço Memória Carandiru"",
IF(REGEXMATCH(S39, "&amp;"""^RAMOS, Nuno|Nuno Ramos""), ""Nuno Ramos"",
IF(REGEXMATCH(S39, ""^VELOSO, Caetano|Caetano Veloso""), ""YouTube (Caetano Veloso)"",
IF(REGEXMATCH(S39, ""^FATOS REAIS""), ""YouTube (Fatos Reais - Topic)"",
IF(REGEXMATCH(S39, ""^SALA SECRETA""), ""Wordpres"&amp;"s (Sala Secreta)"",
PROPER(REGEXEXTRACT(S39, ""^([^.]*)\.""))
))))))))))))))))))))))))))))))))))))))))))))))))))))))))"),"YouTube (Prisioneiro 84.901)")</f>
        <v>YouTube (Prisioneiro 84.901)</v>
      </c>
      <c r="N39" s="11" t="s">
        <v>47</v>
      </c>
      <c r="O39" s="14" t="s">
        <v>546</v>
      </c>
      <c r="P39" s="171">
        <v>45946.0</v>
      </c>
      <c r="Q39" s="11" t="s">
        <v>154</v>
      </c>
      <c r="R39" s="70" t="str">
        <f>HYPERLINK(LEFT(MID(S39,FIND("http",S39),LEN(S39)),FIND(". Acesso em",S39)-FIND("http",S39)),"Aqui")</f>
        <v>Aqui</v>
      </c>
      <c r="S39" s="172" t="s">
        <v>547</v>
      </c>
    </row>
    <row r="40">
      <c r="A40" s="11">
        <v>38.0</v>
      </c>
      <c r="B40" s="11" t="s">
        <v>203</v>
      </c>
      <c r="C40" s="12" t="str">
        <f>IFERROR(__xludf.DUMMYFUNCTION("IF(B40="""","""",IF(OR(
  REGEXMATCH(B40,""Performance|Instalação|Álbum|Música|Poema|Livro|Filme|Documentário|Recitação|Espetáculo|Peça|Intervenção|Desfile|Fotografia|Exposição|Charge|Grafite|Leitura pública|Fabricação de cachaça artesanal""),
  REGEXMATC"&amp;"H(B40,""dança|teatral|artístico|musical|artística"")
),""Manifestação artístico-cultural"",
IF(OR(
  REGEXMATCH(B40,""Crônica|Série|Reportagem|Podcast|Audiotour|Entrevista|Vídeo|Rádio""),
  REGEXMATCH(B40,""midiática"")
),""Produção midiática"","""")))
"),"Manifestação artístico-cultural")</f>
        <v>Manifestação artístico-cultural</v>
      </c>
      <c r="D40" s="13" t="str">
        <f>IFERROR(__xludf.DUMMYFUNCTION("IF(B40="""","""",IF(OR(
  REGEXMATCH(B40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REGEXMATCH(B40,""público|Imediato|artística|teatral|memória"")
),""Público Imediato"",
IF(REGEXMATCH(B40,""Música|Álbum|Filme|Documentário|Série|Podcast|"&amp;"Rádio|Audiotour|Entrevista|Reportagem|Crônica|Relatório|Abaixo-assinado|Manifesto|Petição|Poema|Livro|Fotografia|Curta|Live|Webinário|Charge|Leitura pública|Vídeo""),
""Público Mediado"","""")))
"),"Público Mediado")</f>
        <v>Público Mediado</v>
      </c>
      <c r="E40" s="13" t="str">
        <f>IFERROR(__xludf.DUMMYFUNCTION("IF(B40="""","""",IF(OR(
  REGEXMATCH(B40,""Live|Webinário|Virtual""),
  REGEXMATCH(B40,""online"")
),""Virtual"",
IF(REGEXMATCH(B40,""Música|Álbum|Filme|Documentário|Série|Podcast|Rádio|Audiotour|Episódio|Reportagem|Curta|Charge|Livro|Vídeo|Entrevista""),"&amp;"
""Midiático"",
IF(REGEXMATCH(B40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0" s="14">
        <v>2002.0</v>
      </c>
      <c r="G40" s="15">
        <f t="shared" si="1"/>
        <v>2002</v>
      </c>
      <c r="H40" s="11" t="s">
        <v>23</v>
      </c>
      <c r="I40" s="16" t="s">
        <v>548</v>
      </c>
      <c r="J40" s="17" t="s">
        <v>549</v>
      </c>
      <c r="K40" s="16" t="s">
        <v>103</v>
      </c>
      <c r="L40" s="18" t="s">
        <v>475</v>
      </c>
      <c r="M40" s="15" t="str">
        <f>IFERROR(__xludf.DUMMYFUNCTION("IF(REGEXMATCH(S40, ""Companhia das Letras""), ""Companhia das Letras"",
IF(REGEXMATCH(S40, ""Labortexto Editorial""), ""Labortexto Editorial"",
IF(REGEXMATCH(S40, ""Geração Editorial""), ""Geração Editorial"",
IF(REGEXMATCH(S40, ""Editora Imprensa Oficial"&amp;"|Imprensa Oficial""), ""Editora Imprensa Oficial"",
IF(REGEXMATCH(S40, ""Folha Online""), ""Folha Online"",
IF(REGEXMATCH(S40, ""FGV DIREITO SP|FGV Direito SP""), ""FGV DIREITO SP"",
IF(REGEXMATCH(S40, ""massacrecarandiru\.org\.br""), ""Memória Massacre C"&amp;"arandiru"",
IF(REGEXMATCH(S40, ""Itaú Cultural""), ""YouTube (Itaú Cultural)"",
IF(REGEXMATCH(S40, ""Passa Palavra""), ""Vimeo (Passa Palavra)"",
IF(REGEXMATCH(S40, ""rede2deoutubro\.blogspot""), ""Blogspot (Rede 02 de Outubro)"",
IF(REGEXMATCH(S40, ""Red"&amp;"e TVT""), ""YouTube (Rede TVT)"",
IF(REGEXMATCH(S40, ""Esquerda Diário""), ""Esquerda Diário"",
IF(REGEXMATCH(S40, ""GZH""), ""GZH"",
IF(REGEXMATCH(S40, ""TVPUC""), ""TVPUC"",
IF(REGEXMATCH(S40, ""Mídia Ninja.*Facebook""), ""Facebook (Mídia Ninja)"",
IF(R"&amp;"EGEXMATCH(S40, ""Memórias Carandiru.*Instagram""), ""Instagram (Memórias Carandiru)"",
IF(REGEXMATCH(S40, ""Frente pelo Desencarceramento SP""), ""YouTube (Frente Pelo Desencarceramento SP)"",
IF(REGEXMATCH(S40, ""TV ABA""), ""YouTube (TV ABA)"",
IF(REGEX"&amp;"MATCH(S40, ""TV SENADO""), ""YouTube (TV Senado)"",
IF(REGEXMATCH(S40, ""Google Arts &amp; Culture""), ""Google Arts &amp; Culture (Memória Massacre Carandiru)"",
IF(REGEXMATCH(S40, ""Anistia Internacional|ANISTIA INTERNACIONAL""), ""Anistia Internacional"",
IF(R"&amp;"EGEXMATCH(S40, ""47\.mostra|47a Mostra""), ""47a Mostra Internacional de Cinema em São Paulo"",
IF(REGEXMATCH(S40, ""Canal USP""), ""YouTube (Canal USP)"",
IF(AND(
  REGEXMATCH(S40, ""(?i)(teses?\.usp\.br|dissertacoes?\.usp\.br|repositorio\.usp\.br)""),
 "&amp;" NOT(REGEXMATCH(S40, ""Canal USP""))
), ""Biblioteca Digital de Teses e Dissertações da USP"",
IF(REGEXMATCH(S40, ""SINTRAJUSC""), ""SINTRAJUSC"",
IF(REGEXMATCH(S40, ""Agência Brasil|Agencia Brasil""), ""Agência Brasil"",
IF(REGEXMATCH(S40, ""Brasil de Fa"&amp;"to""), ""Brasil de Fato"",
IF(REGEXMATCH(S40, ""Ponte Jornalismo|pontejornalismo""), ""Ponte Jornalismo"",
IF(REGEXMATCH(S40, ""letras\.mus\.br|Letras,""), ""Letras"",
IF(REGEXMATCH(S40, ""YouTube|youtube""), 
   ""YouTube (""&amp;
   IF(REGEXMATCH(S40, ""It"&amp;"aú Cultural""), ""Itaú Cultural"",
   IF(REGEXMATCH(S40, ""Rede TVT""), ""Rede TVT"",
   IF(REGEXMATCH(S40, ""Frente pelo Desencarceramento SP""), ""Frente Pelo Desencarceramento SP"",
   IF(REGEXMATCH(S40, ""TV ABA""), ""TV ABA"",
   IF(REGEXMATCH(S40, "&amp;"""TV SENADO""), ""TV Senado"",
   IF(REGEXMATCH(S40, ""Canal USP""), ""Canal USP"",
   IF(REGEXMATCH(S40, ""Douer, Zack|Zack Douer""), ""Douer Zack"",
   IF(REGEXMATCH(S40, ""PRISIONEIRO 84\.901|PRISIONEIRO 84""), ""Prisioneiro 84.901"",
   IF(REGEXMATCH("&amp;"S40, ""^[^,]*, ""), 
        PROPER(REGEXREPLACE(REGEXEXTRACT(S40, ""^([^.]*)\.""), ""^([^,]*), (.*)"", ""$2 $1"")),
        PROPER(REGEXEXTRACT(S40, ""^([^.]*)\.""))
   )))))))))&amp;"")"",
IF(REGEXMATCH(S40, ""Spotify|spotify""), 
   ""Spotify (""&amp;
   IF(R"&amp;"EGEXMATCH(S40, ""ESTRANHO SORRISO""), ""Estranho Sorriso"",
   PROPER(REGEXEXTRACT(S40, ""^([^.]*)\.""))
   )&amp;"")"",
IF(REGEXMATCH(S40, ""Vimeo|vimeo""), 
   ""Vimeo (""&amp;
   IF(REGEXMATCH(S40, ""Passa Palavra""), ""Passa Palavra"",
   PROPER(REGEXEXTRACT"&amp;"(S40, ""^([^.]*)\.""))
   )&amp;"")"",
IF(REGEXMATCH(S40, ""Blogspot""), 
   ""Blogspot (""&amp;
   IF(REGEXMATCH(S40, ""rede2deoutubro""), ""Rede 02 de Outubro"",
   PROPER(REGEXEXTRACT(S40, ""^([^.]*)\.""))
   )&amp;"")"",
IF(REGEXMATCH(S40, ""Facebook""), 
   """&amp;"Facebook (""&amp;
   IF(REGEXMATCH(S40, ""Mídia Ninja""), ""Mídia Ninja"",
   PROPER(REGEXEXTRACT(S40, ""^([^.]*)\.""))
   )&amp;"")"",
IF(REGEXMATCH(S40, ""Instagram""), 
   ""Instagram (""&amp;
   IF(REGEXMATCH(S40, ""Memórias Carandiru""), ""Memórias Carandiru"","&amp;"
   PROPER(REGEXEXTRACT(S40, ""^([^.]*)\.""))
   )&amp;"")"",
IF(REGEXMATCH(S40, ""Folha de S\. Paulo|FOLHA DE S\. PAULO""), ""Folha de S. Paulo"",
IF(REGEXMATCH(S40, ""O Estado de S\. Paulo|ESTADAO""), ""O Estado de S. Paulo"",
IF(REGEXMATCH(S40, ""salasecr"&amp;"eta""), ""Wordpress (Sala Secreta)"",
IF(REGEXMATCH(S40, ""Wikipedia|Wikipédia|WIKIPÉDIA""), ""Wikipedia"",
IF(REGEXMATCH(S40, ""VEJA|Veja""), ""Veja Abril"",
IF(REGEXMATCH(S311, ""Rede Globo|REDE GLOBO""), ""Rede Globo"",
IF(REGEXMATCH(S311, ""G1|globo\."&amp;"com""), ""G1"",
IF(REGEXMATCH(S40, ""Deutsche Welle|DW\.com""), ""Deutsche Welle"",
IF(REGEXMATCH(S40, ""CIDH|Comissão Interamericana""), ""Comissão Interamericana de Direitos Humanos (CIDH)"",
IF(REGEXMATCH(S40, ""Pastoral Carcerária""), ""Pastoral Carce"&amp;"rária"",
IF(REGEXMATCH(S40, ""Esquerda Web""), ""Esquerda Web"",
IF(REGEXMATCH(S40, ""ONU|Organização das Nações Unidas""), ""ONU Brasil"",
IF(REGEXMATCH(S40, ""Quilombo Invisível""), ""Quilombo Invisível"",
IF(REGEXMATCH(S40, ""ALESP|Assembleia Legislati"&amp;"va""), ""ALESP"",
IF(REGEXMATCH(S40, ""Revista Opera""), ""Revista Opera"",
IF(REGEXMATCH(S40, ""SP Escola de Teatro""), ""SP Escola de Teatro"",
IF(REGEXMATCH(S40, ""EMC|Espaço Memória Carandiru""), ""EMC Espaço Memória Carandiru"",
IF(REGEXMATCH(S40, "&amp;"""^RAMOS, Nuno|Nuno Ramos""), ""Nuno Ramos"",
IF(REGEXMATCH(S40, ""^VELOSO, Caetano|Caetano Veloso""), ""YouTube (Caetano Veloso)"",
IF(REGEXMATCH(S40, ""^FATOS REAIS""), ""YouTube (Fatos Reais - Topic)"",
IF(REGEXMATCH(S40, ""^SALA SECRETA""), ""Wordpres"&amp;"s (Sala Secreta)"",
PROPER(REGEXEXTRACT(S40, ""^([^.]*)\.""))
))))))))))))))))))))))))))))))))))))))))))))))))))))))))"),"Labortexto Editorial")</f>
        <v>Labortexto Editorial</v>
      </c>
      <c r="N40" s="11" t="s">
        <v>47</v>
      </c>
      <c r="O40" s="11" t="s">
        <v>149</v>
      </c>
      <c r="P40" s="183">
        <v>45856.0</v>
      </c>
      <c r="Q40" s="11" t="s">
        <v>154</v>
      </c>
      <c r="R40" s="194"/>
      <c r="S40" s="75" t="s">
        <v>550</v>
      </c>
    </row>
    <row r="41">
      <c r="A41" s="11">
        <v>39.0</v>
      </c>
      <c r="B41" s="11" t="s">
        <v>551</v>
      </c>
      <c r="C41" s="122" t="s">
        <v>165</v>
      </c>
      <c r="D41" s="13" t="str">
        <f>IFERROR(__xludf.DUMMYFUNCTION("IF(B41="""","""",IF(OR(
  REGEXMATCH(B41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REGEXMATCH(B41,""público|Imediato|artística|teatral|memória"")
),""Público Imediato"",
IF(REGEXMATCH(B41,""Música|Álbum|Filme|Documentário|Série|Podcast|"&amp;"Rádio|Audiotour|Entrevista|Reportagem|Crônica|Relatório|Abaixo-assinado|Manifesto|Petição|Poema|Livro|Fotografia|Curta|Live|Webinário|Charge|Leitura pública|Vídeo""),
""Público Mediado"","""")))
"),"Público Imediato")</f>
        <v>Público Imediato</v>
      </c>
      <c r="E41" s="13" t="str">
        <f>IFERROR(__xludf.DUMMYFUNCTION("IF(B41="""","""",IF(OR(
  REGEXMATCH(B41,""Live|Webinário|Virtual""),
  REGEXMATCH(B41,""online"")
),""Virtual"",
IF(REGEXMATCH(B41,""Música|Álbum|Filme|Documentário|Série|Podcast|Rádio|Audiotour|Episódio|Reportagem|Curta|Charge|Livro|Vídeo|Entrevista""),"&amp;"
""Midiático"",
IF(REGEXMATCH(B41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41" s="186">
        <v>37531.0</v>
      </c>
      <c r="G41" s="15">
        <f t="shared" si="1"/>
        <v>2002</v>
      </c>
      <c r="H41" s="11" t="s">
        <v>552</v>
      </c>
      <c r="I41" s="16" t="s">
        <v>553</v>
      </c>
      <c r="J41" s="17" t="s">
        <v>554</v>
      </c>
      <c r="K41" s="16" t="s">
        <v>26</v>
      </c>
      <c r="L41" s="18" t="s">
        <v>325</v>
      </c>
      <c r="M41" s="15" t="str">
        <f>IFERROR(__xludf.DUMMYFUNCTION("IF(REGEXMATCH(S41, ""Companhia das Letras""), ""Companhia das Letras"",
IF(REGEXMATCH(S41, ""Labortexto Editorial""), ""Labortexto Editorial"",
IF(REGEXMATCH(S41, ""Geração Editorial""), ""Geração Editorial"",
IF(REGEXMATCH(S41, ""Editora Imprensa Oficial"&amp;"|Imprensa Oficial""), ""Editora Imprensa Oficial"",
IF(REGEXMATCH(S41, ""Folha Online""), ""Folha Online"",
IF(REGEXMATCH(S41, ""FGV DIREITO SP|FGV Direito SP""), ""FGV DIREITO SP"",
IF(REGEXMATCH(S41, ""massacrecarandiru\.org\.br""), ""Memória Massacre C"&amp;"arandiru"",
IF(REGEXMATCH(S41, ""Itaú Cultural""), ""YouTube (Itaú Cultural)"",
IF(REGEXMATCH(S41, ""Passa Palavra""), ""Vimeo (Passa Palavra)"",
IF(REGEXMATCH(S41, ""rede2deoutubro\.blogspot""), ""Blogspot (Rede 02 de Outubro)"",
IF(REGEXMATCH(S41, ""Red"&amp;"e TVT""), ""YouTube (Rede TVT)"",
IF(REGEXMATCH(S41, ""Esquerda Diário""), ""Esquerda Diário"",
IF(REGEXMATCH(S41, ""GZH""), ""GZH"",
IF(REGEXMATCH(S41, ""TVPUC""), ""TVPUC"",
IF(REGEXMATCH(S41, ""Mídia Ninja.*Facebook""), ""Facebook (Mídia Ninja)"",
IF(R"&amp;"EGEXMATCH(S41, ""Memórias Carandiru.*Instagram""), ""Instagram (Memórias Carandiru)"",
IF(REGEXMATCH(S41, ""Frente pelo Desencarceramento SP""), ""YouTube (Frente Pelo Desencarceramento SP)"",
IF(REGEXMATCH(S41, ""TV ABA""), ""YouTube (TV ABA)"",
IF(REGEX"&amp;"MATCH(S41, ""TV SENADO""), ""YouTube (TV Senado)"",
IF(REGEXMATCH(S41, ""Google Arts &amp; Culture""), ""Google Arts &amp; Culture (Memória Massacre Carandiru)"",
IF(REGEXMATCH(S41, ""Anistia Internacional|ANISTIA INTERNACIONAL""), ""Anistia Internacional"",
IF(R"&amp;"EGEXMATCH(S41, ""47\.mostra|47a Mostra""), ""47a Mostra Internacional de Cinema em São Paulo"",
IF(REGEXMATCH(S41, ""Canal USP""), ""YouTube (Canal USP)"",
IF(AND(
  REGEXMATCH(S41, ""(?i)(teses?\.usp\.br|dissertacoes?\.usp\.br|repositorio\.usp\.br)""),
 "&amp;" NOT(REGEXMATCH(S41, ""Canal USP""))
), ""Biblioteca Digital de Teses e Dissertações da USP"",
IF(REGEXMATCH(S41, ""SINTRAJUSC""), ""SINTRAJUSC"",
IF(REGEXMATCH(S41, ""Agência Brasil|Agencia Brasil""), ""Agência Brasil"",
IF(REGEXMATCH(S41, ""Brasil de Fa"&amp;"to""), ""Brasil de Fato"",
IF(REGEXMATCH(S41, ""Ponte Jornalismo|pontejornalismo""), ""Ponte Jornalismo"",
IF(REGEXMATCH(S41, ""letras\.mus\.br|Letras,""), ""Letras"",
IF(REGEXMATCH(S41, ""YouTube|youtube""), 
   ""YouTube (""&amp;
   IF(REGEXMATCH(S41, ""It"&amp;"aú Cultural""), ""Itaú Cultural"",
   IF(REGEXMATCH(S41, ""Rede TVT""), ""Rede TVT"",
   IF(REGEXMATCH(S41, ""Frente pelo Desencarceramento SP""), ""Frente Pelo Desencarceramento SP"",
   IF(REGEXMATCH(S41, ""TV ABA""), ""TV ABA"",
   IF(REGEXMATCH(S41, "&amp;"""TV SENADO""), ""TV Senado"",
   IF(REGEXMATCH(S41, ""Canal USP""), ""Canal USP"",
   IF(REGEXMATCH(S41, ""Douer, Zack|Zack Douer""), ""Douer Zack"",
   IF(REGEXMATCH(S41, ""PRISIONEIRO 84\.901|PRISIONEIRO 84""), ""Prisioneiro 84.901"",
   IF(REGEXMATCH("&amp;"S41, ""^[^,]*, ""), 
        PROPER(REGEXREPLACE(REGEXEXTRACT(S41, ""^([^.]*)\.""), ""^([^,]*), (.*)"", ""$2 $1"")),
        PROPER(REGEXEXTRACT(S41, ""^([^.]*)\.""))
   )))))))))&amp;"")"",
IF(REGEXMATCH(S41, ""Spotify|spotify""), 
   ""Spotify (""&amp;
   IF(R"&amp;"EGEXMATCH(S41, ""ESTRANHO SORRISO""), ""Estranho Sorriso"",
   PROPER(REGEXEXTRACT(S41, ""^([^.]*)\.""))
   )&amp;"")"",
IF(REGEXMATCH(S41, ""Vimeo|vimeo""), 
   ""Vimeo (""&amp;
   IF(REGEXMATCH(S41, ""Passa Palavra""), ""Passa Palavra"",
   PROPER(REGEXEXTRACT"&amp;"(S41, ""^([^.]*)\.""))
   )&amp;"")"",
IF(REGEXMATCH(S41, ""Blogspot""), 
   ""Blogspot (""&amp;
   IF(REGEXMATCH(S41, ""rede2deoutubro""), ""Rede 02 de Outubro"",
   PROPER(REGEXEXTRACT(S41, ""^([^.]*)\.""))
   )&amp;"")"",
IF(REGEXMATCH(S41, ""Facebook""), 
   """&amp;"Facebook (""&amp;
   IF(REGEXMATCH(S41, ""Mídia Ninja""), ""Mídia Ninja"",
   PROPER(REGEXEXTRACT(S41, ""^([^.]*)\.""))
   )&amp;"")"",
IF(REGEXMATCH(S41, ""Instagram""), 
   ""Instagram (""&amp;
   IF(REGEXMATCH(S41, ""Memórias Carandiru""), ""Memórias Carandiru"","&amp;"
   PROPER(REGEXEXTRACT(S41, ""^([^.]*)\.""))
   )&amp;"")"",
IF(REGEXMATCH(S41, ""Folha de S\. Paulo|FOLHA DE S\. PAULO""), ""Folha de S. Paulo"",
IF(REGEXMATCH(S41, ""O Estado de S\. Paulo|ESTADAO""), ""O Estado de S. Paulo"",
IF(REGEXMATCH(S41, ""salasecr"&amp;"eta""), ""Wordpress (Sala Secreta)"",
IF(REGEXMATCH(S41, ""Wikipedia|Wikipédia|WIKIPÉDIA""), ""Wikipedia"",
IF(REGEXMATCH(S41, ""VEJA|Veja""), ""Veja Abril"",
IF(REGEXMATCH(S312, ""Rede Globo|REDE GLOBO""), ""Rede Globo"",
IF(REGEXMATCH(S312, ""G1|globo\."&amp;"com""), ""G1"",
IF(REGEXMATCH(S41, ""Deutsche Welle|DW\.com""), ""Deutsche Welle"",
IF(REGEXMATCH(S41, ""CIDH|Comissão Interamericana""), ""Comissão Interamericana de Direitos Humanos (CIDH)"",
IF(REGEXMATCH(S41, ""Pastoral Carcerária""), ""Pastoral Carce"&amp;"rária"",
IF(REGEXMATCH(S41, ""Esquerda Web""), ""Esquerda Web"",
IF(REGEXMATCH(S41, ""ONU|Organização das Nações Unidas""), ""ONU Brasil"",
IF(REGEXMATCH(S41, ""Quilombo Invisível""), ""Quilombo Invisível"",
IF(REGEXMATCH(S41, ""ALESP|Assembleia Legislati"&amp;"va""), ""ALESP"",
IF(REGEXMATCH(S41, ""Revista Opera""), ""Revista Opera"",
IF(REGEXMATCH(S41, ""SP Escola de Teatro""), ""SP Escola de Teatro"",
IF(REGEXMATCH(S41, ""EMC|Espaço Memória Carandiru""), ""EMC Espaço Memória Carandiru"",
IF(REGEXMATCH(S41, "&amp;"""^RAMOS, Nuno|Nuno Ramos""), ""Nuno Ramos"",
IF(REGEXMATCH(S41, ""^VELOSO, Caetano|Caetano Veloso""), ""YouTube (Caetano Veloso)"",
IF(REGEXMATCH(S41, ""^FATOS REAIS""), ""YouTube (Fatos Reais - Topic)"",
IF(REGEXMATCH(S41, ""^SALA SECRETA""), ""Wordpres"&amp;"s (Sala Secreta)"",
PROPER(REGEXEXTRACT(S41, ""^([^.]*)\.""))
))))))))))))))))))))))))))))))))))))))))))))))))))))))))"),"Folha de S. Paulo")</f>
        <v>Folha de S. Paulo</v>
      </c>
      <c r="N41" s="11" t="s">
        <v>47</v>
      </c>
      <c r="O41" s="11" t="s">
        <v>490</v>
      </c>
      <c r="P41" s="183">
        <v>45855.0</v>
      </c>
      <c r="Q41" s="11" t="s">
        <v>154</v>
      </c>
      <c r="R41" s="70" t="str">
        <f>HYPERLINK(LEFT(MID(S41,FIND("http",S41),LEN(S41)),FIND(". Acesso em",S41)-FIND("http",S41)),"Aqui")</f>
        <v>Aqui</v>
      </c>
      <c r="S41" s="75" t="s">
        <v>555</v>
      </c>
    </row>
    <row r="42">
      <c r="A42" s="11">
        <v>40.0</v>
      </c>
      <c r="B42" s="11" t="s">
        <v>203</v>
      </c>
      <c r="C42" s="12" t="str">
        <f>IFERROR(__xludf.DUMMYFUNCTION("IF(B42="""","""",IF(OR(
  REGEXMATCH(B42,""Performance|Instalação|Álbum|Música|Poema|Livro|Filme|Documentário|Recitação|Espetáculo|Peça|Intervenção|Desfile|Fotografia|Exposição|Charge|Grafite|Leitura pública|Fabricação de cachaça artesanal""),
  REGEXMATC"&amp;"H(B42,""dança|teatral|artístico|musical|artística"")
),""Manifestação artístico-cultural"",
IF(OR(
  REGEXMATCH(B42,""Crônica|Série|Reportagem|Podcast|Audiotour|Entrevista|Vídeo|Rádio""),
  REGEXMATCH(B42,""midiática"")
),""Produção midiática"","""")))
"),"Manifestação artístico-cultural")</f>
        <v>Manifestação artístico-cultural</v>
      </c>
      <c r="D42" s="13" t="str">
        <f>IFERROR(__xludf.DUMMYFUNCTION("IF(B42="""","""",IF(OR(
  REGEXMATCH(B42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REGEXMATCH(B42,""público|Imediato|artística|teatral|memória"")
),""Público Imediato"",
IF(REGEXMATCH(B42,""Música|Álbum|Filme|Documentário|Série|Podcast|"&amp;"Rádio|Audiotour|Entrevista|Reportagem|Crônica|Relatório|Abaixo-assinado|Manifesto|Petição|Poema|Livro|Fotografia|Curta|Live|Webinário|Charge|Leitura pública|Vídeo""),
""Público Mediado"","""")))
"),"Público Mediado")</f>
        <v>Público Mediado</v>
      </c>
      <c r="E42" s="13" t="str">
        <f>IFERROR(__xludf.DUMMYFUNCTION("IF(B42="""","""",IF(OR(
  REGEXMATCH(B42,""Live|Webinário|Virtual""),
  REGEXMATCH(B42,""online"")
),""Virtual"",
IF(REGEXMATCH(B42,""Música|Álbum|Filme|Documentário|Série|Podcast|Rádio|Audiotour|Episódio|Reportagem|Curta|Charge|Livro|Vídeo|Entrevista""),"&amp;"
""Midiático"",
IF(REGEXMATCH(B42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2" s="186">
        <v>37568.0</v>
      </c>
      <c r="G42" s="15">
        <f t="shared" si="1"/>
        <v>2002</v>
      </c>
      <c r="H42" s="11" t="s">
        <v>23</v>
      </c>
      <c r="I42" s="16" t="s">
        <v>440</v>
      </c>
      <c r="J42" s="17" t="s">
        <v>556</v>
      </c>
      <c r="K42" s="16" t="s">
        <v>103</v>
      </c>
      <c r="L42" s="18" t="s">
        <v>475</v>
      </c>
      <c r="M42" s="15" t="str">
        <f>IFERROR(__xludf.DUMMYFUNCTION("IF(REGEXMATCH(S42, ""Companhia das Letras""), ""Companhia das Letras"",
IF(REGEXMATCH(S42, ""Labortexto Editorial""), ""Labortexto Editorial"",
IF(REGEXMATCH(S42, ""Geração Editorial""), ""Geração Editorial"",
IF(REGEXMATCH(S42, ""Editora Imprensa Oficial"&amp;"|Imprensa Oficial""), ""Editora Imprensa Oficial"",
IF(REGEXMATCH(S42, ""Folha Online""), ""Folha Online"",
IF(REGEXMATCH(S42, ""FGV DIREITO SP|FGV Direito SP""), ""FGV DIREITO SP"",
IF(REGEXMATCH(S42, ""massacrecarandiru\.org\.br""), ""Memória Massacre C"&amp;"arandiru"",
IF(REGEXMATCH(S42, ""Itaú Cultural""), ""YouTube (Itaú Cultural)"",
IF(REGEXMATCH(S42, ""Passa Palavra""), ""Vimeo (Passa Palavra)"",
IF(REGEXMATCH(S42, ""rede2deoutubro\.blogspot""), ""Blogspot (Rede 02 de Outubro)"",
IF(REGEXMATCH(S42, ""Red"&amp;"e TVT""), ""YouTube (Rede TVT)"",
IF(REGEXMATCH(S42, ""Esquerda Diário""), ""Esquerda Diário"",
IF(REGEXMATCH(S42, ""GZH""), ""GZH"",
IF(REGEXMATCH(S42, ""TVPUC""), ""TVPUC"",
IF(REGEXMATCH(S42, ""Mídia Ninja.*Facebook""), ""Facebook (Mídia Ninja)"",
IF(R"&amp;"EGEXMATCH(S42, ""Memórias Carandiru.*Instagram""), ""Instagram (Memórias Carandiru)"",
IF(REGEXMATCH(S42, ""Frente pelo Desencarceramento SP""), ""YouTube (Frente Pelo Desencarceramento SP)"",
IF(REGEXMATCH(S42, ""TV ABA""), ""YouTube (TV ABA)"",
IF(REGEX"&amp;"MATCH(S42, ""TV SENADO""), ""YouTube (TV Senado)"",
IF(REGEXMATCH(S42, ""Google Arts &amp; Culture""), ""Google Arts &amp; Culture (Memória Massacre Carandiru)"",
IF(REGEXMATCH(S42, ""Anistia Internacional|ANISTIA INTERNACIONAL""), ""Anistia Internacional"",
IF(R"&amp;"EGEXMATCH(S42, ""47\.mostra|47a Mostra""), ""47a Mostra Internacional de Cinema em São Paulo"",
IF(REGEXMATCH(S42, ""Canal USP""), ""YouTube (Canal USP)"",
IF(AND(
  REGEXMATCH(S42, ""(?i)(teses?\.usp\.br|dissertacoes?\.usp\.br|repositorio\.usp\.br)""),
 "&amp;" NOT(REGEXMATCH(S42, ""Canal USP""))
), ""Biblioteca Digital de Teses e Dissertações da USP"",
IF(REGEXMATCH(S42, ""SINTRAJUSC""), ""SINTRAJUSC"",
IF(REGEXMATCH(S42, ""Agência Brasil|Agencia Brasil""), ""Agência Brasil"",
IF(REGEXMATCH(S42, ""Brasil de Fa"&amp;"to""), ""Brasil de Fato"",
IF(REGEXMATCH(S42, ""Ponte Jornalismo|pontejornalismo""), ""Ponte Jornalismo"",
IF(REGEXMATCH(S42, ""letras\.mus\.br|Letras,""), ""Letras"",
IF(REGEXMATCH(S42, ""YouTube|youtube""), 
   ""YouTube (""&amp;
   IF(REGEXMATCH(S42, ""It"&amp;"aú Cultural""), ""Itaú Cultural"",
   IF(REGEXMATCH(S42, ""Rede TVT""), ""Rede TVT"",
   IF(REGEXMATCH(S42, ""Frente pelo Desencarceramento SP""), ""Frente Pelo Desencarceramento SP"",
   IF(REGEXMATCH(S42, ""TV ABA""), ""TV ABA"",
   IF(REGEXMATCH(S42, "&amp;"""TV SENADO""), ""TV Senado"",
   IF(REGEXMATCH(S42, ""Canal USP""), ""Canal USP"",
   IF(REGEXMATCH(S42, ""Douer, Zack|Zack Douer""), ""Douer Zack"",
   IF(REGEXMATCH(S42, ""PRISIONEIRO 84\.901|PRISIONEIRO 84""), ""Prisioneiro 84.901"",
   IF(REGEXMATCH("&amp;"S42, ""^[^,]*, ""), 
        PROPER(REGEXREPLACE(REGEXEXTRACT(S42, ""^([^.]*)\.""), ""^([^,]*), (.*)"", ""$2 $1"")),
        PROPER(REGEXEXTRACT(S42, ""^([^.]*)\.""))
   )))))))))&amp;"")"",
IF(REGEXMATCH(S42, ""Spotify|spotify""), 
   ""Spotify (""&amp;
   IF(R"&amp;"EGEXMATCH(S42, ""ESTRANHO SORRISO""), ""Estranho Sorriso"",
   PROPER(REGEXEXTRACT(S42, ""^([^.]*)\.""))
   )&amp;"")"",
IF(REGEXMATCH(S42, ""Vimeo|vimeo""), 
   ""Vimeo (""&amp;
   IF(REGEXMATCH(S42, ""Passa Palavra""), ""Passa Palavra"",
   PROPER(REGEXEXTRACT"&amp;"(S42, ""^([^.]*)\.""))
   )&amp;"")"",
IF(REGEXMATCH(S42, ""Blogspot""), 
   ""Blogspot (""&amp;
   IF(REGEXMATCH(S42, ""rede2deoutubro""), ""Rede 02 de Outubro"",
   PROPER(REGEXEXTRACT(S42, ""^([^.]*)\.""))
   )&amp;"")"",
IF(REGEXMATCH(S42, ""Facebook""), 
   """&amp;"Facebook (""&amp;
   IF(REGEXMATCH(S42, ""Mídia Ninja""), ""Mídia Ninja"",
   PROPER(REGEXEXTRACT(S42, ""^([^.]*)\.""))
   )&amp;"")"",
IF(REGEXMATCH(S42, ""Instagram""), 
   ""Instagram (""&amp;
   IF(REGEXMATCH(S42, ""Memórias Carandiru""), ""Memórias Carandiru"","&amp;"
   PROPER(REGEXEXTRACT(S42, ""^([^.]*)\.""))
   )&amp;"")"",
IF(REGEXMATCH(S42, ""Folha de S\. Paulo|FOLHA DE S\. PAULO""), ""Folha de S. Paulo"",
IF(REGEXMATCH(S42, ""O Estado de S\. Paulo|ESTADAO""), ""O Estado de S. Paulo"",
IF(REGEXMATCH(S42, ""salasecr"&amp;"eta""), ""Wordpress (Sala Secreta)"",
IF(REGEXMATCH(S42, ""Wikipedia|Wikipédia|WIKIPÉDIA""), ""Wikipedia"",
IF(REGEXMATCH(S42, ""VEJA|Veja""), ""Veja Abril"",
IF(REGEXMATCH(S313, ""Rede Globo|REDE GLOBO""), ""Rede Globo"",
IF(REGEXMATCH(S313, ""G1|globo\."&amp;"com""), ""G1"",
IF(REGEXMATCH(S42, ""Deutsche Welle|DW\.com""), ""Deutsche Welle"",
IF(REGEXMATCH(S42, ""CIDH|Comissão Interamericana""), ""Comissão Interamericana de Direitos Humanos (CIDH)"",
IF(REGEXMATCH(S42, ""Pastoral Carcerária""), ""Pastoral Carce"&amp;"rária"",
IF(REGEXMATCH(S42, ""Esquerda Web""), ""Esquerda Web"",
IF(REGEXMATCH(S42, ""ONU|Organização das Nações Unidas""), ""ONU Brasil"",
IF(REGEXMATCH(S42, ""Quilombo Invisível""), ""Quilombo Invisível"",
IF(REGEXMATCH(S42, ""ALESP|Assembleia Legislati"&amp;"va""), ""ALESP"",
IF(REGEXMATCH(S42, ""Revista Opera""), ""Revista Opera"",
IF(REGEXMATCH(S42, ""SP Escola de Teatro""), ""SP Escola de Teatro"",
IF(REGEXMATCH(S42, ""EMC|Espaço Memória Carandiru""), ""EMC Espaço Memória Carandiru"",
IF(REGEXMATCH(S42, "&amp;"""^RAMOS, Nuno|Nuno Ramos""), ""Nuno Ramos"",
IF(REGEXMATCH(S42, ""^VELOSO, Caetano|Caetano Veloso""), ""YouTube (Caetano Veloso)"",
IF(REGEXMATCH(S42, ""^FATOS REAIS""), ""YouTube (Fatos Reais - Topic)"",
IF(REGEXMATCH(S42, ""^SALA SECRETA""), ""Wordpres"&amp;"s (Sala Secreta)"",
PROPER(REGEXEXTRACT(S42, ""^([^.]*)\.""))
))))))))))))))))))))))))))))))))))))))))))))))))))))))))"),"Geração Editorial")</f>
        <v>Geração Editorial</v>
      </c>
      <c r="N42" s="11" t="s">
        <v>47</v>
      </c>
      <c r="O42" s="11" t="s">
        <v>149</v>
      </c>
      <c r="P42" s="183">
        <v>45856.0</v>
      </c>
      <c r="Q42" s="11" t="s">
        <v>154</v>
      </c>
      <c r="R42" s="194"/>
      <c r="S42" s="75" t="s">
        <v>557</v>
      </c>
    </row>
    <row r="43">
      <c r="A43" s="11">
        <v>41.0</v>
      </c>
      <c r="B43" s="11" t="s">
        <v>76</v>
      </c>
      <c r="C43" s="12" t="str">
        <f>IFERROR(__xludf.DUMMYFUNCTION("IF(B43="""","""",IF(OR(
  REGEXMATCH(B43,""Performance|Instalação|Álbum|Música|Poema|Livro|Filme|Documentário|Recitação|Espetáculo|Peça|Intervenção|Desfile|Fotografia|Exposição|Charge|Grafite|Leitura pública|Fabricação de cachaça artesanal""),
  REGEXMATC"&amp;"H(B43,""dança|teatral|artístico|musical|artística"")
),""Manifestação artístico-cultural"",
IF(OR(
  REGEXMATCH(B43,""Crônica|Série|Reportagem|Podcast|Audiotour|Entrevista|Vídeo|Rádio""),
  REGEXMATCH(B43,""midiática"")
),""Produção midiática"","""")))
"),"Manifestação artístico-cultural")</f>
        <v>Manifestação artístico-cultural</v>
      </c>
      <c r="D43" s="13" t="str">
        <f>IFERROR(__xludf.DUMMYFUNCTION("IF(B43="""","""",IF(OR(
  REGEXMATCH(B43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REGEXMATCH(B43,""público|Imediato|artística|teatral|memória"")
),""Público Imediato"",
IF(REGEXMATCH(B43,""Música|Álbum|Filme|Documentário|Série|Podcast|"&amp;"Rádio|Audiotour|Entrevista|Reportagem|Crônica|Relatório|Abaixo-assinado|Manifesto|Petição|Poema|Livro|Fotografia|Curta|Live|Webinário|Charge|Leitura pública|Vídeo""),
""Público Mediado"","""")))
"),"Público Imediato")</f>
        <v>Público Imediato</v>
      </c>
      <c r="E43" s="13" t="str">
        <f>IFERROR(__xludf.DUMMYFUNCTION("IF(B43="""","""",IF(OR(
  REGEXMATCH(B43,""Live|Webinário|Virtual""),
  REGEXMATCH(B43,""online"")
),""Virtual"",
IF(REGEXMATCH(B43,""Música|Álbum|Filme|Documentário|Série|Podcast|Rádio|Audiotour|Episódio|Reportagem|Curta|Charge|Livro|Vídeo|Entrevista""),"&amp;"
""Midiático"",
IF(REGEXMATCH(B43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43" s="11">
        <v>2002.0</v>
      </c>
      <c r="G43" s="15">
        <f t="shared" si="1"/>
        <v>2002</v>
      </c>
      <c r="H43" s="11" t="s">
        <v>23</v>
      </c>
      <c r="I43" s="16" t="s">
        <v>558</v>
      </c>
      <c r="J43" s="17" t="s">
        <v>559</v>
      </c>
      <c r="K43" s="16" t="s">
        <v>91</v>
      </c>
      <c r="L43" s="18" t="s">
        <v>94</v>
      </c>
      <c r="M43" s="15" t="str">
        <f>IFERROR(__xludf.DUMMYFUNCTION("IF(REGEXMATCH(S43, ""Companhia das Letras""), ""Companhia das Letras"",
IF(REGEXMATCH(S43, ""Labortexto Editorial""), ""Labortexto Editorial"",
IF(REGEXMATCH(S43, ""Geração Editorial""), ""Geração Editorial"",
IF(REGEXMATCH(S43, ""Editora Imprensa Oficial"&amp;"|Imprensa Oficial""), ""Editora Imprensa Oficial"",
IF(REGEXMATCH(S43, ""Folha Online""), ""Folha Online"",
IF(REGEXMATCH(S43, ""FGV DIREITO SP|FGV Direito SP""), ""FGV DIREITO SP"",
IF(REGEXMATCH(S43, ""massacrecarandiru\.org\.br""), ""Memória Massacre C"&amp;"arandiru"",
IF(REGEXMATCH(S43, ""Itaú Cultural""), ""YouTube (Itaú Cultural)"",
IF(REGEXMATCH(S43, ""Passa Palavra""), ""Vimeo (Passa Palavra)"",
IF(REGEXMATCH(S43, ""rede2deoutubro\.blogspot""), ""Blogspot (Rede 02 de Outubro)"",
IF(REGEXMATCH(S43, ""Red"&amp;"e TVT""), ""YouTube (Rede TVT)"",
IF(REGEXMATCH(S43, ""Esquerda Diário""), ""Esquerda Diário"",
IF(REGEXMATCH(S43, ""GZH""), ""GZH"",
IF(REGEXMATCH(S43, ""TVPUC""), ""TVPUC"",
IF(REGEXMATCH(S43, ""Mídia Ninja.*Facebook""), ""Facebook (Mídia Ninja)"",
IF(R"&amp;"EGEXMATCH(S43, ""Memórias Carandiru.*Instagram""), ""Instagram (Memórias Carandiru)"",
IF(REGEXMATCH(S43, ""Frente pelo Desencarceramento SP""), ""YouTube (Frente Pelo Desencarceramento SP)"",
IF(REGEXMATCH(S43, ""TV ABA""), ""YouTube (TV ABA)"",
IF(REGEX"&amp;"MATCH(S43, ""TV SENADO""), ""YouTube (TV Senado)"",
IF(REGEXMATCH(S43, ""Google Arts &amp; Culture""), ""Google Arts &amp; Culture (Memória Massacre Carandiru)"",
IF(REGEXMATCH(S43, ""Anistia Internacional|ANISTIA INTERNACIONAL""), ""Anistia Internacional"",
IF(R"&amp;"EGEXMATCH(S43, ""47\.mostra|47a Mostra""), ""47a Mostra Internacional de Cinema em São Paulo"",
IF(REGEXMATCH(S43, ""Canal USP""), ""YouTube (Canal USP)"",
IF(AND(
  REGEXMATCH(S43, ""(?i)(teses?\.usp\.br|dissertacoes?\.usp\.br|repositorio\.usp\.br)""),
 "&amp;" NOT(REGEXMATCH(S43, ""Canal USP""))
), ""Biblioteca Digital de Teses e Dissertações da USP"",
IF(REGEXMATCH(S43, ""SINTRAJUSC""), ""SINTRAJUSC"",
IF(REGEXMATCH(S43, ""Agência Brasil|Agencia Brasil""), ""Agência Brasil"",
IF(REGEXMATCH(S43, ""Brasil de Fa"&amp;"to""), ""Brasil de Fato"",
IF(REGEXMATCH(S43, ""Ponte Jornalismo|pontejornalismo""), ""Ponte Jornalismo"",
IF(REGEXMATCH(S43, ""letras\.mus\.br|Letras,""), ""Letras"",
IF(REGEXMATCH(S43, ""YouTube|youtube""), 
   ""YouTube (""&amp;
   IF(REGEXMATCH(S43, ""It"&amp;"aú Cultural""), ""Itaú Cultural"",
   IF(REGEXMATCH(S43, ""Rede TVT""), ""Rede TVT"",
   IF(REGEXMATCH(S43, ""Frente pelo Desencarceramento SP""), ""Frente Pelo Desencarceramento SP"",
   IF(REGEXMATCH(S43, ""TV ABA""), ""TV ABA"",
   IF(REGEXMATCH(S43, "&amp;"""TV SENADO""), ""TV Senado"",
   IF(REGEXMATCH(S43, ""Canal USP""), ""Canal USP"",
   IF(REGEXMATCH(S43, ""Douer, Zack|Zack Douer""), ""Douer Zack"",
   IF(REGEXMATCH(S43, ""PRISIONEIRO 84\.901|PRISIONEIRO 84""), ""Prisioneiro 84.901"",
   IF(REGEXMATCH("&amp;"S43, ""^[^,]*, ""), 
        PROPER(REGEXREPLACE(REGEXEXTRACT(S43, ""^([^.]*)\.""), ""^([^,]*), (.*)"", ""$2 $1"")),
        PROPER(REGEXEXTRACT(S43, ""^([^.]*)\.""))
   )))))))))&amp;"")"",
IF(REGEXMATCH(S43, ""Spotify|spotify""), 
   ""Spotify (""&amp;
   IF(R"&amp;"EGEXMATCH(S43, ""ESTRANHO SORRISO""), ""Estranho Sorriso"",
   PROPER(REGEXEXTRACT(S43, ""^([^.]*)\.""))
   )&amp;"")"",
IF(REGEXMATCH(S43, ""Vimeo|vimeo""), 
   ""Vimeo (""&amp;
   IF(REGEXMATCH(S43, ""Passa Palavra""), ""Passa Palavra"",
   PROPER(REGEXEXTRACT"&amp;"(S43, ""^([^.]*)\.""))
   )&amp;"")"",
IF(REGEXMATCH(S43, ""Blogspot""), 
   ""Blogspot (""&amp;
   IF(REGEXMATCH(S43, ""rede2deoutubro""), ""Rede 02 de Outubro"",
   PROPER(REGEXEXTRACT(S43, ""^([^.]*)\.""))
   )&amp;"")"",
IF(REGEXMATCH(S43, ""Facebook""), 
   """&amp;"Facebook (""&amp;
   IF(REGEXMATCH(S43, ""Mídia Ninja""), ""Mídia Ninja"",
   PROPER(REGEXEXTRACT(S43, ""^([^.]*)\.""))
   )&amp;"")"",
IF(REGEXMATCH(S43, ""Instagram""), 
   ""Instagram (""&amp;
   IF(REGEXMATCH(S43, ""Memórias Carandiru""), ""Memórias Carandiru"","&amp;"
   PROPER(REGEXEXTRACT(S43, ""^([^.]*)\.""))
   )&amp;"")"",
IF(REGEXMATCH(S43, ""Folha de S\. Paulo|FOLHA DE S\. PAULO""), ""Folha de S. Paulo"",
IF(REGEXMATCH(S43, ""O Estado de S\. Paulo|ESTADAO""), ""O Estado de S. Paulo"",
IF(REGEXMATCH(S43, ""salasecr"&amp;"eta""), ""Wordpress (Sala Secreta)"",
IF(REGEXMATCH(S43, ""Wikipedia|Wikipédia|WIKIPÉDIA""), ""Wikipedia"",
IF(REGEXMATCH(S43, ""VEJA|Veja""), ""Veja Abril"",
IF(REGEXMATCH(S314, ""Rede Globo|REDE GLOBO""), ""Rede Globo"",
IF(REGEXMATCH(S314, ""G1|globo\."&amp;"com""), ""G1"",
IF(REGEXMATCH(S43, ""Deutsche Welle|DW\.com""), ""Deutsche Welle"",
IF(REGEXMATCH(S43, ""CIDH|Comissão Interamericana""), ""Comissão Interamericana de Direitos Humanos (CIDH)"",
IF(REGEXMATCH(S43, ""Pastoral Carcerária""), ""Pastoral Carce"&amp;"rária"",
IF(REGEXMATCH(S43, ""Esquerda Web""), ""Esquerda Web"",
IF(REGEXMATCH(S43, ""ONU|Organização das Nações Unidas""), ""ONU Brasil"",
IF(REGEXMATCH(S43, ""Quilombo Invisível""), ""Quilombo Invisível"",
IF(REGEXMATCH(S43, ""ALESP|Assembleia Legislati"&amp;"va""), ""ALESP"",
IF(REGEXMATCH(S43, ""Revista Opera""), ""Revista Opera"",
IF(REGEXMATCH(S43, ""SP Escola de Teatro""), ""SP Escola de Teatro"",
IF(REGEXMATCH(S43, ""EMC|Espaço Memória Carandiru""), ""EMC Espaço Memória Carandiru"",
IF(REGEXMATCH(S43, "&amp;"""^RAMOS, Nuno|Nuno Ramos""), ""Nuno Ramos"",
IF(REGEXMATCH(S43, ""^VELOSO, Caetano|Caetano Veloso""), ""YouTube (Caetano Veloso)"",
IF(REGEXMATCH(S43, ""^FATOS REAIS""), ""YouTube (Fatos Reais - Topic)"",
IF(REGEXMATCH(S43, ""^SALA SECRETA""), ""Wordpres"&amp;"s (Sala Secreta)"",
PROPER(REGEXEXTRACT(S43, ""^([^.]*)\.""))
))))))))))))))))))))))))))))))))))))))))))))))))))))))))"),"Biblioteca Digital de Teses e Dissertações da USP")</f>
        <v>Biblioteca Digital de Teses e Dissertações da USP</v>
      </c>
      <c r="N43" s="11" t="s">
        <v>47</v>
      </c>
      <c r="O43" s="14" t="s">
        <v>477</v>
      </c>
      <c r="P43" s="171">
        <v>45945.0</v>
      </c>
      <c r="Q43" s="11" t="s">
        <v>154</v>
      </c>
      <c r="R43" s="70" t="str">
        <f t="shared" ref="R43:R45" si="6">HYPERLINK(LEFT(MID(S43,FIND("http",S43),LEN(S43)),FIND(". Acesso em",S43)-FIND("http",S43)),"Aqui")</f>
        <v>Aqui</v>
      </c>
      <c r="S43" s="172" t="s">
        <v>479</v>
      </c>
    </row>
    <row r="44">
      <c r="A44" s="11">
        <v>42.0</v>
      </c>
      <c r="B44" s="11" t="s">
        <v>203</v>
      </c>
      <c r="C44" s="12" t="str">
        <f>IFERROR(__xludf.DUMMYFUNCTION("IF(B44="""","""",IF(OR(
  REGEXMATCH(B44,""Performance|Instalação|Álbum|Música|Poema|Livro|Filme|Documentário|Recitação|Espetáculo|Peça|Intervenção|Desfile|Fotografia|Exposição|Charge|Grafite|Leitura pública|Fabricação de cachaça artesanal""),
  REGEXMATC"&amp;"H(B44,""dança|teatral|artístico|musical|artística"")
),""Manifestação artístico-cultural"",
IF(OR(
  REGEXMATCH(B44,""Crônica|Série|Reportagem|Podcast|Audiotour|Entrevista|Vídeo|Rádio""),
  REGEXMATCH(B44,""midiática"")
),""Produção midiática"","""")))
"),"Manifestação artístico-cultural")</f>
        <v>Manifestação artístico-cultural</v>
      </c>
      <c r="D44" s="13" t="str">
        <f>IFERROR(__xludf.DUMMYFUNCTION("IF(B44="""","""",IF(OR(
  REGEXMATCH(B44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REGEXMATCH(B44,""público|Imediato|artística|teatral|memória"")
),""Público Imediato"",
IF(REGEXMATCH(B44,""Música|Álbum|Filme|Documentário|Série|Podcast|"&amp;"Rádio|Audiotour|Entrevista|Reportagem|Crônica|Relatório|Abaixo-assinado|Manifesto|Petição|Poema|Livro|Fotografia|Curta|Live|Webinário|Charge|Leitura pública|Vídeo""),
""Público Mediado"","""")))
"),"Público Mediado")</f>
        <v>Público Mediado</v>
      </c>
      <c r="E44" s="13" t="str">
        <f>IFERROR(__xludf.DUMMYFUNCTION("IF(B44="""","""",IF(OR(
  REGEXMATCH(B44,""Live|Webinário|Virtual""),
  REGEXMATCH(B44,""online"")
),""Virtual"",
IF(REGEXMATCH(B44,""Música|Álbum|Filme|Documentário|Série|Podcast|Rádio|Audiotour|Episódio|Reportagem|Curta|Charge|Livro|Vídeo|Entrevista""),"&amp;"
""Midiático"",
IF(REGEXMATCH(B44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4" s="11">
        <v>2002.0</v>
      </c>
      <c r="G44" s="15">
        <f t="shared" si="1"/>
        <v>2002</v>
      </c>
      <c r="H44" s="11" t="s">
        <v>23</v>
      </c>
      <c r="I44" s="16" t="s">
        <v>440</v>
      </c>
      <c r="J44" s="17" t="s">
        <v>560</v>
      </c>
      <c r="K44" s="16" t="s">
        <v>103</v>
      </c>
      <c r="L44" s="18" t="s">
        <v>475</v>
      </c>
      <c r="M44" s="15" t="str">
        <f>IFERROR(__xludf.DUMMYFUNCTION("IF(REGEXMATCH(S44, ""Companhia das Letras""), ""Companhia das Letras"",
IF(REGEXMATCH(S44, ""Labortexto Editorial""), ""Labortexto Editorial"",
IF(REGEXMATCH(S44, ""Geração Editorial""), ""Geração Editorial"",
IF(REGEXMATCH(S44, ""Editora Imprensa Oficial"&amp;"|Imprensa Oficial""), ""Editora Imprensa Oficial"",
IF(REGEXMATCH(S44, ""Folha Online""), ""Folha Online"",
IF(REGEXMATCH(S44, ""FGV DIREITO SP|FGV Direito SP""), ""FGV DIREITO SP"",
IF(REGEXMATCH(S44, ""massacrecarandiru\.org\.br""), ""Memória Massacre C"&amp;"arandiru"",
IF(REGEXMATCH(S44, ""Itaú Cultural""), ""YouTube (Itaú Cultural)"",
IF(REGEXMATCH(S44, ""Passa Palavra""), ""Vimeo (Passa Palavra)"",
IF(REGEXMATCH(S44, ""rede2deoutubro\.blogspot""), ""Blogspot (Rede 02 de Outubro)"",
IF(REGEXMATCH(S44, ""Red"&amp;"e TVT""), ""YouTube (Rede TVT)"",
IF(REGEXMATCH(S44, ""Esquerda Diário""), ""Esquerda Diário"",
IF(REGEXMATCH(S44, ""GZH""), ""GZH"",
IF(REGEXMATCH(S44, ""TVPUC""), ""TVPUC"",
IF(REGEXMATCH(S44, ""Mídia Ninja.*Facebook""), ""Facebook (Mídia Ninja)"",
IF(R"&amp;"EGEXMATCH(S44, ""Memórias Carandiru.*Instagram""), ""Instagram (Memórias Carandiru)"",
IF(REGEXMATCH(S44, ""Frente pelo Desencarceramento SP""), ""YouTube (Frente Pelo Desencarceramento SP)"",
IF(REGEXMATCH(S44, ""TV ABA""), ""YouTube (TV ABA)"",
IF(REGEX"&amp;"MATCH(S44, ""TV SENADO""), ""YouTube (TV Senado)"",
IF(REGEXMATCH(S44, ""Google Arts &amp; Culture""), ""Google Arts &amp; Culture (Memória Massacre Carandiru)"",
IF(REGEXMATCH(S44, ""Anistia Internacional|ANISTIA INTERNACIONAL""), ""Anistia Internacional"",
IF(R"&amp;"EGEXMATCH(S44, ""47\.mostra|47a Mostra""), ""47a Mostra Internacional de Cinema em São Paulo"",
IF(REGEXMATCH(S44, ""Canal USP""), ""YouTube (Canal USP)"",
IF(AND(
  REGEXMATCH(S44, ""(?i)(teses?\.usp\.br|dissertacoes?\.usp\.br|repositorio\.usp\.br)""),
 "&amp;" NOT(REGEXMATCH(S44, ""Canal USP""))
), ""Biblioteca Digital de Teses e Dissertações da USP"",
IF(REGEXMATCH(S44, ""SINTRAJUSC""), ""SINTRAJUSC"",
IF(REGEXMATCH(S44, ""Agência Brasil|Agencia Brasil""), ""Agência Brasil"",
IF(REGEXMATCH(S44, ""Brasil de Fa"&amp;"to""), ""Brasil de Fato"",
IF(REGEXMATCH(S44, ""Ponte Jornalismo|pontejornalismo""), ""Ponte Jornalismo"",
IF(REGEXMATCH(S44, ""letras\.mus\.br|Letras,""), ""Letras"",
IF(REGEXMATCH(S44, ""YouTube|youtube""), 
   ""YouTube (""&amp;
   IF(REGEXMATCH(S44, ""It"&amp;"aú Cultural""), ""Itaú Cultural"",
   IF(REGEXMATCH(S44, ""Rede TVT""), ""Rede TVT"",
   IF(REGEXMATCH(S44, ""Frente pelo Desencarceramento SP""), ""Frente Pelo Desencarceramento SP"",
   IF(REGEXMATCH(S44, ""TV ABA""), ""TV ABA"",
   IF(REGEXMATCH(S44, "&amp;"""TV SENADO""), ""TV Senado"",
   IF(REGEXMATCH(S44, ""Canal USP""), ""Canal USP"",
   IF(REGEXMATCH(S44, ""Douer, Zack|Zack Douer""), ""Douer Zack"",
   IF(REGEXMATCH(S44, ""PRISIONEIRO 84\.901|PRISIONEIRO 84""), ""Prisioneiro 84.901"",
   IF(REGEXMATCH("&amp;"S44, ""^[^,]*, ""), 
        PROPER(REGEXREPLACE(REGEXEXTRACT(S44, ""^([^.]*)\.""), ""^([^,]*), (.*)"", ""$2 $1"")),
        PROPER(REGEXEXTRACT(S44, ""^([^.]*)\.""))
   )))))))))&amp;"")"",
IF(REGEXMATCH(S44, ""Spotify|spotify""), 
   ""Spotify (""&amp;
   IF(R"&amp;"EGEXMATCH(S44, ""ESTRANHO SORRISO""), ""Estranho Sorriso"",
   PROPER(REGEXEXTRACT(S44, ""^([^.]*)\.""))
   )&amp;"")"",
IF(REGEXMATCH(S44, ""Vimeo|vimeo""), 
   ""Vimeo (""&amp;
   IF(REGEXMATCH(S44, ""Passa Palavra""), ""Passa Palavra"",
   PROPER(REGEXEXTRACT"&amp;"(S44, ""^([^.]*)\.""))
   )&amp;"")"",
IF(REGEXMATCH(S44, ""Blogspot""), 
   ""Blogspot (""&amp;
   IF(REGEXMATCH(S44, ""rede2deoutubro""), ""Rede 02 de Outubro"",
   PROPER(REGEXEXTRACT(S44, ""^([^.]*)\.""))
   )&amp;"")"",
IF(REGEXMATCH(S44, ""Facebook""), 
   """&amp;"Facebook (""&amp;
   IF(REGEXMATCH(S44, ""Mídia Ninja""), ""Mídia Ninja"",
   PROPER(REGEXEXTRACT(S44, ""^([^.]*)\.""))
   )&amp;"")"",
IF(REGEXMATCH(S44, ""Instagram""), 
   ""Instagram (""&amp;
   IF(REGEXMATCH(S44, ""Memórias Carandiru""), ""Memórias Carandiru"","&amp;"
   PROPER(REGEXEXTRACT(S44, ""^([^.]*)\.""))
   )&amp;"")"",
IF(REGEXMATCH(S44, ""Folha de S\. Paulo|FOLHA DE S\. PAULO""), ""Folha de S. Paulo"",
IF(REGEXMATCH(S44, ""O Estado de S\. Paulo|ESTADAO""), ""O Estado de S. Paulo"",
IF(REGEXMATCH(S44, ""salasecr"&amp;"eta""), ""Wordpress (Sala Secreta)"",
IF(REGEXMATCH(S44, ""Wikipedia|Wikipédia|WIKIPÉDIA""), ""Wikipedia"",
IF(REGEXMATCH(S44, ""VEJA|Veja""), ""Veja Abril"",
IF(REGEXMATCH(S315, ""Rede Globo|REDE GLOBO""), ""Rede Globo"",
IF(REGEXMATCH(S315, ""G1|globo\."&amp;"com""), ""G1"",
IF(REGEXMATCH(S44, ""Deutsche Welle|DW\.com""), ""Deutsche Welle"",
IF(REGEXMATCH(S44, ""CIDH|Comissão Interamericana""), ""Comissão Interamericana de Direitos Humanos (CIDH)"",
IF(REGEXMATCH(S44, ""Pastoral Carcerária""), ""Pastoral Carce"&amp;"rária"",
IF(REGEXMATCH(S44, ""Esquerda Web""), ""Esquerda Web"",
IF(REGEXMATCH(S44, ""ONU|Organização das Nações Unidas""), ""ONU Brasil"",
IF(REGEXMATCH(S44, ""Quilombo Invisível""), ""Quilombo Invisível"",
IF(REGEXMATCH(S44, ""ALESP|Assembleia Legislati"&amp;"va""), ""ALESP"",
IF(REGEXMATCH(S44, ""Revista Opera""), ""Revista Opera"",
IF(REGEXMATCH(S44, ""SP Escola de Teatro""), ""SP Escola de Teatro"",
IF(REGEXMATCH(S44, ""EMC|Espaço Memória Carandiru""), ""EMC Espaço Memória Carandiru"",
IF(REGEXMATCH(S44, "&amp;"""^RAMOS, Nuno|Nuno Ramos""), ""Nuno Ramos"",
IF(REGEXMATCH(S44, ""^VELOSO, Caetano|Caetano Veloso""), ""YouTube (Caetano Veloso)"",
IF(REGEXMATCH(S44, ""^FATOS REAIS""), ""YouTube (Fatos Reais - Topic)"",
IF(REGEXMATCH(S44, ""^SALA SECRETA""), ""Wordpres"&amp;"s (Sala Secreta)"",
PROPER(REGEXEXTRACT(S44, ""^([^.]*)\.""))
))))))))))))))))))))))))))))))))))))))))))))))))))))))))"),"Biblioteca Digital de Teses e Dissertações da USP")</f>
        <v>Biblioteca Digital de Teses e Dissertações da USP</v>
      </c>
      <c r="N44" s="11" t="s">
        <v>47</v>
      </c>
      <c r="O44" s="14" t="s">
        <v>477</v>
      </c>
      <c r="P44" s="171">
        <v>45945.0</v>
      </c>
      <c r="Q44" s="11" t="s">
        <v>154</v>
      </c>
      <c r="R44" s="70" t="str">
        <f t="shared" si="6"/>
        <v>Aqui</v>
      </c>
      <c r="S44" s="172" t="s">
        <v>479</v>
      </c>
    </row>
    <row r="45">
      <c r="A45" s="11">
        <v>43.0</v>
      </c>
      <c r="B45" s="11" t="s">
        <v>105</v>
      </c>
      <c r="C45" s="12" t="str">
        <f>IFERROR(__xludf.DUMMYFUNCTION("IF(B45="""","""",IF(OR(
  REGEXMATCH(B45,""Performance|Instalação|Álbum|Música|Poema|Livro|Filme|Documentário|Recitação|Espetáculo|Peça|Intervenção|Desfile|Fotografia|Exposição|Charge|Grafite|Leitura pública|Fabricação de cachaça artesanal""),
  REGEXMATC"&amp;"H(B45,""dança|teatral|artístico|musical|artística"")
),""Manifestação artístico-cultural"",
IF(OR(
  REGEXMATCH(B45,""Crônica|Série|Reportagem|Podcast|Audiotour|Entrevista|Vídeo|Rádio""),
  REGEXMATCH(B45,""midiática"")
),""Produção midiática"","""")))
"),"Manifestação artístico-cultural")</f>
        <v>Manifestação artístico-cultural</v>
      </c>
      <c r="D45" s="13" t="str">
        <f>IFERROR(__xludf.DUMMYFUNCTION("IF(B45="""","""",IF(OR(
  REGEXMATCH(B45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REGEXMATCH(B45,""público|Imediato|artística|teatral|memória"")
),""Público Imediato"",
IF(REGEXMATCH(B45,""Música|Álbum|Filme|Documentário|Série|Podcast|"&amp;"Rádio|Audiotour|Entrevista|Reportagem|Crônica|Relatório|Abaixo-assinado|Manifesto|Petição|Poema|Livro|Fotografia|Curta|Live|Webinário|Charge|Leitura pública|Vídeo""),
""Público Mediado"","""")))
"),"Público Mediado")</f>
        <v>Público Mediado</v>
      </c>
      <c r="E45" s="13" t="str">
        <f>IFERROR(__xludf.DUMMYFUNCTION("IF(B45="""","""",IF(OR(
  REGEXMATCH(B45,""Live|Webinário|Virtual""),
  REGEXMATCH(B45,""online"")
),""Virtual"",
IF(REGEXMATCH(B45,""Música|Álbum|Filme|Documentário|Série|Podcast|Rádio|Audiotour|Episódio|Reportagem|Curta|Charge|Livro|Vídeo|Entrevista""),"&amp;"
""Midiático"",
IF(REGEXMATCH(B45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5" s="186">
        <v>37722.0</v>
      </c>
      <c r="G45" s="15">
        <f t="shared" si="1"/>
        <v>2003</v>
      </c>
      <c r="H45" s="11" t="s">
        <v>23</v>
      </c>
      <c r="I45" s="16" t="s">
        <v>561</v>
      </c>
      <c r="J45" s="17" t="s">
        <v>520</v>
      </c>
      <c r="K45" s="16" t="s">
        <v>233</v>
      </c>
      <c r="L45" s="18" t="s">
        <v>489</v>
      </c>
      <c r="M45" s="15" t="str">
        <f>IFERROR(__xludf.DUMMYFUNCTION("IF(REGEXMATCH(S45, ""Companhia das Letras""), ""Companhia das Letras"",
IF(REGEXMATCH(S45, ""Labortexto Editorial""), ""Labortexto Editorial"",
IF(REGEXMATCH(S45, ""Geração Editorial""), ""Geração Editorial"",
IF(REGEXMATCH(S45, ""Editora Imprensa Oficial"&amp;"|Imprensa Oficial""), ""Editora Imprensa Oficial"",
IF(REGEXMATCH(S45, ""Folha Online""), ""Folha Online"",
IF(REGEXMATCH(S45, ""FGV DIREITO SP|FGV Direito SP""), ""FGV DIREITO SP"",
IF(REGEXMATCH(S45, ""massacrecarandiru\.org\.br""), ""Memória Massacre C"&amp;"arandiru"",
IF(REGEXMATCH(S45, ""Itaú Cultural""), ""YouTube (Itaú Cultural)"",
IF(REGEXMATCH(S45, ""Passa Palavra""), ""Vimeo (Passa Palavra)"",
IF(REGEXMATCH(S45, ""rede2deoutubro\.blogspot""), ""Blogspot (Rede 02 de Outubro)"",
IF(REGEXMATCH(S45, ""Red"&amp;"e TVT""), ""YouTube (Rede TVT)"",
IF(REGEXMATCH(S45, ""Esquerda Diário""), ""Esquerda Diário"",
IF(REGEXMATCH(S45, ""GZH""), ""GZH"",
IF(REGEXMATCH(S45, ""TVPUC""), ""TVPUC"",
IF(REGEXMATCH(S45, ""Mídia Ninja.*Facebook""), ""Facebook (Mídia Ninja)"",
IF(R"&amp;"EGEXMATCH(S45, ""Memórias Carandiru.*Instagram""), ""Instagram (Memórias Carandiru)"",
IF(REGEXMATCH(S45, ""Frente pelo Desencarceramento SP""), ""YouTube (Frente Pelo Desencarceramento SP)"",
IF(REGEXMATCH(S45, ""TV ABA""), ""YouTube (TV ABA)"",
IF(REGEX"&amp;"MATCH(S45, ""TV SENADO""), ""YouTube (TV Senado)"",
IF(REGEXMATCH(S45, ""Google Arts &amp; Culture""), ""Google Arts &amp; Culture (Memória Massacre Carandiru)"",
IF(REGEXMATCH(S45, ""Anistia Internacional|ANISTIA INTERNACIONAL""), ""Anistia Internacional"",
IF(R"&amp;"EGEXMATCH(S45, ""47\.mostra|47a Mostra""), ""47a Mostra Internacional de Cinema em São Paulo"",
IF(REGEXMATCH(S45, ""Canal USP""), ""YouTube (Canal USP)"",
IF(AND(
  REGEXMATCH(S45, ""(?i)(teses?\.usp\.br|dissertacoes?\.usp\.br|repositorio\.usp\.br)""),
 "&amp;" NOT(REGEXMATCH(S45, ""Canal USP""))
), ""Biblioteca Digital de Teses e Dissertações da USP"",
IF(REGEXMATCH(S45, ""SINTRAJUSC""), ""SINTRAJUSC"",
IF(REGEXMATCH(S45, ""Agência Brasil|Agencia Brasil""), ""Agência Brasil"",
IF(REGEXMATCH(S45, ""Brasil de Fa"&amp;"to""), ""Brasil de Fato"",
IF(REGEXMATCH(S45, ""Ponte Jornalismo|pontejornalismo""), ""Ponte Jornalismo"",
IF(REGEXMATCH(S45, ""letras\.mus\.br|Letras,""), ""Letras"",
IF(REGEXMATCH(S45, ""YouTube|youtube""), 
   ""YouTube (""&amp;
   IF(REGEXMATCH(S45, ""It"&amp;"aú Cultural""), ""Itaú Cultural"",
   IF(REGEXMATCH(S45, ""Rede TVT""), ""Rede TVT"",
   IF(REGEXMATCH(S45, ""Frente pelo Desencarceramento SP""), ""Frente Pelo Desencarceramento SP"",
   IF(REGEXMATCH(S45, ""TV ABA""), ""TV ABA"",
   IF(REGEXMATCH(S45, "&amp;"""TV SENADO""), ""TV Senado"",
   IF(REGEXMATCH(S45, ""Canal USP""), ""Canal USP"",
   IF(REGEXMATCH(S45, ""Douer, Zack|Zack Douer""), ""Douer Zack"",
   IF(REGEXMATCH(S45, ""PRISIONEIRO 84\.901|PRISIONEIRO 84""), ""Prisioneiro 84.901"",
   IF(REGEXMATCH("&amp;"S45, ""^[^,]*, ""), 
        PROPER(REGEXREPLACE(REGEXEXTRACT(S45, ""^([^.]*)\.""), ""^([^,]*), (.*)"", ""$2 $1"")),
        PROPER(REGEXEXTRACT(S45, ""^([^.]*)\.""))
   )))))))))&amp;"")"",
IF(REGEXMATCH(S45, ""Spotify|spotify""), 
   ""Spotify (""&amp;
   IF(R"&amp;"EGEXMATCH(S45, ""ESTRANHO SORRISO""), ""Estranho Sorriso"",
   PROPER(REGEXEXTRACT(S45, ""^([^.]*)\.""))
   )&amp;"")"",
IF(REGEXMATCH(S45, ""Vimeo|vimeo""), 
   ""Vimeo (""&amp;
   IF(REGEXMATCH(S45, ""Passa Palavra""), ""Passa Palavra"",
   PROPER(REGEXEXTRACT"&amp;"(S45, ""^([^.]*)\.""))
   )&amp;"")"",
IF(REGEXMATCH(S45, ""Blogspot""), 
   ""Blogspot (""&amp;
   IF(REGEXMATCH(S45, ""rede2deoutubro""), ""Rede 02 de Outubro"",
   PROPER(REGEXEXTRACT(S45, ""^([^.]*)\.""))
   )&amp;"")"",
IF(REGEXMATCH(S45, ""Facebook""), 
   """&amp;"Facebook (""&amp;
   IF(REGEXMATCH(S45, ""Mídia Ninja""), ""Mídia Ninja"",
   PROPER(REGEXEXTRACT(S45, ""^([^.]*)\.""))
   )&amp;"")"",
IF(REGEXMATCH(S45, ""Instagram""), 
   ""Instagram (""&amp;
   IF(REGEXMATCH(S45, ""Memórias Carandiru""), ""Memórias Carandiru"","&amp;"
   PROPER(REGEXEXTRACT(S45, ""^([^.]*)\.""))
   )&amp;"")"",
IF(REGEXMATCH(S45, ""Folha de S\. Paulo|FOLHA DE S\. PAULO""), ""Folha de S. Paulo"",
IF(REGEXMATCH(S45, ""O Estado de S\. Paulo|ESTADAO""), ""O Estado de S. Paulo"",
IF(REGEXMATCH(S45, ""salasecr"&amp;"eta""), ""Wordpress (Sala Secreta)"",
IF(REGEXMATCH(S45, ""Wikipedia|Wikipédia|WIKIPÉDIA""), ""Wikipedia"",
IF(REGEXMATCH(S45, ""VEJA|Veja""), ""Veja Abril"",
IF(REGEXMATCH(S316, ""Rede Globo|REDE GLOBO""), ""Rede Globo"",
IF(REGEXMATCH(S316, ""G1|globo\."&amp;"com""), ""G1"",
IF(REGEXMATCH(S45, ""Deutsche Welle|DW\.com""), ""Deutsche Welle"",
IF(REGEXMATCH(S45, ""CIDH|Comissão Interamericana""), ""Comissão Interamericana de Direitos Humanos (CIDH)"",
IF(REGEXMATCH(S45, ""Pastoral Carcerária""), ""Pastoral Carce"&amp;"rária"",
IF(REGEXMATCH(S45, ""Esquerda Web""), ""Esquerda Web"",
IF(REGEXMATCH(S45, ""ONU|Organização das Nações Unidas""), ""ONU Brasil"",
IF(REGEXMATCH(S45, ""Quilombo Invisível""), ""Quilombo Invisível"",
IF(REGEXMATCH(S45, ""ALESP|Assembleia Legislati"&amp;"va""), ""ALESP"",
IF(REGEXMATCH(S45, ""Revista Opera""), ""Revista Opera"",
IF(REGEXMATCH(S45, ""SP Escola de Teatro""), ""SP Escola de Teatro"",
IF(REGEXMATCH(S45, ""EMC|Espaço Memória Carandiru""), ""EMC Espaço Memória Carandiru"",
IF(REGEXMATCH(S45, "&amp;"""^RAMOS, Nuno|Nuno Ramos""), ""Nuno Ramos"",
IF(REGEXMATCH(S45, ""^VELOSO, Caetano|Caetano Veloso""), ""YouTube (Caetano Veloso)"",
IF(REGEXMATCH(S45, ""^FATOS REAIS""), ""YouTube (Fatos Reais - Topic)"",
IF(REGEXMATCH(S45, ""^SALA SECRETA""), ""Wordpres"&amp;"s (Sala Secreta)"",
PROPER(REGEXEXTRACT(S45, ""^([^.]*)\.""))
))))))))))))))))))))))))))))))))))))))))))))))))))))))))"),"47a Mostra Internacional de Cinema em São Paulo")</f>
        <v>47a Mostra Internacional de Cinema em São Paulo</v>
      </c>
      <c r="N45" s="11" t="s">
        <v>47</v>
      </c>
      <c r="O45" s="11" t="s">
        <v>149</v>
      </c>
      <c r="P45" s="51">
        <v>45856.0</v>
      </c>
      <c r="Q45" s="11" t="s">
        <v>154</v>
      </c>
      <c r="R45" s="70" t="str">
        <f t="shared" si="6"/>
        <v>Aqui</v>
      </c>
      <c r="S45" s="75" t="s">
        <v>562</v>
      </c>
    </row>
    <row r="46">
      <c r="A46" s="11">
        <v>44.0</v>
      </c>
      <c r="B46" s="11" t="s">
        <v>203</v>
      </c>
      <c r="C46" s="12" t="str">
        <f>IFERROR(__xludf.DUMMYFUNCTION("IF(B46="""","""",IF(OR(
  REGEXMATCH(B46,""Performance|Instalação|Álbum|Música|Poema|Livro|Filme|Documentário|Recitação|Espetáculo|Peça|Intervenção|Desfile|Fotografia|Exposição|Charge|Grafite|Leitura pública|Fabricação de cachaça artesanal""),
  REGEXMATC"&amp;"H(B46,""dança|teatral|artístico|musical|artística"")
),""Manifestação artístico-cultural"",
IF(OR(
  REGEXMATCH(B46,""Crônica|Série|Reportagem|Podcast|Audiotour|Entrevista|Vídeo|Rádio""),
  REGEXMATCH(B46,""midiática"")
),""Produção midiática"","""")))
"),"Manifestação artístico-cultural")</f>
        <v>Manifestação artístico-cultural</v>
      </c>
      <c r="D46" s="13" t="str">
        <f>IFERROR(__xludf.DUMMYFUNCTION("IF(B46="""","""",IF(OR(
  REGEXMATCH(B46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REGEXMATCH(B46,""público|Imediato|artística|teatral|memória"")
),""Público Imediato"",
IF(REGEXMATCH(B46,""Música|Álbum|Filme|Documentário|Série|Podcast|"&amp;"Rádio|Audiotour|Entrevista|Reportagem|Crônica|Relatório|Abaixo-assinado|Manifesto|Petição|Poema|Livro|Fotografia|Curta|Live|Webinário|Charge|Leitura pública|Vídeo""),
""Público Mediado"","""")))
"),"Público Mediado")</f>
        <v>Público Mediado</v>
      </c>
      <c r="E46" s="13" t="str">
        <f>IFERROR(__xludf.DUMMYFUNCTION("IF(B46="""","""",IF(OR(
  REGEXMATCH(B46,""Live|Webinário|Virtual""),
  REGEXMATCH(B46,""online"")
),""Virtual"",
IF(REGEXMATCH(B46,""Música|Álbum|Filme|Documentário|Série|Podcast|Rádio|Audiotour|Episódio|Reportagem|Curta|Charge|Livro|Vídeo|Entrevista""),"&amp;"
""Midiático"",
IF(REGEXMATCH(B46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6" s="14">
        <v>2003.0</v>
      </c>
      <c r="G46" s="15">
        <f t="shared" si="1"/>
        <v>2003</v>
      </c>
      <c r="H46" s="11" t="s">
        <v>23</v>
      </c>
      <c r="I46" s="16" t="s">
        <v>563</v>
      </c>
      <c r="J46" s="17" t="s">
        <v>564</v>
      </c>
      <c r="K46" s="16" t="s">
        <v>103</v>
      </c>
      <c r="L46" s="18" t="s">
        <v>475</v>
      </c>
      <c r="M46" s="15" t="str">
        <f>IFERROR(__xludf.DUMMYFUNCTION("IF(REGEXMATCH(S46, ""Companhia das Letras""), ""Companhia das Letras"",
IF(REGEXMATCH(S46, ""Labortexto Editorial""), ""Labortexto Editorial"",
IF(REGEXMATCH(S46, ""Geração Editorial""), ""Geração Editorial"",
IF(REGEXMATCH(S46, ""Editora Imprensa Oficial"&amp;"|Imprensa Oficial""), ""Editora Imprensa Oficial"",
IF(REGEXMATCH(S46, ""Folha Online""), ""Folha Online"",
IF(REGEXMATCH(S46, ""FGV DIREITO SP|FGV Direito SP""), ""FGV DIREITO SP"",
IF(REGEXMATCH(S46, ""massacrecarandiru\.org\.br""), ""Memória Massacre C"&amp;"arandiru"",
IF(REGEXMATCH(S46, ""Itaú Cultural""), ""YouTube (Itaú Cultural)"",
IF(REGEXMATCH(S46, ""Passa Palavra""), ""Vimeo (Passa Palavra)"",
IF(REGEXMATCH(S46, ""rede2deoutubro\.blogspot""), ""Blogspot (Rede 02 de Outubro)"",
IF(REGEXMATCH(S46, ""Red"&amp;"e TVT""), ""YouTube (Rede TVT)"",
IF(REGEXMATCH(S46, ""Esquerda Diário""), ""Esquerda Diário"",
IF(REGEXMATCH(S46, ""GZH""), ""GZH"",
IF(REGEXMATCH(S46, ""TVPUC""), ""TVPUC"",
IF(REGEXMATCH(S46, ""Mídia Ninja.*Facebook""), ""Facebook (Mídia Ninja)"",
IF(R"&amp;"EGEXMATCH(S46, ""Memórias Carandiru.*Instagram""), ""Instagram (Memórias Carandiru)"",
IF(REGEXMATCH(S46, ""Frente pelo Desencarceramento SP""), ""YouTube (Frente Pelo Desencarceramento SP)"",
IF(REGEXMATCH(S46, ""TV ABA""), ""YouTube (TV ABA)"",
IF(REGEX"&amp;"MATCH(S46, ""TV SENADO""), ""YouTube (TV Senado)"",
IF(REGEXMATCH(S46, ""Google Arts &amp; Culture""), ""Google Arts &amp; Culture (Memória Massacre Carandiru)"",
IF(REGEXMATCH(S46, ""Anistia Internacional|ANISTIA INTERNACIONAL""), ""Anistia Internacional"",
IF(R"&amp;"EGEXMATCH(S46, ""47\.mostra|47a Mostra""), ""47a Mostra Internacional de Cinema em São Paulo"",
IF(REGEXMATCH(S46, ""Canal USP""), ""YouTube (Canal USP)"",
IF(AND(
  REGEXMATCH(S46, ""(?i)(teses?\.usp\.br|dissertacoes?\.usp\.br|repositorio\.usp\.br)""),
 "&amp;" NOT(REGEXMATCH(S46, ""Canal USP""))
), ""Biblioteca Digital de Teses e Dissertações da USP"",
IF(REGEXMATCH(S46, ""SINTRAJUSC""), ""SINTRAJUSC"",
IF(REGEXMATCH(S46, ""Agência Brasil|Agencia Brasil""), ""Agência Brasil"",
IF(REGEXMATCH(S46, ""Brasil de Fa"&amp;"to""), ""Brasil de Fato"",
IF(REGEXMATCH(S46, ""Ponte Jornalismo|pontejornalismo""), ""Ponte Jornalismo"",
IF(REGEXMATCH(S46, ""letras\.mus\.br|Letras,""), ""Letras"",
IF(REGEXMATCH(S46, ""YouTube|youtube""), 
   ""YouTube (""&amp;
   IF(REGEXMATCH(S46, ""It"&amp;"aú Cultural""), ""Itaú Cultural"",
   IF(REGEXMATCH(S46, ""Rede TVT""), ""Rede TVT"",
   IF(REGEXMATCH(S46, ""Frente pelo Desencarceramento SP""), ""Frente Pelo Desencarceramento SP"",
   IF(REGEXMATCH(S46, ""TV ABA""), ""TV ABA"",
   IF(REGEXMATCH(S46, "&amp;"""TV SENADO""), ""TV Senado"",
   IF(REGEXMATCH(S46, ""Canal USP""), ""Canal USP"",
   IF(REGEXMATCH(S46, ""Douer, Zack|Zack Douer""), ""Douer Zack"",
   IF(REGEXMATCH(S46, ""PRISIONEIRO 84\.901|PRISIONEIRO 84""), ""Prisioneiro 84.901"",
   IF(REGEXMATCH("&amp;"S46, ""^[^,]*, ""), 
        PROPER(REGEXREPLACE(REGEXEXTRACT(S46, ""^([^.]*)\.""), ""^([^,]*), (.*)"", ""$2 $1"")),
        PROPER(REGEXEXTRACT(S46, ""^([^.]*)\.""))
   )))))))))&amp;"")"",
IF(REGEXMATCH(S46, ""Spotify|spotify""), 
   ""Spotify (""&amp;
   IF(R"&amp;"EGEXMATCH(S46, ""ESTRANHO SORRISO""), ""Estranho Sorriso"",
   PROPER(REGEXEXTRACT(S46, ""^([^.]*)\.""))
   )&amp;"")"",
IF(REGEXMATCH(S46, ""Vimeo|vimeo""), 
   ""Vimeo (""&amp;
   IF(REGEXMATCH(S46, ""Passa Palavra""), ""Passa Palavra"",
   PROPER(REGEXEXTRACT"&amp;"(S46, ""^([^.]*)\.""))
   )&amp;"")"",
IF(REGEXMATCH(S46, ""Blogspot""), 
   ""Blogspot (""&amp;
   IF(REGEXMATCH(S46, ""rede2deoutubro""), ""Rede 02 de Outubro"",
   PROPER(REGEXEXTRACT(S46, ""^([^.]*)\.""))
   )&amp;"")"",
IF(REGEXMATCH(S46, ""Facebook""), 
   """&amp;"Facebook (""&amp;
   IF(REGEXMATCH(S46, ""Mídia Ninja""), ""Mídia Ninja"",
   PROPER(REGEXEXTRACT(S46, ""^([^.]*)\.""))
   )&amp;"")"",
IF(REGEXMATCH(S46, ""Instagram""), 
   ""Instagram (""&amp;
   IF(REGEXMATCH(S46, ""Memórias Carandiru""), ""Memórias Carandiru"","&amp;"
   PROPER(REGEXEXTRACT(S46, ""^([^.]*)\.""))
   )&amp;"")"",
IF(REGEXMATCH(S46, ""Folha de S\. Paulo|FOLHA DE S\. PAULO""), ""Folha de S. Paulo"",
IF(REGEXMATCH(S46, ""O Estado de S\. Paulo|ESTADAO""), ""O Estado de S. Paulo"",
IF(REGEXMATCH(S46, ""salasecr"&amp;"eta""), ""Wordpress (Sala Secreta)"",
IF(REGEXMATCH(S46, ""Wikipedia|Wikipédia|WIKIPÉDIA""), ""Wikipedia"",
IF(REGEXMATCH(S46, ""VEJA|Veja""), ""Veja Abril"",
IF(REGEXMATCH(S317, ""Rede Globo|REDE GLOBO""), ""Rede Globo"",
IF(REGEXMATCH(S317, ""G1|globo\."&amp;"com""), ""G1"",
IF(REGEXMATCH(S46, ""Deutsche Welle|DW\.com""), ""Deutsche Welle"",
IF(REGEXMATCH(S46, ""CIDH|Comissão Interamericana""), ""Comissão Interamericana de Direitos Humanos (CIDH)"",
IF(REGEXMATCH(S46, ""Pastoral Carcerária""), ""Pastoral Carce"&amp;"rária"",
IF(REGEXMATCH(S46, ""Esquerda Web""), ""Esquerda Web"",
IF(REGEXMATCH(S46, ""ONU|Organização das Nações Unidas""), ""ONU Brasil"",
IF(REGEXMATCH(S46, ""Quilombo Invisível""), ""Quilombo Invisível"",
IF(REGEXMATCH(S46, ""ALESP|Assembleia Legislati"&amp;"va""), ""ALESP"",
IF(REGEXMATCH(S46, ""Revista Opera""), ""Revista Opera"",
IF(REGEXMATCH(S46, ""SP Escola de Teatro""), ""SP Escola de Teatro"",
IF(REGEXMATCH(S46, ""EMC|Espaço Memória Carandiru""), ""EMC Espaço Memória Carandiru"",
IF(REGEXMATCH(S46, "&amp;"""^RAMOS, Nuno|Nuno Ramos""), ""Nuno Ramos"",
IF(REGEXMATCH(S46, ""^VELOSO, Caetano|Caetano Veloso""), ""YouTube (Caetano Veloso)"",
IF(REGEXMATCH(S46, ""^FATOS REAIS""), ""YouTube (Fatos Reais - Topic)"",
IF(REGEXMATCH(S46, ""^SALA SECRETA""), ""Wordpres"&amp;"s (Sala Secreta)"",
PROPER(REGEXEXTRACT(S46, ""^([^.]*)\.""))
))))))))))))))))))))))))))))))))))))))))))))))))))))))))"),"Editora Imprensa Oficial")</f>
        <v>Editora Imprensa Oficial</v>
      </c>
      <c r="N46" s="11" t="s">
        <v>47</v>
      </c>
      <c r="O46" s="11" t="s">
        <v>149</v>
      </c>
      <c r="P46" s="51">
        <v>45856.0</v>
      </c>
      <c r="Q46" s="11" t="s">
        <v>154</v>
      </c>
      <c r="R46" s="194"/>
      <c r="S46" s="75" t="s">
        <v>565</v>
      </c>
    </row>
    <row r="47">
      <c r="A47" s="11">
        <v>45.0</v>
      </c>
      <c r="B47" s="11" t="s">
        <v>566</v>
      </c>
      <c r="C47" s="12" t="str">
        <f>IFERROR(__xludf.DUMMYFUNCTION("IF(B47="""","""",IF(OR(
  REGEXMATCH(B47,""Performance|Instalação|Álbum|Música|Poema|Livro|Filme|Documentário|Recitação|Espetáculo|Peça|Intervenção|Desfile|Fotografia|Exposição|Charge|Grafite|Leitura pública|Fabricação de cachaça artesanal""),
  REGEXMATC"&amp;"H(B47,""dança|teatral|artístico|musical|artística"")
),""Manifestação artístico-cultural"",
IF(OR(
  REGEXMATCH(B47,""Crônica|Série|Reportagem|Podcast|Audiotour|Entrevista|Vídeo|Rádio""),
  REGEXMATCH(B47,""midiática"")
),""Produção midiática"","""")))
"),"Manifestação artístico-cultural")</f>
        <v>Manifestação artístico-cultural</v>
      </c>
      <c r="D47" s="13" t="str">
        <f>IFERROR(__xludf.DUMMYFUNCTION("IF(B47="""","""",IF(OR(
  REGEXMATCH(B47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REGEXMATCH(B47,""público|Imediato|artística|teatral|memória"")
),""Público Imediato"",
IF(REGEXMATCH(B47,""Música|Álbum|Filme|Documentário|Série|Podcast|"&amp;"Rádio|Audiotour|Entrevista|Reportagem|Crônica|Relatório|Abaixo-assinado|Manifesto|Petição|Poema|Livro|Fotografia|Curta|Live|Webinário|Charge|Leitura pública|Vídeo""),
""Público Mediado"","""")))
"),"Público Mediado")</f>
        <v>Público Mediado</v>
      </c>
      <c r="E47" s="13" t="str">
        <f>IFERROR(__xludf.DUMMYFUNCTION("IF(B47="""","""",IF(OR(
  REGEXMATCH(B47,""Live|Webinário|Virtual""),
  REGEXMATCH(B47,""online"")
),""Virtual"",
IF(REGEXMATCH(B47,""Música|Álbum|Filme|Documentário|Série|Podcast|Rádio|Audiotour|Episódio|Reportagem|Curta|Charge|Livro|Vídeo|Entrevista""),"&amp;"
""Midiático"",
IF(REGEXMATCH(B47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7" s="14">
        <v>2003.0</v>
      </c>
      <c r="G47" s="15">
        <f t="shared" si="1"/>
        <v>2003</v>
      </c>
      <c r="H47" s="11" t="s">
        <v>23</v>
      </c>
      <c r="I47" s="16" t="s">
        <v>567</v>
      </c>
      <c r="J47" s="17" t="s">
        <v>568</v>
      </c>
      <c r="K47" s="16" t="s">
        <v>83</v>
      </c>
      <c r="L47" s="18" t="s">
        <v>329</v>
      </c>
      <c r="M47" s="15" t="str">
        <f>IFERROR(__xludf.DUMMYFUNCTION("IF(REGEXMATCH(S47, ""Companhia das Letras""), ""Companhia das Letras"",
IF(REGEXMATCH(S47, ""Labortexto Editorial""), ""Labortexto Editorial"",
IF(REGEXMATCH(S47, ""Geração Editorial""), ""Geração Editorial"",
IF(REGEXMATCH(S47, ""Editora Imprensa Oficial"&amp;"|Imprensa Oficial""), ""Editora Imprensa Oficial"",
IF(REGEXMATCH(S47, ""Folha Online""), ""Folha Online"",
IF(REGEXMATCH(S47, ""FGV DIREITO SP|FGV Direito SP""), ""FGV DIREITO SP"",
IF(REGEXMATCH(S47, ""massacrecarandiru\.org\.br""), ""Memória Massacre C"&amp;"arandiru"",
IF(REGEXMATCH(S47, ""Itaú Cultural""), ""YouTube (Itaú Cultural)"",
IF(REGEXMATCH(S47, ""Passa Palavra""), ""Vimeo (Passa Palavra)"",
IF(REGEXMATCH(S47, ""rede2deoutubro\.blogspot""), ""Blogspot (Rede 02 de Outubro)"",
IF(REGEXMATCH(S47, ""Red"&amp;"e TVT""), ""YouTube (Rede TVT)"",
IF(REGEXMATCH(S47, ""Esquerda Diário""), ""Esquerda Diário"",
IF(REGEXMATCH(S47, ""GZH""), ""GZH"",
IF(REGEXMATCH(S47, ""TVPUC""), ""TVPUC"",
IF(REGEXMATCH(S47, ""Mídia Ninja.*Facebook""), ""Facebook (Mídia Ninja)"",
IF(R"&amp;"EGEXMATCH(S47, ""Memórias Carandiru.*Instagram""), ""Instagram (Memórias Carandiru)"",
IF(REGEXMATCH(S47, ""Frente pelo Desencarceramento SP""), ""YouTube (Frente Pelo Desencarceramento SP)"",
IF(REGEXMATCH(S47, ""TV ABA""), ""YouTube (TV ABA)"",
IF(REGEX"&amp;"MATCH(S47, ""TV SENADO""), ""YouTube (TV Senado)"",
IF(REGEXMATCH(S47, ""Google Arts &amp; Culture""), ""Google Arts &amp; Culture (Memória Massacre Carandiru)"",
IF(REGEXMATCH(S47, ""Anistia Internacional|ANISTIA INTERNACIONAL""), ""Anistia Internacional"",
IF(R"&amp;"EGEXMATCH(S47, ""47\.mostra|47a Mostra""), ""47a Mostra Internacional de Cinema em São Paulo"",
IF(REGEXMATCH(S47, ""Canal USP""), ""YouTube (Canal USP)"",
IF(AND(
  REGEXMATCH(S47, ""(?i)(teses?\.usp\.br|dissertacoes?\.usp\.br|repositorio\.usp\.br)""),
 "&amp;" NOT(REGEXMATCH(S47, ""Canal USP""))
), ""Biblioteca Digital de Teses e Dissertações da USP"",
IF(REGEXMATCH(S47, ""SINTRAJUSC""), ""SINTRAJUSC"",
IF(REGEXMATCH(S47, ""Agência Brasil|Agencia Brasil""), ""Agência Brasil"",
IF(REGEXMATCH(S47, ""Brasil de Fa"&amp;"to""), ""Brasil de Fato"",
IF(REGEXMATCH(S47, ""Ponte Jornalismo|pontejornalismo""), ""Ponte Jornalismo"",
IF(REGEXMATCH(S47, ""letras\.mus\.br|Letras,""), ""Letras"",
IF(REGEXMATCH(S47, ""YouTube|youtube""), 
   ""YouTube (""&amp;
   IF(REGEXMATCH(S47, ""It"&amp;"aú Cultural""), ""Itaú Cultural"",
   IF(REGEXMATCH(S47, ""Rede TVT""), ""Rede TVT"",
   IF(REGEXMATCH(S47, ""Frente pelo Desencarceramento SP""), ""Frente Pelo Desencarceramento SP"",
   IF(REGEXMATCH(S47, ""TV ABA""), ""TV ABA"",
   IF(REGEXMATCH(S47, "&amp;"""TV SENADO""), ""TV Senado"",
   IF(REGEXMATCH(S47, ""Canal USP""), ""Canal USP"",
   IF(REGEXMATCH(S47, ""Douer, Zack|Zack Douer""), ""Douer Zack"",
   IF(REGEXMATCH(S47, ""PRISIONEIRO 84\.901|PRISIONEIRO 84""), ""Prisioneiro 84.901"",
   IF(REGEXMATCH("&amp;"S47, ""^[^,]*, ""), 
        PROPER(REGEXREPLACE(REGEXEXTRACT(S47, ""^([^.]*)\.""), ""^([^,]*), (.*)"", ""$2 $1"")),
        PROPER(REGEXEXTRACT(S47, ""^([^.]*)\.""))
   )))))))))&amp;"")"",
IF(REGEXMATCH(S47, ""Spotify|spotify""), 
   ""Spotify (""&amp;
   IF(R"&amp;"EGEXMATCH(S47, ""ESTRANHO SORRISO""), ""Estranho Sorriso"",
   PROPER(REGEXEXTRACT(S47, ""^([^.]*)\.""))
   )&amp;"")"",
IF(REGEXMATCH(S47, ""Vimeo|vimeo""), 
   ""Vimeo (""&amp;
   IF(REGEXMATCH(S47, ""Passa Palavra""), ""Passa Palavra"",
   PROPER(REGEXEXTRACT"&amp;"(S47, ""^([^.]*)\.""))
   )&amp;"")"",
IF(REGEXMATCH(S47, ""Blogspot""), 
   ""Blogspot (""&amp;
   IF(REGEXMATCH(S47, ""rede2deoutubro""), ""Rede 02 de Outubro"",
   PROPER(REGEXEXTRACT(S47, ""^([^.]*)\.""))
   )&amp;"")"",
IF(REGEXMATCH(S47, ""Facebook""), 
   """&amp;"Facebook (""&amp;
   IF(REGEXMATCH(S47, ""Mídia Ninja""), ""Mídia Ninja"",
   PROPER(REGEXEXTRACT(S47, ""^([^.]*)\.""))
   )&amp;"")"",
IF(REGEXMATCH(S47, ""Instagram""), 
   ""Instagram (""&amp;
   IF(REGEXMATCH(S47, ""Memórias Carandiru""), ""Memórias Carandiru"","&amp;"
   PROPER(REGEXEXTRACT(S47, ""^([^.]*)\.""))
   )&amp;"")"",
IF(REGEXMATCH(S47, ""Folha de S\. Paulo|FOLHA DE S\. PAULO""), ""Folha de S. Paulo"",
IF(REGEXMATCH(S47, ""O Estado de S\. Paulo|ESTADAO""), ""O Estado de S. Paulo"",
IF(REGEXMATCH(S47, ""salasecr"&amp;"eta""), ""Wordpress (Sala Secreta)"",
IF(REGEXMATCH(S47, ""Wikipedia|Wikipédia|WIKIPÉDIA""), ""Wikipedia"",
IF(REGEXMATCH(S47, ""VEJA|Veja""), ""Veja Abril"",
IF(REGEXMATCH(S318, ""Rede Globo|REDE GLOBO""), ""Rede Globo"",
IF(REGEXMATCH(S318, ""G1|globo\."&amp;"com""), ""G1"",
IF(REGEXMATCH(S47, ""Deutsche Welle|DW\.com""), ""Deutsche Welle"",
IF(REGEXMATCH(S47, ""CIDH|Comissão Interamericana""), ""Comissão Interamericana de Direitos Humanos (CIDH)"",
IF(REGEXMATCH(S47, ""Pastoral Carcerária""), ""Pastoral Carce"&amp;"rária"",
IF(REGEXMATCH(S47, ""Esquerda Web""), ""Esquerda Web"",
IF(REGEXMATCH(S47, ""ONU|Organização das Nações Unidas""), ""ONU Brasil"",
IF(REGEXMATCH(S47, ""Quilombo Invisível""), ""Quilombo Invisível"",
IF(REGEXMATCH(S47, ""ALESP|Assembleia Legislati"&amp;"va""), ""ALESP"",
IF(REGEXMATCH(S47, ""Revista Opera""), ""Revista Opera"",
IF(REGEXMATCH(S47, ""SP Escola de Teatro""), ""SP Escola de Teatro"",
IF(REGEXMATCH(S47, ""EMC|Espaço Memória Carandiru""), ""EMC Espaço Memória Carandiru"",
IF(REGEXMATCH(S47, "&amp;"""^RAMOS, Nuno|Nuno Ramos""), ""Nuno Ramos"",
IF(REGEXMATCH(S47, ""^VELOSO, Caetano|Caetano Veloso""), ""YouTube (Caetano Veloso)"",
IF(REGEXMATCH(S47, ""^FATOS REAIS""), ""YouTube (Fatos Reais - Topic)"",
IF(REGEXMATCH(S47, ""^SALA SECRETA""), ""Wordpres"&amp;"s (Sala Secreta)"",
PROPER(REGEXEXTRACT(S47, ""^([^.]*)\.""))
))))))))))))))))))))))))))))))))))))))))))))))))))))))))"),"YouTube (Itaú Cultural)")</f>
        <v>YouTube (Itaú Cultural)</v>
      </c>
      <c r="N47" s="11" t="s">
        <v>47</v>
      </c>
      <c r="O47" s="11" t="s">
        <v>149</v>
      </c>
      <c r="P47" s="51">
        <v>45856.0</v>
      </c>
      <c r="Q47" s="11" t="s">
        <v>154</v>
      </c>
      <c r="R47" s="70" t="str">
        <f t="shared" ref="R47:R48" si="7">HYPERLINK(LEFT(MID(S47,FIND("http",S47),LEN(S47)),FIND(". Acesso em",S47)-FIND("http",S47)),"Aqui")</f>
        <v>Aqui</v>
      </c>
      <c r="S47" s="75" t="s">
        <v>569</v>
      </c>
    </row>
    <row r="48">
      <c r="A48" s="11">
        <v>46.0</v>
      </c>
      <c r="B48" s="11" t="s">
        <v>211</v>
      </c>
      <c r="C48" s="12" t="str">
        <f>IFERROR(__xludf.DUMMYFUNCTION("IF(B48="""","""",IF(OR(
  REGEXMATCH(B48,""Performance|Instalação|Álbum|Música|Poema|Livro|Filme|Documentário|Recitação|Espetáculo|Peça|Intervenção|Desfile|Fotografia|Exposição|Charge|Grafite|Leitura pública|Fabricação de cachaça artesanal""),
  REGEXMATC"&amp;"H(B48,""dança|teatral|artístico|musical|artística"")
),""Manifestação artístico-cultural"",
IF(OR(
  REGEXMATCH(B48,""Crônica|Série|Reportagem|Podcast|Audiotour|Entrevista|Vídeo|Rádio""),
  REGEXMATCH(B48,""midiática"")
),""Produção midiática"","""")))
"),"Manifestação artístico-cultural")</f>
        <v>Manifestação artístico-cultural</v>
      </c>
      <c r="D48" s="13" t="str">
        <f>IFERROR(__xludf.DUMMYFUNCTION("IF(B48="""","""",IF(OR(
  REGEXMATCH(B48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REGEXMATCH(B48,""público|Imediato|artística|teatral|memória"")
),""Público Imediato"",
IF(REGEXMATCH(B48,""Música|Álbum|Filme|Documentário|Série|Podcast|"&amp;"Rádio|Audiotour|Entrevista|Reportagem|Crônica|Relatório|Abaixo-assinado|Manifesto|Petição|Poema|Livro|Fotografia|Curta|Live|Webinário|Charge|Leitura pública|Vídeo""),
""Público Mediado"","""")))
"),"Público Mediado")</f>
        <v>Público Mediado</v>
      </c>
      <c r="E48" s="13" t="str">
        <f>IFERROR(__xludf.DUMMYFUNCTION("IF(B48="""","""",IF(OR(
  REGEXMATCH(B48,""Live|Webinário|Virtual""),
  REGEXMATCH(B48,""online"")
),""Virtual"",
IF(REGEXMATCH(B48,""Música|Álbum|Filme|Documentário|Série|Podcast|Rádio|Audiotour|Episódio|Reportagem|Curta|Charge|Livro|Vídeo|Entrevista""),"&amp;"
""Midiático"",
IF(REGEXMATCH(B48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8" s="11">
        <v>2003.0</v>
      </c>
      <c r="G48" s="15">
        <f t="shared" si="1"/>
        <v>2003</v>
      </c>
      <c r="H48" s="11" t="s">
        <v>570</v>
      </c>
      <c r="I48" s="16" t="s">
        <v>571</v>
      </c>
      <c r="J48" s="17" t="s">
        <v>572</v>
      </c>
      <c r="K48" s="16" t="s">
        <v>222</v>
      </c>
      <c r="L48" s="18" t="s">
        <v>106</v>
      </c>
      <c r="M48" s="15" t="str">
        <f>IFERROR(__xludf.DUMMYFUNCTION("IF(REGEXMATCH(S48, ""Companhia das Letras""), ""Companhia das Letras"",
IF(REGEXMATCH(S48, ""Labortexto Editorial""), ""Labortexto Editorial"",
IF(REGEXMATCH(S48, ""Geração Editorial""), ""Geração Editorial"",
IF(REGEXMATCH(S48, ""Editora Imprensa Oficial"&amp;"|Imprensa Oficial""), ""Editora Imprensa Oficial"",
IF(REGEXMATCH(S48, ""Folha Online""), ""Folha Online"",
IF(REGEXMATCH(S48, ""FGV DIREITO SP|FGV Direito SP""), ""FGV DIREITO SP"",
IF(REGEXMATCH(S48, ""massacrecarandiru\.org\.br""), ""Memória Massacre C"&amp;"arandiru"",
IF(REGEXMATCH(S48, ""Itaú Cultural""), ""YouTube (Itaú Cultural)"",
IF(REGEXMATCH(S48, ""Passa Palavra""), ""Vimeo (Passa Palavra)"",
IF(REGEXMATCH(S48, ""rede2deoutubro\.blogspot""), ""Blogspot (Rede 02 de Outubro)"",
IF(REGEXMATCH(S48, ""Red"&amp;"e TVT""), ""YouTube (Rede TVT)"",
IF(REGEXMATCH(S48, ""Esquerda Diário""), ""Esquerda Diário"",
IF(REGEXMATCH(S48, ""GZH""), ""GZH"",
IF(REGEXMATCH(S48, ""TVPUC""), ""TVPUC"",
IF(REGEXMATCH(S48, ""Mídia Ninja.*Facebook""), ""Facebook (Mídia Ninja)"",
IF(R"&amp;"EGEXMATCH(S48, ""Memórias Carandiru.*Instagram""), ""Instagram (Memórias Carandiru)"",
IF(REGEXMATCH(S48, ""Frente pelo Desencarceramento SP""), ""YouTube (Frente Pelo Desencarceramento SP)"",
IF(REGEXMATCH(S48, ""TV ABA""), ""YouTube (TV ABA)"",
IF(REGEX"&amp;"MATCH(S48, ""TV SENADO""), ""YouTube (TV Senado)"",
IF(REGEXMATCH(S48, ""Google Arts &amp; Culture""), ""Google Arts &amp; Culture (Memória Massacre Carandiru)"",
IF(REGEXMATCH(S48, ""Anistia Internacional|ANISTIA INTERNACIONAL""), ""Anistia Internacional"",
IF(R"&amp;"EGEXMATCH(S48, ""47\.mostra|47a Mostra""), ""47a Mostra Internacional de Cinema em São Paulo"",
IF(REGEXMATCH(S48, ""Canal USP""), ""YouTube (Canal USP)"",
IF(AND(
  REGEXMATCH(S48, ""(?i)(teses?\.usp\.br|dissertacoes?\.usp\.br|repositorio\.usp\.br)""),
 "&amp;" NOT(REGEXMATCH(S48, ""Canal USP""))
), ""Biblioteca Digital de Teses e Dissertações da USP"",
IF(REGEXMATCH(S48, ""SINTRAJUSC""), ""SINTRAJUSC"",
IF(REGEXMATCH(S48, ""Agência Brasil|Agencia Brasil""), ""Agência Brasil"",
IF(REGEXMATCH(S48, ""Brasil de Fa"&amp;"to""), ""Brasil de Fato"",
IF(REGEXMATCH(S48, ""Ponte Jornalismo|pontejornalismo""), ""Ponte Jornalismo"",
IF(REGEXMATCH(S48, ""letras\.mus\.br|Letras,""), ""Letras"",
IF(REGEXMATCH(S48, ""YouTube|youtube""), 
   ""YouTube (""&amp;
   IF(REGEXMATCH(S48, ""It"&amp;"aú Cultural""), ""Itaú Cultural"",
   IF(REGEXMATCH(S48, ""Rede TVT""), ""Rede TVT"",
   IF(REGEXMATCH(S48, ""Frente pelo Desencarceramento SP""), ""Frente Pelo Desencarceramento SP"",
   IF(REGEXMATCH(S48, ""TV ABA""), ""TV ABA"",
   IF(REGEXMATCH(S48, "&amp;"""TV SENADO""), ""TV Senado"",
   IF(REGEXMATCH(S48, ""Canal USP""), ""Canal USP"",
   IF(REGEXMATCH(S48, ""Douer, Zack|Zack Douer""), ""Douer Zack"",
   IF(REGEXMATCH(S48, ""PRISIONEIRO 84\.901|PRISIONEIRO 84""), ""Prisioneiro 84.901"",
   IF(REGEXMATCH("&amp;"S48, ""^[^,]*, ""), 
        PROPER(REGEXREPLACE(REGEXEXTRACT(S48, ""^([^.]*)\.""), ""^([^,]*), (.*)"", ""$2 $1"")),
        PROPER(REGEXEXTRACT(S48, ""^([^.]*)\.""))
   )))))))))&amp;"")"",
IF(REGEXMATCH(S48, ""Spotify|spotify""), 
   ""Spotify (""&amp;
   IF(R"&amp;"EGEXMATCH(S48, ""ESTRANHO SORRISO""), ""Estranho Sorriso"",
   PROPER(REGEXEXTRACT(S48, ""^([^.]*)\.""))
   )&amp;"")"",
IF(REGEXMATCH(S48, ""Vimeo|vimeo""), 
   ""Vimeo (""&amp;
   IF(REGEXMATCH(S48, ""Passa Palavra""), ""Passa Palavra"",
   PROPER(REGEXEXTRACT"&amp;"(S48, ""^([^.]*)\.""))
   )&amp;"")"",
IF(REGEXMATCH(S48, ""Blogspot""), 
   ""Blogspot (""&amp;
   IF(REGEXMATCH(S48, ""rede2deoutubro""), ""Rede 02 de Outubro"",
   PROPER(REGEXEXTRACT(S48, ""^([^.]*)\.""))
   )&amp;"")"",
IF(REGEXMATCH(S48, ""Facebook""), 
   """&amp;"Facebook (""&amp;
   IF(REGEXMATCH(S48, ""Mídia Ninja""), ""Mídia Ninja"",
   PROPER(REGEXEXTRACT(S48, ""^([^.]*)\.""))
   )&amp;"")"",
IF(REGEXMATCH(S48, ""Instagram""), 
   ""Instagram (""&amp;
   IF(REGEXMATCH(S48, ""Memórias Carandiru""), ""Memórias Carandiru"","&amp;"
   PROPER(REGEXEXTRACT(S48, ""^([^.]*)\.""))
   )&amp;"")"",
IF(REGEXMATCH(S48, ""Folha de S\. Paulo|FOLHA DE S\. PAULO""), ""Folha de S. Paulo"",
IF(REGEXMATCH(S48, ""O Estado de S\. Paulo|ESTADAO""), ""O Estado de S. Paulo"",
IF(REGEXMATCH(S48, ""salasecr"&amp;"eta""), ""Wordpress (Sala Secreta)"",
IF(REGEXMATCH(S48, ""Wikipedia|Wikipédia|WIKIPÉDIA""), ""Wikipedia"",
IF(REGEXMATCH(S48, ""VEJA|Veja""), ""Veja Abril"",
IF(REGEXMATCH(S319, ""Rede Globo|REDE GLOBO""), ""Rede Globo"",
IF(REGEXMATCH(S319, ""G1|globo\."&amp;"com""), ""G1"",
IF(REGEXMATCH(S48, ""Deutsche Welle|DW\.com""), ""Deutsche Welle"",
IF(REGEXMATCH(S48, ""CIDH|Comissão Interamericana""), ""Comissão Interamericana de Direitos Humanos (CIDH)"",
IF(REGEXMATCH(S48, ""Pastoral Carcerária""), ""Pastoral Carce"&amp;"rária"",
IF(REGEXMATCH(S48, ""Esquerda Web""), ""Esquerda Web"",
IF(REGEXMATCH(S48, ""ONU|Organização das Nações Unidas""), ""ONU Brasil"",
IF(REGEXMATCH(S48, ""Quilombo Invisível""), ""Quilombo Invisível"",
IF(REGEXMATCH(S48, ""ALESP|Assembleia Legislati"&amp;"va""), ""ALESP"",
IF(REGEXMATCH(S48, ""Revista Opera""), ""Revista Opera"",
IF(REGEXMATCH(S48, ""SP Escola de Teatro""), ""SP Escola de Teatro"",
IF(REGEXMATCH(S48, ""EMC|Espaço Memória Carandiru""), ""EMC Espaço Memória Carandiru"",
IF(REGEXMATCH(S48, "&amp;"""^RAMOS, Nuno|Nuno Ramos""), ""Nuno Ramos"",
IF(REGEXMATCH(S48, ""^VELOSO, Caetano|Caetano Veloso""), ""YouTube (Caetano Veloso)"",
IF(REGEXMATCH(S48, ""^FATOS REAIS""), ""YouTube (Fatos Reais - Topic)"",
IF(REGEXMATCH(S48, ""^SALA SECRETA""), ""Wordpres"&amp;"s (Sala Secreta)"",
PROPER(REGEXEXTRACT(S48, ""^([^.]*)\.""))
))))))))))))))))))))))))))))))))))))))))))))))))))))))))"),"Biblioteca Digital de Teses e Dissertações da USP")</f>
        <v>Biblioteca Digital de Teses e Dissertações da USP</v>
      </c>
      <c r="N48" s="11" t="s">
        <v>47</v>
      </c>
      <c r="O48" s="14" t="s">
        <v>477</v>
      </c>
      <c r="P48" s="171">
        <v>45945.0</v>
      </c>
      <c r="Q48" s="11" t="s">
        <v>154</v>
      </c>
      <c r="R48" s="70" t="str">
        <f t="shared" si="7"/>
        <v>Aqui</v>
      </c>
      <c r="S48" s="172" t="s">
        <v>479</v>
      </c>
    </row>
    <row r="49">
      <c r="A49" s="11">
        <v>47.0</v>
      </c>
      <c r="B49" s="11"/>
      <c r="C49" s="122"/>
      <c r="D49" s="15"/>
      <c r="E49" s="15"/>
      <c r="F49" s="192">
        <v>2004.0</v>
      </c>
      <c r="G49" s="15">
        <f t="shared" si="1"/>
        <v>2004</v>
      </c>
      <c r="H49" s="11"/>
      <c r="I49" s="16"/>
      <c r="J49" s="17"/>
      <c r="K49" s="197"/>
      <c r="L49" s="190"/>
      <c r="M49" s="15"/>
      <c r="N49" s="11"/>
      <c r="O49" s="11"/>
      <c r="P49" s="11"/>
      <c r="Q49" s="11"/>
      <c r="R49" s="194"/>
      <c r="S49" s="195"/>
    </row>
    <row r="50">
      <c r="A50" s="11">
        <v>48.0</v>
      </c>
      <c r="B50" s="11" t="s">
        <v>298</v>
      </c>
      <c r="C50" s="12" t="str">
        <f>IFERROR(__xludf.DUMMYFUNCTION("IF(B50="""","""",IF(OR(
  REGEXMATCH(B50,""Performance|Instalação|Álbum|Música|Poema|Livro|Filme|Documentário|Recitação|Espetáculo|Peça|Intervenção|Desfile|Fotografia|Exposição|Charge|Grafite|Leitura pública|Fabricação de cachaça artesanal""),
  REGEXMATC"&amp;"H(B50,""dança|teatral|artístico|musical|artística"")
),""Manifestação artístico-cultural"",
IF(OR(
  REGEXMATCH(B50,""Crônica|Série|Reportagem|Podcast|Audiotour|Entrevista|Vídeo|Rádio""),
  REGEXMATCH(B50,""midiática"")
),""Produção midiática"","""")))
"),"Produção midiática")</f>
        <v>Produção midiática</v>
      </c>
      <c r="D50" s="13" t="str">
        <f>IFERROR(__xludf.DUMMYFUNCTION("IF(B50="""","""",IF(OR(
  REGEXMATCH(B50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REGEXMATCH(B50,""público|Imediato|artística|teatral|memória"")
),""Público Imediato"",
IF(REGEXMATCH(B50,""Música|Álbum|Filme|Documentário|Série|Podcast|"&amp;"Rádio|Audiotour|Entrevista|Reportagem|Crônica|Relatório|Abaixo-assinado|Manifesto|Petição|Poema|Livro|Fotografia|Curta|Live|Webinário|Charge|Leitura pública|Vídeo""),
""Público Mediado"","""")))
"),"Público Mediado")</f>
        <v>Público Mediado</v>
      </c>
      <c r="E50" s="13" t="str">
        <f>IFERROR(__xludf.DUMMYFUNCTION("IF(B50="""","""",IF(OR(
  REGEXMATCH(B50,""Live|Webinário|Virtual""),
  REGEXMATCH(B50,""online"")
),""Virtual"",
IF(REGEXMATCH(B50,""Música|Álbum|Filme|Documentário|Série|Podcast|Rádio|Audiotour|Episódio|Reportagem|Curta|Charge|Livro|Vídeo|Entrevista""),"&amp;"
""Midiático"",
IF(REGEXMATCH(B50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0" s="186">
        <v>38513.0</v>
      </c>
      <c r="G50" s="15">
        <f t="shared" si="1"/>
        <v>2005</v>
      </c>
      <c r="H50" s="11" t="s">
        <v>23</v>
      </c>
      <c r="I50" s="16" t="s">
        <v>412</v>
      </c>
      <c r="J50" s="17" t="s">
        <v>573</v>
      </c>
      <c r="K50" s="16" t="s">
        <v>103</v>
      </c>
      <c r="L50" s="18" t="s">
        <v>489</v>
      </c>
      <c r="M50" s="15" t="str">
        <f>IFERROR(__xludf.DUMMYFUNCTION("IF(REGEXMATCH(S50, ""Companhia das Letras""), ""Companhia das Letras"",
IF(REGEXMATCH(S50, ""Labortexto Editorial""), ""Labortexto Editorial"",
IF(REGEXMATCH(S50, ""Geração Editorial""), ""Geração Editorial"",
IF(REGEXMATCH(S50, ""Editora Imprensa Oficial"&amp;"|Imprensa Oficial""), ""Editora Imprensa Oficial"",
IF(REGEXMATCH(S50, ""Folha Online""), ""Folha Online"",
IF(REGEXMATCH(S50, ""FGV DIREITO SP|FGV Direito SP""), ""FGV DIREITO SP"",
IF(REGEXMATCH(S50, ""massacrecarandiru\.org\.br""), ""Memória Massacre C"&amp;"arandiru"",
IF(REGEXMATCH(S50, ""Itaú Cultural""), ""YouTube (Itaú Cultural)"",
IF(REGEXMATCH(S50, ""Passa Palavra""), ""Vimeo (Passa Palavra)"",
IF(REGEXMATCH(S50, ""rede2deoutubro\.blogspot""), ""Blogspot (Rede 02 de Outubro)"",
IF(REGEXMATCH(S50, ""Red"&amp;"e TVT""), ""YouTube (Rede TVT)"",
IF(REGEXMATCH(S50, ""Esquerda Diário""), ""Esquerda Diário"",
IF(REGEXMATCH(S50, ""GZH""), ""GZH"",
IF(REGEXMATCH(S50, ""TVPUC""), ""TVPUC"",
IF(REGEXMATCH(S50, ""Mídia Ninja.*Facebook""), ""Facebook (Mídia Ninja)"",
IF(R"&amp;"EGEXMATCH(S50, ""Memórias Carandiru.*Instagram""), ""Instagram (Memórias Carandiru)"",
IF(REGEXMATCH(S50, ""Frente pelo Desencarceramento SP""), ""YouTube (Frente Pelo Desencarceramento SP)"",
IF(REGEXMATCH(S50, ""TV ABA""), ""YouTube (TV ABA)"",
IF(REGEX"&amp;"MATCH(S50, ""TV SENADO""), ""YouTube (TV Senado)"",
IF(REGEXMATCH(S50, ""Google Arts &amp; Culture""), ""Google Arts &amp; Culture (Memória Massacre Carandiru)"",
IF(REGEXMATCH(S50, ""Anistia Internacional|ANISTIA INTERNACIONAL""), ""Anistia Internacional"",
IF(R"&amp;"EGEXMATCH(S50, ""47\.mostra|47a Mostra""), ""47a Mostra Internacional de Cinema em São Paulo"",
IF(REGEXMATCH(S50, ""Canal USP""), ""YouTube (Canal USP)"",
IF(AND(
  REGEXMATCH(S50, ""(?i)(teses?\.usp\.br|dissertacoes?\.usp\.br|repositorio\.usp\.br)""),
 "&amp;" NOT(REGEXMATCH(S50, ""Canal USP""))
), ""Biblioteca Digital de Teses e Dissertações da USP"",
IF(REGEXMATCH(S50, ""SINTRAJUSC""), ""SINTRAJUSC"",
IF(REGEXMATCH(S50, ""Agência Brasil|Agencia Brasil""), ""Agência Brasil"",
IF(REGEXMATCH(S50, ""Brasil de Fa"&amp;"to""), ""Brasil de Fato"",
IF(REGEXMATCH(S50, ""Ponte Jornalismo|pontejornalismo""), ""Ponte Jornalismo"",
IF(REGEXMATCH(S50, ""letras\.mus\.br|Letras,""), ""Letras"",
IF(REGEXMATCH(S50, ""YouTube|youtube""), 
   ""YouTube (""&amp;
   IF(REGEXMATCH(S50, ""It"&amp;"aú Cultural""), ""Itaú Cultural"",
   IF(REGEXMATCH(S50, ""Rede TVT""), ""Rede TVT"",
   IF(REGEXMATCH(S50, ""Frente pelo Desencarceramento SP""), ""Frente Pelo Desencarceramento SP"",
   IF(REGEXMATCH(S50, ""TV ABA""), ""TV ABA"",
   IF(REGEXMATCH(S50, "&amp;"""TV SENADO""), ""TV Senado"",
   IF(REGEXMATCH(S50, ""Canal USP""), ""Canal USP"",
   IF(REGEXMATCH(S50, ""Douer, Zack|Zack Douer""), ""Douer Zack"",
   IF(REGEXMATCH(S50, ""PRISIONEIRO 84\.901|PRISIONEIRO 84""), ""Prisioneiro 84.901"",
   IF(REGEXMATCH("&amp;"S50, ""^[^,]*, ""), 
        PROPER(REGEXREPLACE(REGEXEXTRACT(S50, ""^([^.]*)\.""), ""^([^,]*), (.*)"", ""$2 $1"")),
        PROPER(REGEXEXTRACT(S50, ""^([^.]*)\.""))
   )))))))))&amp;"")"",
IF(REGEXMATCH(S50, ""Spotify|spotify""), 
   ""Spotify (""&amp;
   IF(R"&amp;"EGEXMATCH(S50, ""ESTRANHO SORRISO""), ""Estranho Sorriso"",
   PROPER(REGEXEXTRACT(S50, ""^([^.]*)\.""))
   )&amp;"")"",
IF(REGEXMATCH(S50, ""Vimeo|vimeo""), 
   ""Vimeo (""&amp;
   IF(REGEXMATCH(S50, ""Passa Palavra""), ""Passa Palavra"",
   PROPER(REGEXEXTRACT"&amp;"(S50, ""^([^.]*)\.""))
   )&amp;"")"",
IF(REGEXMATCH(S50, ""Blogspot""), 
   ""Blogspot (""&amp;
   IF(REGEXMATCH(S50, ""rede2deoutubro""), ""Rede 02 de Outubro"",
   PROPER(REGEXEXTRACT(S50, ""^([^.]*)\.""))
   )&amp;"")"",
IF(REGEXMATCH(S50, ""Facebook""), 
   """&amp;"Facebook (""&amp;
   IF(REGEXMATCH(S50, ""Mídia Ninja""), ""Mídia Ninja"",
   PROPER(REGEXEXTRACT(S50, ""^([^.]*)\.""))
   )&amp;"")"",
IF(REGEXMATCH(S50, ""Instagram""), 
   ""Instagram (""&amp;
   IF(REGEXMATCH(S50, ""Memórias Carandiru""), ""Memórias Carandiru"","&amp;"
   PROPER(REGEXEXTRACT(S50, ""^([^.]*)\.""))
   )&amp;"")"",
IF(REGEXMATCH(S50, ""Folha de S\. Paulo|FOLHA DE S\. PAULO""), ""Folha de S. Paulo"",
IF(REGEXMATCH(S50, ""O Estado de S\. Paulo|ESTADAO""), ""O Estado de S. Paulo"",
IF(REGEXMATCH(S50, ""salasecr"&amp;"eta""), ""Wordpress (Sala Secreta)"",
IF(REGEXMATCH(S50, ""Wikipedia|Wikipédia|WIKIPÉDIA""), ""Wikipedia"",
IF(REGEXMATCH(S50, ""VEJA|Veja""), ""Veja Abril"",
IF(REGEXMATCH(S321, ""Rede Globo|REDE GLOBO""), ""Rede Globo"",
IF(REGEXMATCH(S321, ""G1|globo\."&amp;"com""), ""G1"",
IF(REGEXMATCH(S50, ""Deutsche Welle|DW\.com""), ""Deutsche Welle"",
IF(REGEXMATCH(S50, ""CIDH|Comissão Interamericana""), ""Comissão Interamericana de Direitos Humanos (CIDH)"",
IF(REGEXMATCH(S50, ""Pastoral Carcerária""), ""Pastoral Carce"&amp;"rária"",
IF(REGEXMATCH(S50, ""Esquerda Web""), ""Esquerda Web"",
IF(REGEXMATCH(S50, ""ONU|Organização das Nações Unidas""), ""ONU Brasil"",
IF(REGEXMATCH(S50, ""Quilombo Invisível""), ""Quilombo Invisível"",
IF(REGEXMATCH(S50, ""ALESP|Assembleia Legislati"&amp;"va""), ""ALESP"",
IF(REGEXMATCH(S50, ""Revista Opera""), ""Revista Opera"",
IF(REGEXMATCH(S50, ""SP Escola de Teatro""), ""SP Escola de Teatro"",
IF(REGEXMATCH(S50, ""EMC|Espaço Memória Carandiru""), ""EMC Espaço Memória Carandiru"",
IF(REGEXMATCH(S50, "&amp;"""^RAMOS, Nuno|Nuno Ramos""), ""Nuno Ramos"",
IF(REGEXMATCH(S50, ""^VELOSO, Caetano|Caetano Veloso""), ""YouTube (Caetano Veloso)"",
IF(REGEXMATCH(S50, ""^FATOS REAIS""), ""YouTube (Fatos Reais - Topic)"",
IF(REGEXMATCH(S50, ""^SALA SECRETA""), ""Wordpres"&amp;"s (Sala Secreta)"",
PROPER(REGEXEXTRACT(S50, ""^([^.]*)\.""))
))))))))))))))))))))))))))))))))))))))))))))))))))))))))"),"Wikipedia")</f>
        <v>Wikipedia</v>
      </c>
      <c r="N50" s="11" t="s">
        <v>47</v>
      </c>
      <c r="O50" s="11" t="s">
        <v>149</v>
      </c>
      <c r="P50" s="51">
        <v>45856.0</v>
      </c>
      <c r="Q50" s="11" t="s">
        <v>154</v>
      </c>
      <c r="R50" s="70" t="str">
        <f t="shared" ref="R50:R274" si="8">HYPERLINK(LEFT(MID(S50,FIND("http",S50),LEN(S50)),FIND(". Acesso em",S50)-FIND("http",S50)),"Aqui")</f>
        <v>Aqui</v>
      </c>
      <c r="S50" s="75" t="s">
        <v>574</v>
      </c>
    </row>
    <row r="51">
      <c r="A51" s="11">
        <v>49.0</v>
      </c>
      <c r="B51" s="11" t="s">
        <v>211</v>
      </c>
      <c r="C51" s="12" t="str">
        <f>IFERROR(__xludf.DUMMYFUNCTION("IF(B51="""","""",IF(OR(
  REGEXMATCH(B51,""Performance|Instalação|Álbum|Música|Poema|Livro|Filme|Documentário|Recitação|Espetáculo|Peça|Intervenção|Desfile|Fotografia|Exposição|Charge|Grafite|Leitura pública|Fabricação de cachaça artesanal""),
  REGEXMATC"&amp;"H(B51,""dança|teatral|artístico|musical|artística"")
),""Manifestação artístico-cultural"",
IF(OR(
  REGEXMATCH(B51,""Crônica|Série|Reportagem|Podcast|Audiotour|Entrevista|Vídeo|Rádio""),
  REGEXMATCH(B51,""midiática"")
),""Produção midiática"","""")))
"),"Manifestação artístico-cultural")</f>
        <v>Manifestação artístico-cultural</v>
      </c>
      <c r="D51" s="13" t="str">
        <f>IFERROR(__xludf.DUMMYFUNCTION("IF(B51="""","""",IF(OR(
  REGEXMATCH(B51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REGEXMATCH(B51,""público|Imediato|artística|teatral|memória"")
),""Público Imediato"",
IF(REGEXMATCH(B51,""Música|Álbum|Filme|Documentário|Série|Podcast|"&amp;"Rádio|Audiotour|Entrevista|Reportagem|Crônica|Relatório|Abaixo-assinado|Manifesto|Petição|Poema|Livro|Fotografia|Curta|Live|Webinário|Charge|Leitura pública|Vídeo""),
""Público Mediado"","""")))
"),"Público Mediado")</f>
        <v>Público Mediado</v>
      </c>
      <c r="E51" s="13" t="str">
        <f>IFERROR(__xludf.DUMMYFUNCTION("IF(B51="""","""",IF(OR(
  REGEXMATCH(B51,""Live|Webinário|Virtual""),
  REGEXMATCH(B51,""online"")
),""Virtual"",
IF(REGEXMATCH(B51,""Música|Álbum|Filme|Documentário|Série|Podcast|Rádio|Audiotour|Episódio|Reportagem|Curta|Charge|Livro|Vídeo|Entrevista""),"&amp;"
""Midiático"",
IF(REGEXMATCH(B51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1" s="14">
        <v>2006.0</v>
      </c>
      <c r="G51" s="15">
        <f t="shared" si="1"/>
        <v>2006</v>
      </c>
      <c r="H51" s="198" t="s">
        <v>23</v>
      </c>
      <c r="I51" s="16" t="s">
        <v>417</v>
      </c>
      <c r="J51" s="17" t="s">
        <v>575</v>
      </c>
      <c r="K51" s="16" t="s">
        <v>222</v>
      </c>
      <c r="L51" s="18" t="s">
        <v>106</v>
      </c>
      <c r="M51" s="15" t="str">
        <f>IFERROR(__xludf.DUMMYFUNCTION("IF(REGEXMATCH(S51, ""Companhia das Letras""), ""Companhia das Letras"",
IF(REGEXMATCH(S51, ""Labortexto Editorial""), ""Labortexto Editorial"",
IF(REGEXMATCH(S51, ""Geração Editorial""), ""Geração Editorial"",
IF(REGEXMATCH(S51, ""Editora Imprensa Oficial"&amp;"|Imprensa Oficial""), ""Editora Imprensa Oficial"",
IF(REGEXMATCH(S51, ""Folha Online""), ""Folha Online"",
IF(REGEXMATCH(S51, ""FGV DIREITO SP|FGV Direito SP""), ""FGV DIREITO SP"",
IF(REGEXMATCH(S51, ""massacrecarandiru\.org\.br""), ""Memória Massacre C"&amp;"arandiru"",
IF(REGEXMATCH(S51, ""Itaú Cultural""), ""YouTube (Itaú Cultural)"",
IF(REGEXMATCH(S51, ""Passa Palavra""), ""Vimeo (Passa Palavra)"",
IF(REGEXMATCH(S51, ""rede2deoutubro\.blogspot""), ""Blogspot (Rede 02 de Outubro)"",
IF(REGEXMATCH(S51, ""Red"&amp;"e TVT""), ""YouTube (Rede TVT)"",
IF(REGEXMATCH(S51, ""Esquerda Diário""), ""Esquerda Diário"",
IF(REGEXMATCH(S51, ""GZH""), ""GZH"",
IF(REGEXMATCH(S51, ""TVPUC""), ""TVPUC"",
IF(REGEXMATCH(S51, ""Mídia Ninja.*Facebook""), ""Facebook (Mídia Ninja)"",
IF(R"&amp;"EGEXMATCH(S51, ""Memórias Carandiru.*Instagram""), ""Instagram (Memórias Carandiru)"",
IF(REGEXMATCH(S51, ""Frente pelo Desencarceramento SP""), ""YouTube (Frente Pelo Desencarceramento SP)"",
IF(REGEXMATCH(S51, ""TV ABA""), ""YouTube (TV ABA)"",
IF(REGEX"&amp;"MATCH(S51, ""TV SENADO""), ""YouTube (TV Senado)"",
IF(REGEXMATCH(S51, ""Google Arts &amp; Culture""), ""Google Arts &amp; Culture (Memória Massacre Carandiru)"",
IF(REGEXMATCH(S51, ""Anistia Internacional|ANISTIA INTERNACIONAL""), ""Anistia Internacional"",
IF(R"&amp;"EGEXMATCH(S51, ""47\.mostra|47a Mostra""), ""47a Mostra Internacional de Cinema em São Paulo"",
IF(REGEXMATCH(S51, ""Canal USP""), ""YouTube (Canal USP)"",
IF(AND(
  REGEXMATCH(S51, ""(?i)(teses?\.usp\.br|dissertacoes?\.usp\.br|repositorio\.usp\.br)""),
 "&amp;" NOT(REGEXMATCH(S51, ""Canal USP""))
), ""Biblioteca Digital de Teses e Dissertações da USP"",
IF(REGEXMATCH(S51, ""SINTRAJUSC""), ""SINTRAJUSC"",
IF(REGEXMATCH(S51, ""Agência Brasil|Agencia Brasil""), ""Agência Brasil"",
IF(REGEXMATCH(S51, ""Brasil de Fa"&amp;"to""), ""Brasil de Fato"",
IF(REGEXMATCH(S51, ""Ponte Jornalismo|pontejornalismo""), ""Ponte Jornalismo"",
IF(REGEXMATCH(S51, ""letras\.mus\.br|Letras,""), ""Letras"",
IF(REGEXMATCH(S51, ""YouTube|youtube""), 
   ""YouTube (""&amp;
   IF(REGEXMATCH(S51, ""It"&amp;"aú Cultural""), ""Itaú Cultural"",
   IF(REGEXMATCH(S51, ""Rede TVT""), ""Rede TVT"",
   IF(REGEXMATCH(S51, ""Frente pelo Desencarceramento SP""), ""Frente Pelo Desencarceramento SP"",
   IF(REGEXMATCH(S51, ""TV ABA""), ""TV ABA"",
   IF(REGEXMATCH(S51, "&amp;"""TV SENADO""), ""TV Senado"",
   IF(REGEXMATCH(S51, ""Canal USP""), ""Canal USP"",
   IF(REGEXMATCH(S51, ""Douer, Zack|Zack Douer""), ""Douer Zack"",
   IF(REGEXMATCH(S51, ""PRISIONEIRO 84\.901|PRISIONEIRO 84""), ""Prisioneiro 84.901"",
   IF(REGEXMATCH("&amp;"S51, ""^[^,]*, ""), 
        PROPER(REGEXREPLACE(REGEXEXTRACT(S51, ""^([^.]*)\.""), ""^([^,]*), (.*)"", ""$2 $1"")),
        PROPER(REGEXEXTRACT(S51, ""^([^.]*)\.""))
   )))))))))&amp;"")"",
IF(REGEXMATCH(S51, ""Spotify|spotify""), 
   ""Spotify (""&amp;
   IF(R"&amp;"EGEXMATCH(S51, ""ESTRANHO SORRISO""), ""Estranho Sorriso"",
   PROPER(REGEXEXTRACT(S51, ""^([^.]*)\.""))
   )&amp;"")"",
IF(REGEXMATCH(S51, ""Vimeo|vimeo""), 
   ""Vimeo (""&amp;
   IF(REGEXMATCH(S51, ""Passa Palavra""), ""Passa Palavra"",
   PROPER(REGEXEXTRACT"&amp;"(S51, ""^([^.]*)\.""))
   )&amp;"")"",
IF(REGEXMATCH(S51, ""Blogspot""), 
   ""Blogspot (""&amp;
   IF(REGEXMATCH(S51, ""rede2deoutubro""), ""Rede 02 de Outubro"",
   PROPER(REGEXEXTRACT(S51, ""^([^.]*)\.""))
   )&amp;"")"",
IF(REGEXMATCH(S51, ""Facebook""), 
   """&amp;"Facebook (""&amp;
   IF(REGEXMATCH(S51, ""Mídia Ninja""), ""Mídia Ninja"",
   PROPER(REGEXEXTRACT(S51, ""^([^.]*)\.""))
   )&amp;"")"",
IF(REGEXMATCH(S51, ""Instagram""), 
   ""Instagram (""&amp;
   IF(REGEXMATCH(S51, ""Memórias Carandiru""), ""Memórias Carandiru"","&amp;"
   PROPER(REGEXEXTRACT(S51, ""^([^.]*)\.""))
   )&amp;"")"",
IF(REGEXMATCH(S51, ""Folha de S\. Paulo|FOLHA DE S\. PAULO""), ""Folha de S. Paulo"",
IF(REGEXMATCH(S51, ""O Estado de S\. Paulo|ESTADAO""), ""O Estado de S. Paulo"",
IF(REGEXMATCH(S51, ""salasecr"&amp;"eta""), ""Wordpress (Sala Secreta)"",
IF(REGEXMATCH(S51, ""Wikipedia|Wikipédia|WIKIPÉDIA""), ""Wikipedia"",
IF(REGEXMATCH(S51, ""VEJA|Veja""), ""Veja Abril"",
IF(REGEXMATCH(S322, ""Rede Globo|REDE GLOBO""), ""Rede Globo"",
IF(REGEXMATCH(S322, ""G1|globo\."&amp;"com""), ""G1"",
IF(REGEXMATCH(S51, ""Deutsche Welle|DW\.com""), ""Deutsche Welle"",
IF(REGEXMATCH(S51, ""CIDH|Comissão Interamericana""), ""Comissão Interamericana de Direitos Humanos (CIDH)"",
IF(REGEXMATCH(S51, ""Pastoral Carcerária""), ""Pastoral Carce"&amp;"rária"",
IF(REGEXMATCH(S51, ""Esquerda Web""), ""Esquerda Web"",
IF(REGEXMATCH(S51, ""ONU|Organização das Nações Unidas""), ""ONU Brasil"",
IF(REGEXMATCH(S51, ""Quilombo Invisível""), ""Quilombo Invisível"",
IF(REGEXMATCH(S51, ""ALESP|Assembleia Legislati"&amp;"va""), ""ALESP"",
IF(REGEXMATCH(S51, ""Revista Opera""), ""Revista Opera"",
IF(REGEXMATCH(S51, ""SP Escola de Teatro""), ""SP Escola de Teatro"",
IF(REGEXMATCH(S51, ""EMC|Espaço Memória Carandiru""), ""EMC Espaço Memória Carandiru"",
IF(REGEXMATCH(S51, "&amp;"""^RAMOS, Nuno|Nuno Ramos""), ""Nuno Ramos"",
IF(REGEXMATCH(S51, ""^VELOSO, Caetano|Caetano Veloso""), ""YouTube (Caetano Veloso)"",
IF(REGEXMATCH(S51, ""^FATOS REAIS""), ""YouTube (Fatos Reais - Topic)"",
IF(REGEXMATCH(S51, ""^SALA SECRETA""), ""Wordpres"&amp;"s (Sala Secreta)"",
PROPER(REGEXEXTRACT(S51, ""^([^.]*)\.""))
))))))))))))))))))))))))))))))))))))))))))))))))))))))))"),"YouTube (Facção Central)")</f>
        <v>YouTube (Facção Central)</v>
      </c>
      <c r="N51" s="11" t="s">
        <v>47</v>
      </c>
      <c r="O51" s="11" t="s">
        <v>149</v>
      </c>
      <c r="P51" s="51">
        <v>45856.0</v>
      </c>
      <c r="Q51" s="11" t="s">
        <v>154</v>
      </c>
      <c r="R51" s="70" t="str">
        <f t="shared" si="8"/>
        <v>Aqui</v>
      </c>
      <c r="S51" s="75" t="s">
        <v>576</v>
      </c>
    </row>
    <row r="52">
      <c r="A52" s="11">
        <v>50.0</v>
      </c>
      <c r="B52" s="11" t="s">
        <v>211</v>
      </c>
      <c r="C52" s="12" t="str">
        <f>IFERROR(__xludf.DUMMYFUNCTION("IF(B52="""","""",IF(OR(
  REGEXMATCH(B52,""Performance|Instalação|Álbum|Música|Poema|Livro|Filme|Documentário|Recitação|Espetáculo|Peça|Intervenção|Desfile|Fotografia|Exposição|Charge|Grafite|Leitura pública|Fabricação de cachaça artesanal""),
  REGEXMATC"&amp;"H(B52,""dança|teatral|artístico|musical|artística"")
),""Manifestação artístico-cultural"",
IF(OR(
  REGEXMATCH(B52,""Crônica|Série|Reportagem|Podcast|Audiotour|Entrevista|Vídeo|Rádio""),
  REGEXMATCH(B52,""midiática"")
),""Produção midiática"","""")))
"),"Manifestação artístico-cultural")</f>
        <v>Manifestação artístico-cultural</v>
      </c>
      <c r="D52" s="13" t="str">
        <f>IFERROR(__xludf.DUMMYFUNCTION("IF(B52="""","""",IF(OR(
  REGEXMATCH(B52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REGEXMATCH(B52,""público|Imediato|artística|teatral|memória"")
),""Público Imediato"",
IF(REGEXMATCH(B52,""Música|Álbum|Filme|Documentário|Série|Podcast|"&amp;"Rádio|Audiotour|Entrevista|Reportagem|Crônica|Relatório|Abaixo-assinado|Manifesto|Petição|Poema|Livro|Fotografia|Curta|Live|Webinário|Charge|Leitura pública|Vídeo""),
""Público Mediado"","""")))
"),"Público Mediado")</f>
        <v>Público Mediado</v>
      </c>
      <c r="E52" s="13" t="str">
        <f>IFERROR(__xludf.DUMMYFUNCTION("IF(B52="""","""",IF(OR(
  REGEXMATCH(B52,""Live|Webinário|Virtual""),
  REGEXMATCH(B52,""online"")
),""Virtual"",
IF(REGEXMATCH(B52,""Música|Álbum|Filme|Documentário|Série|Podcast|Rádio|Audiotour|Episódio|Reportagem|Curta|Charge|Livro|Vídeo|Entrevista""),"&amp;"
""Midiático"",
IF(REGEXMATCH(B52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2" s="14">
        <v>2006.0</v>
      </c>
      <c r="G52" s="15">
        <f t="shared" si="1"/>
        <v>2006</v>
      </c>
      <c r="H52" s="198" t="s">
        <v>23</v>
      </c>
      <c r="I52" s="16" t="s">
        <v>417</v>
      </c>
      <c r="J52" s="17" t="s">
        <v>577</v>
      </c>
      <c r="K52" s="16" t="s">
        <v>222</v>
      </c>
      <c r="L52" s="18" t="s">
        <v>106</v>
      </c>
      <c r="M52" s="15" t="str">
        <f>IFERROR(__xludf.DUMMYFUNCTION("IF(REGEXMATCH(S52, ""Companhia das Letras""), ""Companhia das Letras"",
IF(REGEXMATCH(S52, ""Labortexto Editorial""), ""Labortexto Editorial"",
IF(REGEXMATCH(S52, ""Geração Editorial""), ""Geração Editorial"",
IF(REGEXMATCH(S52, ""Editora Imprensa Oficial"&amp;"|Imprensa Oficial""), ""Editora Imprensa Oficial"",
IF(REGEXMATCH(S52, ""Folha Online""), ""Folha Online"",
IF(REGEXMATCH(S52, ""FGV DIREITO SP|FGV Direito SP""), ""FGV DIREITO SP"",
IF(REGEXMATCH(S52, ""massacrecarandiru\.org\.br""), ""Memória Massacre C"&amp;"arandiru"",
IF(REGEXMATCH(S52, ""Itaú Cultural""), ""YouTube (Itaú Cultural)"",
IF(REGEXMATCH(S52, ""Passa Palavra""), ""Vimeo (Passa Palavra)"",
IF(REGEXMATCH(S52, ""rede2deoutubro\.blogspot""), ""Blogspot (Rede 02 de Outubro)"",
IF(REGEXMATCH(S52, ""Red"&amp;"e TVT""), ""YouTube (Rede TVT)"",
IF(REGEXMATCH(S52, ""Esquerda Diário""), ""Esquerda Diário"",
IF(REGEXMATCH(S52, ""GZH""), ""GZH"",
IF(REGEXMATCH(S52, ""TVPUC""), ""TVPUC"",
IF(REGEXMATCH(S52, ""Mídia Ninja.*Facebook""), ""Facebook (Mídia Ninja)"",
IF(R"&amp;"EGEXMATCH(S52, ""Memórias Carandiru.*Instagram""), ""Instagram (Memórias Carandiru)"",
IF(REGEXMATCH(S52, ""Frente pelo Desencarceramento SP""), ""YouTube (Frente Pelo Desencarceramento SP)"",
IF(REGEXMATCH(S52, ""TV ABA""), ""YouTube (TV ABA)"",
IF(REGEX"&amp;"MATCH(S52, ""TV SENADO""), ""YouTube (TV Senado)"",
IF(REGEXMATCH(S52, ""Google Arts &amp; Culture""), ""Google Arts &amp; Culture (Memória Massacre Carandiru)"",
IF(REGEXMATCH(S52, ""Anistia Internacional|ANISTIA INTERNACIONAL""), ""Anistia Internacional"",
IF(R"&amp;"EGEXMATCH(S52, ""47\.mostra|47a Mostra""), ""47a Mostra Internacional de Cinema em São Paulo"",
IF(REGEXMATCH(S52, ""Canal USP""), ""YouTube (Canal USP)"",
IF(AND(
  REGEXMATCH(S52, ""(?i)(teses?\.usp\.br|dissertacoes?\.usp\.br|repositorio\.usp\.br)""),
 "&amp;" NOT(REGEXMATCH(S52, ""Canal USP""))
), ""Biblioteca Digital de Teses e Dissertações da USP"",
IF(REGEXMATCH(S52, ""SINTRAJUSC""), ""SINTRAJUSC"",
IF(REGEXMATCH(S52, ""Agência Brasil|Agencia Brasil""), ""Agência Brasil"",
IF(REGEXMATCH(S52, ""Brasil de Fa"&amp;"to""), ""Brasil de Fato"",
IF(REGEXMATCH(S52, ""Ponte Jornalismo|pontejornalismo""), ""Ponte Jornalismo"",
IF(REGEXMATCH(S52, ""letras\.mus\.br|Letras,""), ""Letras"",
IF(REGEXMATCH(S52, ""YouTube|youtube""), 
   ""YouTube (""&amp;
   IF(REGEXMATCH(S52, ""It"&amp;"aú Cultural""), ""Itaú Cultural"",
   IF(REGEXMATCH(S52, ""Rede TVT""), ""Rede TVT"",
   IF(REGEXMATCH(S52, ""Frente pelo Desencarceramento SP""), ""Frente Pelo Desencarceramento SP"",
   IF(REGEXMATCH(S52, ""TV ABA""), ""TV ABA"",
   IF(REGEXMATCH(S52, "&amp;"""TV SENADO""), ""TV Senado"",
   IF(REGEXMATCH(S52, ""Canal USP""), ""Canal USP"",
   IF(REGEXMATCH(S52, ""Douer, Zack|Zack Douer""), ""Douer Zack"",
   IF(REGEXMATCH(S52, ""PRISIONEIRO 84\.901|PRISIONEIRO 84""), ""Prisioneiro 84.901"",
   IF(REGEXMATCH("&amp;"S52, ""^[^,]*, ""), 
        PROPER(REGEXREPLACE(REGEXEXTRACT(S52, ""^([^.]*)\.""), ""^([^,]*), (.*)"", ""$2 $1"")),
        PROPER(REGEXEXTRACT(S52, ""^([^.]*)\.""))
   )))))))))&amp;"")"",
IF(REGEXMATCH(S52, ""Spotify|spotify""), 
   ""Spotify (""&amp;
   IF(R"&amp;"EGEXMATCH(S52, ""ESTRANHO SORRISO""), ""Estranho Sorriso"",
   PROPER(REGEXEXTRACT(S52, ""^([^.]*)\.""))
   )&amp;"")"",
IF(REGEXMATCH(S52, ""Vimeo|vimeo""), 
   ""Vimeo (""&amp;
   IF(REGEXMATCH(S52, ""Passa Palavra""), ""Passa Palavra"",
   PROPER(REGEXEXTRACT"&amp;"(S52, ""^([^.]*)\.""))
   )&amp;"")"",
IF(REGEXMATCH(S52, ""Blogspot""), 
   ""Blogspot (""&amp;
   IF(REGEXMATCH(S52, ""rede2deoutubro""), ""Rede 02 de Outubro"",
   PROPER(REGEXEXTRACT(S52, ""^([^.]*)\.""))
   )&amp;"")"",
IF(REGEXMATCH(S52, ""Facebook""), 
   """&amp;"Facebook (""&amp;
   IF(REGEXMATCH(S52, ""Mídia Ninja""), ""Mídia Ninja"",
   PROPER(REGEXEXTRACT(S52, ""^([^.]*)\.""))
   )&amp;"")"",
IF(REGEXMATCH(S52, ""Instagram""), 
   ""Instagram (""&amp;
   IF(REGEXMATCH(S52, ""Memórias Carandiru""), ""Memórias Carandiru"","&amp;"
   PROPER(REGEXEXTRACT(S52, ""^([^.]*)\.""))
   )&amp;"")"",
IF(REGEXMATCH(S52, ""Folha de S\. Paulo|FOLHA DE S\. PAULO""), ""Folha de S. Paulo"",
IF(REGEXMATCH(S52, ""O Estado de S\. Paulo|ESTADAO""), ""O Estado de S. Paulo"",
IF(REGEXMATCH(S52, ""salasecr"&amp;"eta""), ""Wordpress (Sala Secreta)"",
IF(REGEXMATCH(S52, ""Wikipedia|Wikipédia|WIKIPÉDIA""), ""Wikipedia"",
IF(REGEXMATCH(S52, ""VEJA|Veja""), ""Veja Abril"",
IF(REGEXMATCH(S323, ""Rede Globo|REDE GLOBO""), ""Rede Globo"",
IF(REGEXMATCH(S323, ""G1|globo\."&amp;"com""), ""G1"",
IF(REGEXMATCH(S52, ""Deutsche Welle|DW\.com""), ""Deutsche Welle"",
IF(REGEXMATCH(S52, ""CIDH|Comissão Interamericana""), ""Comissão Interamericana de Direitos Humanos (CIDH)"",
IF(REGEXMATCH(S52, ""Pastoral Carcerária""), ""Pastoral Carce"&amp;"rária"",
IF(REGEXMATCH(S52, ""Esquerda Web""), ""Esquerda Web"",
IF(REGEXMATCH(S52, ""ONU|Organização das Nações Unidas""), ""ONU Brasil"",
IF(REGEXMATCH(S52, ""Quilombo Invisível""), ""Quilombo Invisível"",
IF(REGEXMATCH(S52, ""ALESP|Assembleia Legislati"&amp;"va""), ""ALESP"",
IF(REGEXMATCH(S52, ""Revista Opera""), ""Revista Opera"",
IF(REGEXMATCH(S52, ""SP Escola de Teatro""), ""SP Escola de Teatro"",
IF(REGEXMATCH(S52, ""EMC|Espaço Memória Carandiru""), ""EMC Espaço Memória Carandiru"",
IF(REGEXMATCH(S52, "&amp;"""^RAMOS, Nuno|Nuno Ramos""), ""Nuno Ramos"",
IF(REGEXMATCH(S52, ""^VELOSO, Caetano|Caetano Veloso""), ""YouTube (Caetano Veloso)"",
IF(REGEXMATCH(S52, ""^FATOS REAIS""), ""YouTube (Fatos Reais - Topic)"",
IF(REGEXMATCH(S52, ""^SALA SECRETA""), ""Wordpres"&amp;"s (Sala Secreta)"",
PROPER(REGEXEXTRACT(S52, ""^([^.]*)\.""))
))))))))))))))))))))))))))))))))))))))))))))))))))))))))"),"YouTube (Facção Central)")</f>
        <v>YouTube (Facção Central)</v>
      </c>
      <c r="N52" s="11" t="s">
        <v>47</v>
      </c>
      <c r="O52" s="11" t="s">
        <v>149</v>
      </c>
      <c r="P52" s="51">
        <v>45856.0</v>
      </c>
      <c r="Q52" s="11" t="s">
        <v>154</v>
      </c>
      <c r="R52" s="70" t="str">
        <f t="shared" si="8"/>
        <v>Aqui</v>
      </c>
      <c r="S52" s="75" t="s">
        <v>578</v>
      </c>
    </row>
    <row r="53">
      <c r="A53" s="11">
        <v>51.0</v>
      </c>
      <c r="B53" s="11" t="s">
        <v>211</v>
      </c>
      <c r="C53" s="12" t="str">
        <f>IFERROR(__xludf.DUMMYFUNCTION("IF(B53="""","""",IF(OR(
  REGEXMATCH(B53,""Performance|Instalação|Álbum|Música|Poema|Livro|Filme|Documentário|Recitação|Espetáculo|Peça|Intervenção|Desfile|Fotografia|Exposição|Charge|Grafite|Leitura pública|Fabricação de cachaça artesanal""),
  REGEXMATC"&amp;"H(B53,""dança|teatral|artístico|musical|artística"")
),""Manifestação artístico-cultural"",
IF(OR(
  REGEXMATCH(B53,""Crônica|Série|Reportagem|Podcast|Audiotour|Entrevista|Vídeo|Rádio""),
  REGEXMATCH(B53,""midiática"")
),""Produção midiática"","""")))
"),"Manifestação artístico-cultural")</f>
        <v>Manifestação artístico-cultural</v>
      </c>
      <c r="D53" s="13" t="str">
        <f>IFERROR(__xludf.DUMMYFUNCTION("IF(B53="""","""",IF(OR(
  REGEXMATCH(B53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REGEXMATCH(B53,""público|Imediato|artística|teatral|memória"")
),""Público Imediato"",
IF(REGEXMATCH(B53,""Música|Álbum|Filme|Documentário|Série|Podcast|"&amp;"Rádio|Audiotour|Entrevista|Reportagem|Crônica|Relatório|Abaixo-assinado|Manifesto|Petição|Poema|Livro|Fotografia|Curta|Live|Webinário|Charge|Leitura pública|Vídeo""),
""Público Mediado"","""")))
"),"Público Mediado")</f>
        <v>Público Mediado</v>
      </c>
      <c r="E53" s="13" t="str">
        <f>IFERROR(__xludf.DUMMYFUNCTION("IF(B53="""","""",IF(OR(
  REGEXMATCH(B53,""Live|Webinário|Virtual""),
  REGEXMATCH(B53,""online"")
),""Virtual"",
IF(REGEXMATCH(B53,""Música|Álbum|Filme|Documentário|Série|Podcast|Rádio|Audiotour|Episódio|Reportagem|Curta|Charge|Livro|Vídeo|Entrevista""),"&amp;"
""Midiático"",
IF(REGEXMATCH(B53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3" s="14">
        <v>2006.0</v>
      </c>
      <c r="G53" s="15">
        <f t="shared" si="1"/>
        <v>2006</v>
      </c>
      <c r="H53" s="198" t="s">
        <v>23</v>
      </c>
      <c r="I53" s="16" t="s">
        <v>417</v>
      </c>
      <c r="J53" s="17" t="s">
        <v>579</v>
      </c>
      <c r="K53" s="16" t="s">
        <v>222</v>
      </c>
      <c r="L53" s="18" t="s">
        <v>106</v>
      </c>
      <c r="M53" s="15" t="str">
        <f>IFERROR(__xludf.DUMMYFUNCTION("IF(REGEXMATCH(S53, ""Companhia das Letras""), ""Companhia das Letras"",
IF(REGEXMATCH(S53, ""Labortexto Editorial""), ""Labortexto Editorial"",
IF(REGEXMATCH(S53, ""Geração Editorial""), ""Geração Editorial"",
IF(REGEXMATCH(S53, ""Editora Imprensa Oficial"&amp;"|Imprensa Oficial""), ""Editora Imprensa Oficial"",
IF(REGEXMATCH(S53, ""Folha Online""), ""Folha Online"",
IF(REGEXMATCH(S53, ""FGV DIREITO SP|FGV Direito SP""), ""FGV DIREITO SP"",
IF(REGEXMATCH(S53, ""massacrecarandiru\.org\.br""), ""Memória Massacre C"&amp;"arandiru"",
IF(REGEXMATCH(S53, ""Itaú Cultural""), ""YouTube (Itaú Cultural)"",
IF(REGEXMATCH(S53, ""Passa Palavra""), ""Vimeo (Passa Palavra)"",
IF(REGEXMATCH(S53, ""rede2deoutubro\.blogspot""), ""Blogspot (Rede 02 de Outubro)"",
IF(REGEXMATCH(S53, ""Red"&amp;"e TVT""), ""YouTube (Rede TVT)"",
IF(REGEXMATCH(S53, ""Esquerda Diário""), ""Esquerda Diário"",
IF(REGEXMATCH(S53, ""GZH""), ""GZH"",
IF(REGEXMATCH(S53, ""TVPUC""), ""TVPUC"",
IF(REGEXMATCH(S53, ""Mídia Ninja.*Facebook""), ""Facebook (Mídia Ninja)"",
IF(R"&amp;"EGEXMATCH(S53, ""Memórias Carandiru.*Instagram""), ""Instagram (Memórias Carandiru)"",
IF(REGEXMATCH(S53, ""Frente pelo Desencarceramento SP""), ""YouTube (Frente Pelo Desencarceramento SP)"",
IF(REGEXMATCH(S53, ""TV ABA""), ""YouTube (TV ABA)"",
IF(REGEX"&amp;"MATCH(S53, ""TV SENADO""), ""YouTube (TV Senado)"",
IF(REGEXMATCH(S53, ""Google Arts &amp; Culture""), ""Google Arts &amp; Culture (Memória Massacre Carandiru)"",
IF(REGEXMATCH(S53, ""Anistia Internacional|ANISTIA INTERNACIONAL""), ""Anistia Internacional"",
IF(R"&amp;"EGEXMATCH(S53, ""47\.mostra|47a Mostra""), ""47a Mostra Internacional de Cinema em São Paulo"",
IF(REGEXMATCH(S53, ""Canal USP""), ""YouTube (Canal USP)"",
IF(AND(
  REGEXMATCH(S53, ""(?i)(teses?\.usp\.br|dissertacoes?\.usp\.br|repositorio\.usp\.br)""),
 "&amp;" NOT(REGEXMATCH(S53, ""Canal USP""))
), ""Biblioteca Digital de Teses e Dissertações da USP"",
IF(REGEXMATCH(S53, ""SINTRAJUSC""), ""SINTRAJUSC"",
IF(REGEXMATCH(S53, ""Agência Brasil|Agencia Brasil""), ""Agência Brasil"",
IF(REGEXMATCH(S53, ""Brasil de Fa"&amp;"to""), ""Brasil de Fato"",
IF(REGEXMATCH(S53, ""Ponte Jornalismo|pontejornalismo""), ""Ponte Jornalismo"",
IF(REGEXMATCH(S53, ""letras\.mus\.br|Letras,""), ""Letras"",
IF(REGEXMATCH(S53, ""YouTube|youtube""), 
   ""YouTube (""&amp;
   IF(REGEXMATCH(S53, ""It"&amp;"aú Cultural""), ""Itaú Cultural"",
   IF(REGEXMATCH(S53, ""Rede TVT""), ""Rede TVT"",
   IF(REGEXMATCH(S53, ""Frente pelo Desencarceramento SP""), ""Frente Pelo Desencarceramento SP"",
   IF(REGEXMATCH(S53, ""TV ABA""), ""TV ABA"",
   IF(REGEXMATCH(S53, "&amp;"""TV SENADO""), ""TV Senado"",
   IF(REGEXMATCH(S53, ""Canal USP""), ""Canal USP"",
   IF(REGEXMATCH(S53, ""Douer, Zack|Zack Douer""), ""Douer Zack"",
   IF(REGEXMATCH(S53, ""PRISIONEIRO 84\.901|PRISIONEIRO 84""), ""Prisioneiro 84.901"",
   IF(REGEXMATCH("&amp;"S53, ""^[^,]*, ""), 
        PROPER(REGEXREPLACE(REGEXEXTRACT(S53, ""^([^.]*)\.""), ""^([^,]*), (.*)"", ""$2 $1"")),
        PROPER(REGEXEXTRACT(S53, ""^([^.]*)\.""))
   )))))))))&amp;"")"",
IF(REGEXMATCH(S53, ""Spotify|spotify""), 
   ""Spotify (""&amp;
   IF(R"&amp;"EGEXMATCH(S53, ""ESTRANHO SORRISO""), ""Estranho Sorriso"",
   PROPER(REGEXEXTRACT(S53, ""^([^.]*)\.""))
   )&amp;"")"",
IF(REGEXMATCH(S53, ""Vimeo|vimeo""), 
   ""Vimeo (""&amp;
   IF(REGEXMATCH(S53, ""Passa Palavra""), ""Passa Palavra"",
   PROPER(REGEXEXTRACT"&amp;"(S53, ""^([^.]*)\.""))
   )&amp;"")"",
IF(REGEXMATCH(S53, ""Blogspot""), 
   ""Blogspot (""&amp;
   IF(REGEXMATCH(S53, ""rede2deoutubro""), ""Rede 02 de Outubro"",
   PROPER(REGEXEXTRACT(S53, ""^([^.]*)\.""))
   )&amp;"")"",
IF(REGEXMATCH(S53, ""Facebook""), 
   """&amp;"Facebook (""&amp;
   IF(REGEXMATCH(S53, ""Mídia Ninja""), ""Mídia Ninja"",
   PROPER(REGEXEXTRACT(S53, ""^([^.]*)\.""))
   )&amp;"")"",
IF(REGEXMATCH(S53, ""Instagram""), 
   ""Instagram (""&amp;
   IF(REGEXMATCH(S53, ""Memórias Carandiru""), ""Memórias Carandiru"","&amp;"
   PROPER(REGEXEXTRACT(S53, ""^([^.]*)\.""))
   )&amp;"")"",
IF(REGEXMATCH(S53, ""Folha de S\. Paulo|FOLHA DE S\. PAULO""), ""Folha de S. Paulo"",
IF(REGEXMATCH(S53, ""O Estado de S\. Paulo|ESTADAO""), ""O Estado de S. Paulo"",
IF(REGEXMATCH(S53, ""salasecr"&amp;"eta""), ""Wordpress (Sala Secreta)"",
IF(REGEXMATCH(S53, ""Wikipedia|Wikipédia|WIKIPÉDIA""), ""Wikipedia"",
IF(REGEXMATCH(S53, ""VEJA|Veja""), ""Veja Abril"",
IF(REGEXMATCH(S324, ""Rede Globo|REDE GLOBO""), ""Rede Globo"",
IF(REGEXMATCH(S324, ""G1|globo\."&amp;"com""), ""G1"",
IF(REGEXMATCH(S53, ""Deutsche Welle|DW\.com""), ""Deutsche Welle"",
IF(REGEXMATCH(S53, ""CIDH|Comissão Interamericana""), ""Comissão Interamericana de Direitos Humanos (CIDH)"",
IF(REGEXMATCH(S53, ""Pastoral Carcerária""), ""Pastoral Carce"&amp;"rária"",
IF(REGEXMATCH(S53, ""Esquerda Web""), ""Esquerda Web"",
IF(REGEXMATCH(S53, ""ONU|Organização das Nações Unidas""), ""ONU Brasil"",
IF(REGEXMATCH(S53, ""Quilombo Invisível""), ""Quilombo Invisível"",
IF(REGEXMATCH(S53, ""ALESP|Assembleia Legislati"&amp;"va""), ""ALESP"",
IF(REGEXMATCH(S53, ""Revista Opera""), ""Revista Opera"",
IF(REGEXMATCH(S53, ""SP Escola de Teatro""), ""SP Escola de Teatro"",
IF(REGEXMATCH(S53, ""EMC|Espaço Memória Carandiru""), ""EMC Espaço Memória Carandiru"",
IF(REGEXMATCH(S53, "&amp;"""^RAMOS, Nuno|Nuno Ramos""), ""Nuno Ramos"",
IF(REGEXMATCH(S53, ""^VELOSO, Caetano|Caetano Veloso""), ""YouTube (Caetano Veloso)"",
IF(REGEXMATCH(S53, ""^FATOS REAIS""), ""YouTube (Fatos Reais - Topic)"",
IF(REGEXMATCH(S53, ""^SALA SECRETA""), ""Wordpres"&amp;"s (Sala Secreta)"",
PROPER(REGEXEXTRACT(S53, ""^([^.]*)\.""))
))))))))))))))))))))))))))))))))))))))))))))))))))))))))"),"YouTube (Facção Central)")</f>
        <v>YouTube (Facção Central)</v>
      </c>
      <c r="N53" s="11" t="s">
        <v>47</v>
      </c>
      <c r="O53" s="11" t="s">
        <v>149</v>
      </c>
      <c r="P53" s="51">
        <v>45856.0</v>
      </c>
      <c r="Q53" s="11" t="s">
        <v>154</v>
      </c>
      <c r="R53" s="70" t="str">
        <f t="shared" si="8"/>
        <v>Aqui</v>
      </c>
      <c r="S53" s="75" t="s">
        <v>580</v>
      </c>
    </row>
    <row r="54">
      <c r="A54" s="11">
        <v>52.0</v>
      </c>
      <c r="B54" s="11" t="s">
        <v>496</v>
      </c>
      <c r="C54" s="122" t="s">
        <v>165</v>
      </c>
      <c r="D54" s="13" t="str">
        <f>IFERROR(__xludf.DUMMYFUNCTION("IF(B54="""","""",IF(OR(
  REGEXMATCH(B54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REGEXMATCH(B54,""público|Imediato|artística|teatral|memória"")
),""Público Imediato"",
IF(REGEXMATCH(B54,""Música|Álbum|Filme|Documentário|Série|Podcast|"&amp;"Rádio|Audiotour|Entrevista|Reportagem|Crônica|Relatório|Abaixo-assinado|Manifesto|Petição|Poema|Livro|Fotografia|Curta|Live|Webinário|Charge|Leitura pública|Vídeo""),
""Público Mediado"","""")))
"),"Público Imediato")</f>
        <v>Público Imediato</v>
      </c>
      <c r="E54" s="13" t="str">
        <f>IFERROR(__xludf.DUMMYFUNCTION("IF(B54="""","""",IF(OR(
  REGEXMATCH(B54,""Live|Webinário|Virtual""),
  REGEXMATCH(B54,""online"")
),""Virtual"",
IF(REGEXMATCH(B54,""Música|Álbum|Filme|Documentário|Série|Podcast|Rádio|Audiotour|Episódio|Reportagem|Curta|Charge|Livro|Vídeo|Entrevista""),"&amp;"
""Midiático"",
IF(REGEXMATCH(B54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54" s="199">
        <v>38768.0</v>
      </c>
      <c r="G54" s="15">
        <f t="shared" si="1"/>
        <v>2006</v>
      </c>
      <c r="H54" s="198" t="s">
        <v>581</v>
      </c>
      <c r="I54" s="16" t="s">
        <v>582</v>
      </c>
      <c r="J54" s="17" t="s">
        <v>583</v>
      </c>
      <c r="K54" s="16" t="s">
        <v>233</v>
      </c>
      <c r="L54" s="18" t="s">
        <v>325</v>
      </c>
      <c r="M54" s="15" t="str">
        <f>IFERROR(__xludf.DUMMYFUNCTION("IF(REGEXMATCH(S54, ""Companhia das Letras""), ""Companhia das Letras"",
IF(REGEXMATCH(S54, ""Labortexto Editorial""), ""Labortexto Editorial"",
IF(REGEXMATCH(S54, ""Geração Editorial""), ""Geração Editorial"",
IF(REGEXMATCH(S54, ""Editora Imprensa Oficial"&amp;"|Imprensa Oficial""), ""Editora Imprensa Oficial"",
IF(REGEXMATCH(S54, ""Folha Online""), ""Folha Online"",
IF(REGEXMATCH(S54, ""FGV DIREITO SP|FGV Direito SP""), ""FGV DIREITO SP"",
IF(REGEXMATCH(S54, ""massacrecarandiru\.org\.br""), ""Memória Massacre C"&amp;"arandiru"",
IF(REGEXMATCH(S54, ""Itaú Cultural""), ""YouTube (Itaú Cultural)"",
IF(REGEXMATCH(S54, ""Passa Palavra""), ""Vimeo (Passa Palavra)"",
IF(REGEXMATCH(S54, ""rede2deoutubro\.blogspot""), ""Blogspot (Rede 02 de Outubro)"",
IF(REGEXMATCH(S54, ""Red"&amp;"e TVT""), ""YouTube (Rede TVT)"",
IF(REGEXMATCH(S54, ""Esquerda Diário""), ""Esquerda Diário"",
IF(REGEXMATCH(S54, ""GZH""), ""GZH"",
IF(REGEXMATCH(S54, ""TVPUC""), ""TVPUC"",
IF(REGEXMATCH(S54, ""Mídia Ninja.*Facebook""), ""Facebook (Mídia Ninja)"",
IF(R"&amp;"EGEXMATCH(S54, ""Memórias Carandiru.*Instagram""), ""Instagram (Memórias Carandiru)"",
IF(REGEXMATCH(S54, ""Frente pelo Desencarceramento SP""), ""YouTube (Frente Pelo Desencarceramento SP)"",
IF(REGEXMATCH(S54, ""TV ABA""), ""YouTube (TV ABA)"",
IF(REGEX"&amp;"MATCH(S54, ""TV SENADO""), ""YouTube (TV Senado)"",
IF(REGEXMATCH(S54, ""Google Arts &amp; Culture""), ""Google Arts &amp; Culture (Memória Massacre Carandiru)"",
IF(REGEXMATCH(S54, ""Anistia Internacional|ANISTIA INTERNACIONAL""), ""Anistia Internacional"",
IF(R"&amp;"EGEXMATCH(S54, ""47\.mostra|47a Mostra""), ""47a Mostra Internacional de Cinema em São Paulo"",
IF(REGEXMATCH(S54, ""Canal USP""), ""YouTube (Canal USP)"",
IF(AND(
  REGEXMATCH(S54, ""(?i)(teses?\.usp\.br|dissertacoes?\.usp\.br|repositorio\.usp\.br)""),
 "&amp;" NOT(REGEXMATCH(S54, ""Canal USP""))
), ""Biblioteca Digital de Teses e Dissertações da USP"",
IF(REGEXMATCH(S54, ""SINTRAJUSC""), ""SINTRAJUSC"",
IF(REGEXMATCH(S54, ""Agência Brasil|Agencia Brasil""), ""Agência Brasil"",
IF(REGEXMATCH(S54, ""Brasil de Fa"&amp;"to""), ""Brasil de Fato"",
IF(REGEXMATCH(S54, ""Ponte Jornalismo|pontejornalismo""), ""Ponte Jornalismo"",
IF(REGEXMATCH(S54, ""letras\.mus\.br|Letras,""), ""Letras"",
IF(REGEXMATCH(S54, ""YouTube|youtube""), 
   ""YouTube (""&amp;
   IF(REGEXMATCH(S54, ""It"&amp;"aú Cultural""), ""Itaú Cultural"",
   IF(REGEXMATCH(S54, ""Rede TVT""), ""Rede TVT"",
   IF(REGEXMATCH(S54, ""Frente pelo Desencarceramento SP""), ""Frente Pelo Desencarceramento SP"",
   IF(REGEXMATCH(S54, ""TV ABA""), ""TV ABA"",
   IF(REGEXMATCH(S54, "&amp;"""TV SENADO""), ""TV Senado"",
   IF(REGEXMATCH(S54, ""Canal USP""), ""Canal USP"",
   IF(REGEXMATCH(S54, ""Douer, Zack|Zack Douer""), ""Douer Zack"",
   IF(REGEXMATCH(S54, ""PRISIONEIRO 84\.901|PRISIONEIRO 84""), ""Prisioneiro 84.901"",
   IF(REGEXMATCH("&amp;"S54, ""^[^,]*, ""), 
        PROPER(REGEXREPLACE(REGEXEXTRACT(S54, ""^([^.]*)\.""), ""^([^,]*), (.*)"", ""$2 $1"")),
        PROPER(REGEXEXTRACT(S54, ""^([^.]*)\.""))
   )))))))))&amp;"")"",
IF(REGEXMATCH(S54, ""Spotify|spotify""), 
   ""Spotify (""&amp;
   IF(R"&amp;"EGEXMATCH(S54, ""ESTRANHO SORRISO""), ""Estranho Sorriso"",
   PROPER(REGEXEXTRACT(S54, ""^([^.]*)\.""))
   )&amp;"")"",
IF(REGEXMATCH(S54, ""Vimeo|vimeo""), 
   ""Vimeo (""&amp;
   IF(REGEXMATCH(S54, ""Passa Palavra""), ""Passa Palavra"",
   PROPER(REGEXEXTRACT"&amp;"(S54, ""^([^.]*)\.""))
   )&amp;"")"",
IF(REGEXMATCH(S54, ""Blogspot""), 
   ""Blogspot (""&amp;
   IF(REGEXMATCH(S54, ""rede2deoutubro""), ""Rede 02 de Outubro"",
   PROPER(REGEXEXTRACT(S54, ""^([^.]*)\.""))
   )&amp;"")"",
IF(REGEXMATCH(S54, ""Facebook""), 
   """&amp;"Facebook (""&amp;
   IF(REGEXMATCH(S54, ""Mídia Ninja""), ""Mídia Ninja"",
   PROPER(REGEXEXTRACT(S54, ""^([^.]*)\.""))
   )&amp;"")"",
IF(REGEXMATCH(S54, ""Instagram""), 
   ""Instagram (""&amp;
   IF(REGEXMATCH(S54, ""Memórias Carandiru""), ""Memórias Carandiru"","&amp;"
   PROPER(REGEXEXTRACT(S54, ""^([^.]*)\.""))
   )&amp;"")"",
IF(REGEXMATCH(S54, ""Folha de S\. Paulo|FOLHA DE S\. PAULO""), ""Folha de S. Paulo"",
IF(REGEXMATCH(S54, ""O Estado de S\. Paulo|ESTADAO""), ""O Estado de S. Paulo"",
IF(REGEXMATCH(S54, ""salasecr"&amp;"eta""), ""Wordpress (Sala Secreta)"",
IF(REGEXMATCH(S54, ""Wikipedia|Wikipédia|WIKIPÉDIA""), ""Wikipedia"",
IF(REGEXMATCH(S54, ""VEJA|Veja""), ""Veja Abril"",
IF(REGEXMATCH(S325, ""Rede Globo|REDE GLOBO""), ""Rede Globo"",
IF(REGEXMATCH(S325, ""G1|globo\."&amp;"com""), ""G1"",
IF(REGEXMATCH(S54, ""Deutsche Welle|DW\.com""), ""Deutsche Welle"",
IF(REGEXMATCH(S54, ""CIDH|Comissão Interamericana""), ""Comissão Interamericana de Direitos Humanos (CIDH)"",
IF(REGEXMATCH(S54, ""Pastoral Carcerária""), ""Pastoral Carce"&amp;"rária"",
IF(REGEXMATCH(S54, ""Esquerda Web""), ""Esquerda Web"",
IF(REGEXMATCH(S54, ""ONU|Organização das Nações Unidas""), ""ONU Brasil"",
IF(REGEXMATCH(S54, ""Quilombo Invisível""), ""Quilombo Invisível"",
IF(REGEXMATCH(S54, ""ALESP|Assembleia Legislati"&amp;"va""), ""ALESP"",
IF(REGEXMATCH(S54, ""Revista Opera""), ""Revista Opera"",
IF(REGEXMATCH(S54, ""SP Escola de Teatro""), ""SP Escola de Teatro"",
IF(REGEXMATCH(S54, ""EMC|Espaço Memória Carandiru""), ""EMC Espaço Memória Carandiru"",
IF(REGEXMATCH(S54, "&amp;"""^RAMOS, Nuno|Nuno Ramos""), ""Nuno Ramos"",
IF(REGEXMATCH(S54, ""^VELOSO, Caetano|Caetano Veloso""), ""YouTube (Caetano Veloso)"",
IF(REGEXMATCH(S54, ""^FATOS REAIS""), ""YouTube (Fatos Reais - Topic)"",
IF(REGEXMATCH(S54, ""^SALA SECRETA""), ""Wordpres"&amp;"s (Sala Secreta)"",
PROPER(REGEXEXTRACT(S54, ""^([^.]*)\.""))
))))))))))))))))))))))))))))))))))))))))))))))))))))))))"),"SINTRAJUSC")</f>
        <v>SINTRAJUSC</v>
      </c>
      <c r="N54" s="11" t="s">
        <v>47</v>
      </c>
      <c r="O54" s="11" t="s">
        <v>149</v>
      </c>
      <c r="P54" s="51">
        <v>45855.0</v>
      </c>
      <c r="Q54" s="11" t="s">
        <v>154</v>
      </c>
      <c r="R54" s="70" t="str">
        <f t="shared" si="8"/>
        <v>Aqui</v>
      </c>
      <c r="S54" s="75" t="s">
        <v>584</v>
      </c>
    </row>
    <row r="55">
      <c r="A55" s="11">
        <v>53.0</v>
      </c>
      <c r="B55" s="11" t="s">
        <v>150</v>
      </c>
      <c r="C55" s="12" t="str">
        <f>IFERROR(__xludf.DUMMYFUNCTION("IF(B55="""","""",IF(OR(
  REGEXMATCH(B55,""Performance|Instalação|Álbum|Música|Poema|Livro|Filme|Documentário|Recitação|Espetáculo|Peça|Intervenção|Desfile|Fotografia|Exposição|Charge|Grafite|Leitura pública|Fabricação de cachaça artesanal""),
  REGEXMATC"&amp;"H(B55,""dança|teatral|artístico|musical|artística"")
),""Manifestação artístico-cultural"",
IF(OR(
  REGEXMATCH(B55,""Crônica|Série|Reportagem|Podcast|Audiotour|Entrevista|Vídeo|Rádio""),
  REGEXMATCH(B55,""midiática"")
),""Produção midiática"","""")))
"),"Manifestação artístico-cultural")</f>
        <v>Manifestação artístico-cultural</v>
      </c>
      <c r="D55" s="13" t="str">
        <f>IFERROR(__xludf.DUMMYFUNCTION("IF(B55="""","""",IF(OR(
  REGEXMATCH(B55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REGEXMATCH(B55,""público|Imediato|artística|teatral|memória"")
),""Público Imediato"",
IF(REGEXMATCH(B55,""Música|Álbum|Filme|Documentário|Série|Podcast|"&amp;"Rádio|Audiotour|Entrevista|Reportagem|Crônica|Relatório|Abaixo-assinado|Manifesto|Petição|Poema|Livro|Fotografia|Curta|Live|Webinário|Charge|Leitura pública|Vídeo""),
""Público Mediado"","""")))
"),"Público Mediado")</f>
        <v>Público Mediado</v>
      </c>
      <c r="E55" s="13" t="str">
        <f>IFERROR(__xludf.DUMMYFUNCTION("IF(B55="""","""",IF(OR(
  REGEXMATCH(B55,""Live|Webinário|Virtual""),
  REGEXMATCH(B55,""online"")
),""Virtual"",
IF(REGEXMATCH(B55,""Música|Álbum|Filme|Documentário|Série|Podcast|Rádio|Audiotour|Episódio|Reportagem|Curta|Charge|Livro|Vídeo|Entrevista""),"&amp;"
""Midiático"",
IF(REGEXMATCH(B55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55" s="11">
        <v>2006.0</v>
      </c>
      <c r="G55" s="15">
        <f t="shared" si="1"/>
        <v>2006</v>
      </c>
      <c r="H55" s="11" t="s">
        <v>23</v>
      </c>
      <c r="I55" s="16" t="s">
        <v>585</v>
      </c>
      <c r="J55" s="17" t="s">
        <v>586</v>
      </c>
      <c r="K55" s="16" t="s">
        <v>91</v>
      </c>
      <c r="L55" s="18" t="s">
        <v>94</v>
      </c>
      <c r="M55" s="15" t="str">
        <f>IFERROR(__xludf.DUMMYFUNCTION("IF(REGEXMATCH(S55, ""Companhia das Letras""), ""Companhia das Letras"",
IF(REGEXMATCH(S55, ""Labortexto Editorial""), ""Labortexto Editorial"",
IF(REGEXMATCH(S55, ""Geração Editorial""), ""Geração Editorial"",
IF(REGEXMATCH(S55, ""Editora Imprensa Oficial"&amp;"|Imprensa Oficial""), ""Editora Imprensa Oficial"",
IF(REGEXMATCH(S55, ""Folha Online""), ""Folha Online"",
IF(REGEXMATCH(S55, ""FGV DIREITO SP|FGV Direito SP""), ""FGV DIREITO SP"",
IF(REGEXMATCH(S55, ""massacrecarandiru\.org\.br""), ""Memória Massacre C"&amp;"arandiru"",
IF(REGEXMATCH(S55, ""Itaú Cultural""), ""YouTube (Itaú Cultural)"",
IF(REGEXMATCH(S55, ""Passa Palavra""), ""Vimeo (Passa Palavra)"",
IF(REGEXMATCH(S55, ""rede2deoutubro\.blogspot""), ""Blogspot (Rede 02 de Outubro)"",
IF(REGEXMATCH(S55, ""Red"&amp;"e TVT""), ""YouTube (Rede TVT)"",
IF(REGEXMATCH(S55, ""Esquerda Diário""), ""Esquerda Diário"",
IF(REGEXMATCH(S55, ""GZH""), ""GZH"",
IF(REGEXMATCH(S55, ""TVPUC""), ""TVPUC"",
IF(REGEXMATCH(S55, ""Mídia Ninja.*Facebook""), ""Facebook (Mídia Ninja)"",
IF(R"&amp;"EGEXMATCH(S55, ""Memórias Carandiru.*Instagram""), ""Instagram (Memórias Carandiru)"",
IF(REGEXMATCH(S55, ""Frente pelo Desencarceramento SP""), ""YouTube (Frente Pelo Desencarceramento SP)"",
IF(REGEXMATCH(S55, ""TV ABA""), ""YouTube (TV ABA)"",
IF(REGEX"&amp;"MATCH(S55, ""TV SENADO""), ""YouTube (TV Senado)"",
IF(REGEXMATCH(S55, ""Google Arts &amp; Culture""), ""Google Arts &amp; Culture (Memória Massacre Carandiru)"",
IF(REGEXMATCH(S55, ""Anistia Internacional|ANISTIA INTERNACIONAL""), ""Anistia Internacional"",
IF(R"&amp;"EGEXMATCH(S55, ""47\.mostra|47a Mostra""), ""47a Mostra Internacional de Cinema em São Paulo"",
IF(REGEXMATCH(S55, ""Canal USP""), ""YouTube (Canal USP)"",
IF(AND(
  REGEXMATCH(S55, ""(?i)(teses?\.usp\.br|dissertacoes?\.usp\.br|repositorio\.usp\.br)""),
 "&amp;" NOT(REGEXMATCH(S55, ""Canal USP""))
), ""Biblioteca Digital de Teses e Dissertações da USP"",
IF(REGEXMATCH(S55, ""SINTRAJUSC""), ""SINTRAJUSC"",
IF(REGEXMATCH(S55, ""Agência Brasil|Agencia Brasil""), ""Agência Brasil"",
IF(REGEXMATCH(S55, ""Brasil de Fa"&amp;"to""), ""Brasil de Fato"",
IF(REGEXMATCH(S55, ""Ponte Jornalismo|pontejornalismo""), ""Ponte Jornalismo"",
IF(REGEXMATCH(S55, ""letras\.mus\.br|Letras,""), ""Letras"",
IF(REGEXMATCH(S55, ""YouTube|youtube""), 
   ""YouTube (""&amp;
   IF(REGEXMATCH(S55, ""It"&amp;"aú Cultural""), ""Itaú Cultural"",
   IF(REGEXMATCH(S55, ""Rede TVT""), ""Rede TVT"",
   IF(REGEXMATCH(S55, ""Frente pelo Desencarceramento SP""), ""Frente Pelo Desencarceramento SP"",
   IF(REGEXMATCH(S55, ""TV ABA""), ""TV ABA"",
   IF(REGEXMATCH(S55, "&amp;"""TV SENADO""), ""TV Senado"",
   IF(REGEXMATCH(S55, ""Canal USP""), ""Canal USP"",
   IF(REGEXMATCH(S55, ""Douer, Zack|Zack Douer""), ""Douer Zack"",
   IF(REGEXMATCH(S55, ""PRISIONEIRO 84\.901|PRISIONEIRO 84""), ""Prisioneiro 84.901"",
   IF(REGEXMATCH("&amp;"S55, ""^[^,]*, ""), 
        PROPER(REGEXREPLACE(REGEXEXTRACT(S55, ""^([^.]*)\.""), ""^([^,]*), (.*)"", ""$2 $1"")),
        PROPER(REGEXEXTRACT(S55, ""^([^.]*)\.""))
   )))))))))&amp;"")"",
IF(REGEXMATCH(S55, ""Spotify|spotify""), 
   ""Spotify (""&amp;
   IF(R"&amp;"EGEXMATCH(S55, ""ESTRANHO SORRISO""), ""Estranho Sorriso"",
   PROPER(REGEXEXTRACT(S55, ""^([^.]*)\.""))
   )&amp;"")"",
IF(REGEXMATCH(S55, ""Vimeo|vimeo""), 
   ""Vimeo (""&amp;
   IF(REGEXMATCH(S55, ""Passa Palavra""), ""Passa Palavra"",
   PROPER(REGEXEXTRACT"&amp;"(S55, ""^([^.]*)\.""))
   )&amp;"")"",
IF(REGEXMATCH(S55, ""Blogspot""), 
   ""Blogspot (""&amp;
   IF(REGEXMATCH(S55, ""rede2deoutubro""), ""Rede 02 de Outubro"",
   PROPER(REGEXEXTRACT(S55, ""^([^.]*)\.""))
   )&amp;"")"",
IF(REGEXMATCH(S55, ""Facebook""), 
   """&amp;"Facebook (""&amp;
   IF(REGEXMATCH(S55, ""Mídia Ninja""), ""Mídia Ninja"",
   PROPER(REGEXEXTRACT(S55, ""^([^.]*)\.""))
   )&amp;"")"",
IF(REGEXMATCH(S55, ""Instagram""), 
   ""Instagram (""&amp;
   IF(REGEXMATCH(S55, ""Memórias Carandiru""), ""Memórias Carandiru"","&amp;"
   PROPER(REGEXEXTRACT(S55, ""^([^.]*)\.""))
   )&amp;"")"",
IF(REGEXMATCH(S55, ""Folha de S\. Paulo|FOLHA DE S\. PAULO""), ""Folha de S. Paulo"",
IF(REGEXMATCH(S55, ""O Estado de S\. Paulo|ESTADAO""), ""O Estado de S. Paulo"",
IF(REGEXMATCH(S55, ""salasecr"&amp;"eta""), ""Wordpress (Sala Secreta)"",
IF(REGEXMATCH(S55, ""Wikipedia|Wikipédia|WIKIPÉDIA""), ""Wikipedia"",
IF(REGEXMATCH(S55, ""VEJA|Veja""), ""Veja Abril"",
IF(REGEXMATCH(S326, ""Rede Globo|REDE GLOBO""), ""Rede Globo"",
IF(REGEXMATCH(S326, ""G1|globo\."&amp;"com""), ""G1"",
IF(REGEXMATCH(S55, ""Deutsche Welle|DW\.com""), ""Deutsche Welle"",
IF(REGEXMATCH(S55, ""CIDH|Comissão Interamericana""), ""Comissão Interamericana de Direitos Humanos (CIDH)"",
IF(REGEXMATCH(S55, ""Pastoral Carcerária""), ""Pastoral Carce"&amp;"rária"",
IF(REGEXMATCH(S55, ""Esquerda Web""), ""Esquerda Web"",
IF(REGEXMATCH(S55, ""ONU|Organização das Nações Unidas""), ""ONU Brasil"",
IF(REGEXMATCH(S55, ""Quilombo Invisível""), ""Quilombo Invisível"",
IF(REGEXMATCH(S55, ""ALESP|Assembleia Legislati"&amp;"va""), ""ALESP"",
IF(REGEXMATCH(S55, ""Revista Opera""), ""Revista Opera"",
IF(REGEXMATCH(S55, ""SP Escola de Teatro""), ""SP Escola de Teatro"",
IF(REGEXMATCH(S55, ""EMC|Espaço Memória Carandiru""), ""EMC Espaço Memória Carandiru"",
IF(REGEXMATCH(S55, "&amp;"""^RAMOS, Nuno|Nuno Ramos""), ""Nuno Ramos"",
IF(REGEXMATCH(S55, ""^VELOSO, Caetano|Caetano Veloso""), ""YouTube (Caetano Veloso)"",
IF(REGEXMATCH(S55, ""^FATOS REAIS""), ""YouTube (Fatos Reais - Topic)"",
IF(REGEXMATCH(S55, ""^SALA SECRETA""), ""Wordpres"&amp;"s (Sala Secreta)"",
PROPER(REGEXEXTRACT(S55, ""^([^.]*)\.""))
))))))))))))))))))))))))))))))))))))))))))))))))))))))))"),"Biblioteca Digital de Teses e Dissertações da USP")</f>
        <v>Biblioteca Digital de Teses e Dissertações da USP</v>
      </c>
      <c r="N55" s="11" t="s">
        <v>47</v>
      </c>
      <c r="O55" s="14" t="s">
        <v>477</v>
      </c>
      <c r="P55" s="171">
        <v>45945.0</v>
      </c>
      <c r="Q55" s="11" t="s">
        <v>154</v>
      </c>
      <c r="R55" s="70" t="str">
        <f t="shared" si="8"/>
        <v>Aqui</v>
      </c>
      <c r="S55" s="172" t="s">
        <v>479</v>
      </c>
    </row>
    <row r="56">
      <c r="A56" s="11">
        <v>54.0</v>
      </c>
      <c r="B56" s="11" t="s">
        <v>203</v>
      </c>
      <c r="C56" s="12" t="str">
        <f>IFERROR(__xludf.DUMMYFUNCTION("IF(B56="""","""",IF(OR(
  REGEXMATCH(B56,""Performance|Instalação|Álbum|Música|Poema|Livro|Filme|Documentário|Recitação|Espetáculo|Peça|Intervenção|Desfile|Fotografia|Exposição|Charge|Grafite|Leitura pública|Fabricação de cachaça artesanal""),
  REGEXMATC"&amp;"H(B56,""dança|teatral|artístico|musical|artística"")
),""Manifestação artístico-cultural"",
IF(OR(
  REGEXMATCH(B56,""Crônica|Série|Reportagem|Podcast|Audiotour|Entrevista|Vídeo|Rádio""),
  REGEXMATCH(B56,""midiática"")
),""Produção midiática"","""")))
"),"Manifestação artístico-cultural")</f>
        <v>Manifestação artístico-cultural</v>
      </c>
      <c r="D56" s="13" t="str">
        <f>IFERROR(__xludf.DUMMYFUNCTION("IF(B56="""","""",IF(OR(
  REGEXMATCH(B56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REGEXMATCH(B56,""público|Imediato|artística|teatral|memória"")
),""Público Imediato"",
IF(REGEXMATCH(B56,""Música|Álbum|Filme|Documentário|Série|Podcast|"&amp;"Rádio|Audiotour|Entrevista|Reportagem|Crônica|Relatório|Abaixo-assinado|Manifesto|Petição|Poema|Livro|Fotografia|Curta|Live|Webinário|Charge|Leitura pública|Vídeo""),
""Público Mediado"","""")))
"),"Público Mediado")</f>
        <v>Público Mediado</v>
      </c>
      <c r="E56" s="13" t="str">
        <f>IFERROR(__xludf.DUMMYFUNCTION("IF(B56="""","""",IF(OR(
  REGEXMATCH(B56,""Live|Webinário|Virtual""),
  REGEXMATCH(B56,""online"")
),""Virtual"",
IF(REGEXMATCH(B56,""Música|Álbum|Filme|Documentário|Série|Podcast|Rádio|Audiotour|Episódio|Reportagem|Curta|Charge|Livro|Vídeo|Entrevista""),"&amp;"
""Midiático"",
IF(REGEXMATCH(B56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6" s="11">
        <v>2006.0</v>
      </c>
      <c r="G56" s="15">
        <f t="shared" si="1"/>
        <v>2006</v>
      </c>
      <c r="H56" s="11" t="s">
        <v>23</v>
      </c>
      <c r="I56" s="16" t="s">
        <v>585</v>
      </c>
      <c r="J56" s="17" t="s">
        <v>586</v>
      </c>
      <c r="K56" s="16" t="s">
        <v>91</v>
      </c>
      <c r="L56" s="18" t="s">
        <v>475</v>
      </c>
      <c r="M56" s="15" t="str">
        <f>IFERROR(__xludf.DUMMYFUNCTION("IF(REGEXMATCH(S56, ""Companhia das Letras""), ""Companhia das Letras"",
IF(REGEXMATCH(S56, ""Labortexto Editorial""), ""Labortexto Editorial"",
IF(REGEXMATCH(S56, ""Geração Editorial""), ""Geração Editorial"",
IF(REGEXMATCH(S56, ""Editora Imprensa Oficial"&amp;"|Imprensa Oficial""), ""Editora Imprensa Oficial"",
IF(REGEXMATCH(S56, ""Folha Online""), ""Folha Online"",
IF(REGEXMATCH(S56, ""FGV DIREITO SP|FGV Direito SP""), ""FGV DIREITO SP"",
IF(REGEXMATCH(S56, ""massacrecarandiru\.org\.br""), ""Memória Massacre C"&amp;"arandiru"",
IF(REGEXMATCH(S56, ""Itaú Cultural""), ""YouTube (Itaú Cultural)"",
IF(REGEXMATCH(S56, ""Passa Palavra""), ""Vimeo (Passa Palavra)"",
IF(REGEXMATCH(S56, ""rede2deoutubro\.blogspot""), ""Blogspot (Rede 02 de Outubro)"",
IF(REGEXMATCH(S56, ""Red"&amp;"e TVT""), ""YouTube (Rede TVT)"",
IF(REGEXMATCH(S56, ""Esquerda Diário""), ""Esquerda Diário"",
IF(REGEXMATCH(S56, ""GZH""), ""GZH"",
IF(REGEXMATCH(S56, ""TVPUC""), ""TVPUC"",
IF(REGEXMATCH(S56, ""Mídia Ninja.*Facebook""), ""Facebook (Mídia Ninja)"",
IF(R"&amp;"EGEXMATCH(S56, ""Memórias Carandiru.*Instagram""), ""Instagram (Memórias Carandiru)"",
IF(REGEXMATCH(S56, ""Frente pelo Desencarceramento SP""), ""YouTube (Frente Pelo Desencarceramento SP)"",
IF(REGEXMATCH(S56, ""TV ABA""), ""YouTube (TV ABA)"",
IF(REGEX"&amp;"MATCH(S56, ""TV SENADO""), ""YouTube (TV Senado)"",
IF(REGEXMATCH(S56, ""Google Arts &amp; Culture""), ""Google Arts &amp; Culture (Memória Massacre Carandiru)"",
IF(REGEXMATCH(S56, ""Anistia Internacional|ANISTIA INTERNACIONAL""), ""Anistia Internacional"",
IF(R"&amp;"EGEXMATCH(S56, ""47\.mostra|47a Mostra""), ""47a Mostra Internacional de Cinema em São Paulo"",
IF(REGEXMATCH(S56, ""Canal USP""), ""YouTube (Canal USP)"",
IF(AND(
  REGEXMATCH(S56, ""(?i)(teses?\.usp\.br|dissertacoes?\.usp\.br|repositorio\.usp\.br)""),
 "&amp;" NOT(REGEXMATCH(S56, ""Canal USP""))
), ""Biblioteca Digital de Teses e Dissertações da USP"",
IF(REGEXMATCH(S56, ""SINTRAJUSC""), ""SINTRAJUSC"",
IF(REGEXMATCH(S56, ""Agência Brasil|Agencia Brasil""), ""Agência Brasil"",
IF(REGEXMATCH(S56, ""Brasil de Fa"&amp;"to""), ""Brasil de Fato"",
IF(REGEXMATCH(S56, ""Ponte Jornalismo|pontejornalismo""), ""Ponte Jornalismo"",
IF(REGEXMATCH(S56, ""letras\.mus\.br|Letras,""), ""Letras"",
IF(REGEXMATCH(S56, ""YouTube|youtube""), 
   ""YouTube (""&amp;
   IF(REGEXMATCH(S56, ""It"&amp;"aú Cultural""), ""Itaú Cultural"",
   IF(REGEXMATCH(S56, ""Rede TVT""), ""Rede TVT"",
   IF(REGEXMATCH(S56, ""Frente pelo Desencarceramento SP""), ""Frente Pelo Desencarceramento SP"",
   IF(REGEXMATCH(S56, ""TV ABA""), ""TV ABA"",
   IF(REGEXMATCH(S56, "&amp;"""TV SENADO""), ""TV Senado"",
   IF(REGEXMATCH(S56, ""Canal USP""), ""Canal USP"",
   IF(REGEXMATCH(S56, ""Douer, Zack|Zack Douer""), ""Douer Zack"",
   IF(REGEXMATCH(S56, ""PRISIONEIRO 84\.901|PRISIONEIRO 84""), ""Prisioneiro 84.901"",
   IF(REGEXMATCH("&amp;"S56, ""^[^,]*, ""), 
        PROPER(REGEXREPLACE(REGEXEXTRACT(S56, ""^([^.]*)\.""), ""^([^,]*), (.*)"", ""$2 $1"")),
        PROPER(REGEXEXTRACT(S56, ""^([^.]*)\.""))
   )))))))))&amp;"")"",
IF(REGEXMATCH(S56, ""Spotify|spotify""), 
   ""Spotify (""&amp;
   IF(R"&amp;"EGEXMATCH(S56, ""ESTRANHO SORRISO""), ""Estranho Sorriso"",
   PROPER(REGEXEXTRACT(S56, ""^([^.]*)\.""))
   )&amp;"")"",
IF(REGEXMATCH(S56, ""Vimeo|vimeo""), 
   ""Vimeo (""&amp;
   IF(REGEXMATCH(S56, ""Passa Palavra""), ""Passa Palavra"",
   PROPER(REGEXEXTRACT"&amp;"(S56, ""^([^.]*)\.""))
   )&amp;"")"",
IF(REGEXMATCH(S56, ""Blogspot""), 
   ""Blogspot (""&amp;
   IF(REGEXMATCH(S56, ""rede2deoutubro""), ""Rede 02 de Outubro"",
   PROPER(REGEXEXTRACT(S56, ""^([^.]*)\.""))
   )&amp;"")"",
IF(REGEXMATCH(S56, ""Facebook""), 
   """&amp;"Facebook (""&amp;
   IF(REGEXMATCH(S56, ""Mídia Ninja""), ""Mídia Ninja"",
   PROPER(REGEXEXTRACT(S56, ""^([^.]*)\.""))
   )&amp;"")"",
IF(REGEXMATCH(S56, ""Instagram""), 
   ""Instagram (""&amp;
   IF(REGEXMATCH(S56, ""Memórias Carandiru""), ""Memórias Carandiru"","&amp;"
   PROPER(REGEXEXTRACT(S56, ""^([^.]*)\.""))
   )&amp;"")"",
IF(REGEXMATCH(S56, ""Folha de S\. Paulo|FOLHA DE S\. PAULO""), ""Folha de S. Paulo"",
IF(REGEXMATCH(S56, ""O Estado de S\. Paulo|ESTADAO""), ""O Estado de S. Paulo"",
IF(REGEXMATCH(S56, ""salasecr"&amp;"eta""), ""Wordpress (Sala Secreta)"",
IF(REGEXMATCH(S56, ""Wikipedia|Wikipédia|WIKIPÉDIA""), ""Wikipedia"",
IF(REGEXMATCH(S56, ""VEJA|Veja""), ""Veja Abril"",
IF(REGEXMATCH(S327, ""Rede Globo|REDE GLOBO""), ""Rede Globo"",
IF(REGEXMATCH(S327, ""G1|globo\."&amp;"com""), ""G1"",
IF(REGEXMATCH(S56, ""Deutsche Welle|DW\.com""), ""Deutsche Welle"",
IF(REGEXMATCH(S56, ""CIDH|Comissão Interamericana""), ""Comissão Interamericana de Direitos Humanos (CIDH)"",
IF(REGEXMATCH(S56, ""Pastoral Carcerária""), ""Pastoral Carce"&amp;"rária"",
IF(REGEXMATCH(S56, ""Esquerda Web""), ""Esquerda Web"",
IF(REGEXMATCH(S56, ""ONU|Organização das Nações Unidas""), ""ONU Brasil"",
IF(REGEXMATCH(S56, ""Quilombo Invisível""), ""Quilombo Invisível"",
IF(REGEXMATCH(S56, ""ALESP|Assembleia Legislati"&amp;"va""), ""ALESP"",
IF(REGEXMATCH(S56, ""Revista Opera""), ""Revista Opera"",
IF(REGEXMATCH(S56, ""SP Escola de Teatro""), ""SP Escola de Teatro"",
IF(REGEXMATCH(S56, ""EMC|Espaço Memória Carandiru""), ""EMC Espaço Memória Carandiru"",
IF(REGEXMATCH(S56, "&amp;"""^RAMOS, Nuno|Nuno Ramos""), ""Nuno Ramos"",
IF(REGEXMATCH(S56, ""^VELOSO, Caetano|Caetano Veloso""), ""YouTube (Caetano Veloso)"",
IF(REGEXMATCH(S56, ""^FATOS REAIS""), ""YouTube (Fatos Reais - Topic)"",
IF(REGEXMATCH(S56, ""^SALA SECRETA""), ""Wordpres"&amp;"s (Sala Secreta)"",
PROPER(REGEXEXTRACT(S56, ""^([^.]*)\.""))
))))))))))))))))))))))))))))))))))))))))))))))))))))))))"),"Biblioteca Digital de Teses e Dissertações da USP")</f>
        <v>Biblioteca Digital de Teses e Dissertações da USP</v>
      </c>
      <c r="N56" s="11" t="s">
        <v>47</v>
      </c>
      <c r="O56" s="14" t="s">
        <v>477</v>
      </c>
      <c r="P56" s="171">
        <v>45945.0</v>
      </c>
      <c r="Q56" s="11" t="s">
        <v>154</v>
      </c>
      <c r="R56" s="70" t="str">
        <f t="shared" si="8"/>
        <v>Aqui</v>
      </c>
      <c r="S56" s="172" t="s">
        <v>479</v>
      </c>
    </row>
    <row r="57">
      <c r="A57" s="11">
        <v>55.0</v>
      </c>
      <c r="B57" s="11" t="s">
        <v>211</v>
      </c>
      <c r="C57" s="12" t="str">
        <f>IFERROR(__xludf.DUMMYFUNCTION("IF(B57="""","""",IF(OR(
  REGEXMATCH(B57,""Performance|Instalação|Álbum|Música|Poema|Livro|Filme|Documentário|Recitação|Espetáculo|Peça|Intervenção|Desfile|Fotografia|Exposição|Charge|Grafite|Leitura pública|Fabricação de cachaça artesanal""),
  REGEXMATC"&amp;"H(B57,""dança|teatral|artístico|musical|artística"")
),""Manifestação artístico-cultural"",
IF(OR(
  REGEXMATCH(B57,""Crônica|Série|Reportagem|Podcast|Audiotour|Entrevista|Vídeo|Rádio""),
  REGEXMATCH(B57,""midiática"")
),""Produção midiática"","""")))
"),"Manifestação artístico-cultural")</f>
        <v>Manifestação artístico-cultural</v>
      </c>
      <c r="D57" s="13" t="str">
        <f>IFERROR(__xludf.DUMMYFUNCTION("IF(B57="""","""",IF(OR(
  REGEXMATCH(B57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REGEXMATCH(B57,""público|Imediato|artística|teatral|memória"")
),""Público Imediato"",
IF(REGEXMATCH(B57,""Música|Álbum|Filme|Documentário|Série|Podcast|"&amp;"Rádio|Audiotour|Entrevista|Reportagem|Crônica|Relatório|Abaixo-assinado|Manifesto|Petição|Poema|Livro|Fotografia|Curta|Live|Webinário|Charge|Leitura pública|Vídeo""),
""Público Mediado"","""")))
"),"Público Mediado")</f>
        <v>Público Mediado</v>
      </c>
      <c r="E57" s="13" t="str">
        <f>IFERROR(__xludf.DUMMYFUNCTION("IF(B57="""","""",IF(OR(
  REGEXMATCH(B57,""Live|Webinário|Virtual""),
  REGEXMATCH(B57,""online"")
),""Virtual"",
IF(REGEXMATCH(B57,""Música|Álbum|Filme|Documentário|Série|Podcast|Rádio|Audiotour|Episódio|Reportagem|Curta|Charge|Livro|Vídeo|Entrevista""),"&amp;"
""Midiático"",
IF(REGEXMATCH(B57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7" s="14">
        <v>2007.0</v>
      </c>
      <c r="G57" s="15">
        <f t="shared" si="1"/>
        <v>2007</v>
      </c>
      <c r="H57" s="11" t="s">
        <v>23</v>
      </c>
      <c r="I57" s="16" t="s">
        <v>438</v>
      </c>
      <c r="J57" s="17" t="s">
        <v>587</v>
      </c>
      <c r="K57" s="16" t="s">
        <v>222</v>
      </c>
      <c r="L57" s="18" t="s">
        <v>106</v>
      </c>
      <c r="M57" s="15" t="str">
        <f>IFERROR(__xludf.DUMMYFUNCTION("IF(REGEXMATCH(S57, ""Companhia das Letras""), ""Companhia das Letras"",
IF(REGEXMATCH(S57, ""Labortexto Editorial""), ""Labortexto Editorial"",
IF(REGEXMATCH(S57, ""Geração Editorial""), ""Geração Editorial"",
IF(REGEXMATCH(S57, ""Editora Imprensa Oficial"&amp;"|Imprensa Oficial""), ""Editora Imprensa Oficial"",
IF(REGEXMATCH(S57, ""Folha Online""), ""Folha Online"",
IF(REGEXMATCH(S57, ""FGV DIREITO SP|FGV Direito SP""), ""FGV DIREITO SP"",
IF(REGEXMATCH(S57, ""massacrecarandiru\.org\.br""), ""Memória Massacre C"&amp;"arandiru"",
IF(REGEXMATCH(S57, ""Itaú Cultural""), ""YouTube (Itaú Cultural)"",
IF(REGEXMATCH(S57, ""Passa Palavra""), ""Vimeo (Passa Palavra)"",
IF(REGEXMATCH(S57, ""rede2deoutubro\.blogspot""), ""Blogspot (Rede 02 de Outubro)"",
IF(REGEXMATCH(S57, ""Red"&amp;"e TVT""), ""YouTube (Rede TVT)"",
IF(REGEXMATCH(S57, ""Esquerda Diário""), ""Esquerda Diário"",
IF(REGEXMATCH(S57, ""GZH""), ""GZH"",
IF(REGEXMATCH(S57, ""TVPUC""), ""TVPUC"",
IF(REGEXMATCH(S57, ""Mídia Ninja.*Facebook""), ""Facebook (Mídia Ninja)"",
IF(R"&amp;"EGEXMATCH(S57, ""Memórias Carandiru.*Instagram""), ""Instagram (Memórias Carandiru)"",
IF(REGEXMATCH(S57, ""Frente pelo Desencarceramento SP""), ""YouTube (Frente Pelo Desencarceramento SP)"",
IF(REGEXMATCH(S57, ""TV ABA""), ""YouTube (TV ABA)"",
IF(REGEX"&amp;"MATCH(S57, ""TV SENADO""), ""YouTube (TV Senado)"",
IF(REGEXMATCH(S57, ""Google Arts &amp; Culture""), ""Google Arts &amp; Culture (Memória Massacre Carandiru)"",
IF(REGEXMATCH(S57, ""Anistia Internacional|ANISTIA INTERNACIONAL""), ""Anistia Internacional"",
IF(R"&amp;"EGEXMATCH(S57, ""47\.mostra|47a Mostra""), ""47a Mostra Internacional de Cinema em São Paulo"",
IF(REGEXMATCH(S57, ""Canal USP""), ""YouTube (Canal USP)"",
IF(AND(
  REGEXMATCH(S57, ""(?i)(teses?\.usp\.br|dissertacoes?\.usp\.br|repositorio\.usp\.br)""),
 "&amp;" NOT(REGEXMATCH(S57, ""Canal USP""))
), ""Biblioteca Digital de Teses e Dissertações da USP"",
IF(REGEXMATCH(S57, ""SINTRAJUSC""), ""SINTRAJUSC"",
IF(REGEXMATCH(S57, ""Agência Brasil|Agencia Brasil""), ""Agência Brasil"",
IF(REGEXMATCH(S57, ""Brasil de Fa"&amp;"to""), ""Brasil de Fato"",
IF(REGEXMATCH(S57, ""Ponte Jornalismo|pontejornalismo""), ""Ponte Jornalismo"",
IF(REGEXMATCH(S57, ""letras\.mus\.br|Letras,""), ""Letras"",
IF(REGEXMATCH(S57, ""YouTube|youtube""), 
   ""YouTube (""&amp;
   IF(REGEXMATCH(S57, ""It"&amp;"aú Cultural""), ""Itaú Cultural"",
   IF(REGEXMATCH(S57, ""Rede TVT""), ""Rede TVT"",
   IF(REGEXMATCH(S57, ""Frente pelo Desencarceramento SP""), ""Frente Pelo Desencarceramento SP"",
   IF(REGEXMATCH(S57, ""TV ABA""), ""TV ABA"",
   IF(REGEXMATCH(S57, "&amp;"""TV SENADO""), ""TV Senado"",
   IF(REGEXMATCH(S57, ""Canal USP""), ""Canal USP"",
   IF(REGEXMATCH(S57, ""Douer, Zack|Zack Douer""), ""Douer Zack"",
   IF(REGEXMATCH(S57, ""PRISIONEIRO 84\.901|PRISIONEIRO 84""), ""Prisioneiro 84.901"",
   IF(REGEXMATCH("&amp;"S57, ""^[^,]*, ""), 
        PROPER(REGEXREPLACE(REGEXEXTRACT(S57, ""^([^.]*)\.""), ""^([^,]*), (.*)"", ""$2 $1"")),
        PROPER(REGEXEXTRACT(S57, ""^([^.]*)\.""))
   )))))))))&amp;"")"",
IF(REGEXMATCH(S57, ""Spotify|spotify""), 
   ""Spotify (""&amp;
   IF(R"&amp;"EGEXMATCH(S57, ""ESTRANHO SORRISO""), ""Estranho Sorriso"",
   PROPER(REGEXEXTRACT(S57, ""^([^.]*)\.""))
   )&amp;"")"",
IF(REGEXMATCH(S57, ""Vimeo|vimeo""), 
   ""Vimeo (""&amp;
   IF(REGEXMATCH(S57, ""Passa Palavra""), ""Passa Palavra"",
   PROPER(REGEXEXTRACT"&amp;"(S57, ""^([^.]*)\.""))
   )&amp;"")"",
IF(REGEXMATCH(S57, ""Blogspot""), 
   ""Blogspot (""&amp;
   IF(REGEXMATCH(S57, ""rede2deoutubro""), ""Rede 02 de Outubro"",
   PROPER(REGEXEXTRACT(S57, ""^([^.]*)\.""))
   )&amp;"")"",
IF(REGEXMATCH(S57, ""Facebook""), 
   """&amp;"Facebook (""&amp;
   IF(REGEXMATCH(S57, ""Mídia Ninja""), ""Mídia Ninja"",
   PROPER(REGEXEXTRACT(S57, ""^([^.]*)\.""))
   )&amp;"")"",
IF(REGEXMATCH(S57, ""Instagram""), 
   ""Instagram (""&amp;
   IF(REGEXMATCH(S57, ""Memórias Carandiru""), ""Memórias Carandiru"","&amp;"
   PROPER(REGEXEXTRACT(S57, ""^([^.]*)\.""))
   )&amp;"")"",
IF(REGEXMATCH(S57, ""Folha de S\. Paulo|FOLHA DE S\. PAULO""), ""Folha de S. Paulo"",
IF(REGEXMATCH(S57, ""O Estado de S\. Paulo|ESTADAO""), ""O Estado de S. Paulo"",
IF(REGEXMATCH(S57, ""salasecr"&amp;"eta""), ""Wordpress (Sala Secreta)"",
IF(REGEXMATCH(S57, ""Wikipedia|Wikipédia|WIKIPÉDIA""), ""Wikipedia"",
IF(REGEXMATCH(S57, ""VEJA|Veja""), ""Veja Abril"",
IF(REGEXMATCH(S328, ""Rede Globo|REDE GLOBO""), ""Rede Globo"",
IF(REGEXMATCH(S328, ""G1|globo\."&amp;"com""), ""G1"",
IF(REGEXMATCH(S57, ""Deutsche Welle|DW\.com""), ""Deutsche Welle"",
IF(REGEXMATCH(S57, ""CIDH|Comissão Interamericana""), ""Comissão Interamericana de Direitos Humanos (CIDH)"",
IF(REGEXMATCH(S57, ""Pastoral Carcerária""), ""Pastoral Carce"&amp;"rária"",
IF(REGEXMATCH(S57, ""Esquerda Web""), ""Esquerda Web"",
IF(REGEXMATCH(S57, ""ONU|Organização das Nações Unidas""), ""ONU Brasil"",
IF(REGEXMATCH(S57, ""Quilombo Invisível""), ""Quilombo Invisível"",
IF(REGEXMATCH(S57, ""ALESP|Assembleia Legislati"&amp;"va""), ""ALESP"",
IF(REGEXMATCH(S57, ""Revista Opera""), ""Revista Opera"",
IF(REGEXMATCH(S57, ""SP Escola de Teatro""), ""SP Escola de Teatro"",
IF(REGEXMATCH(S57, ""EMC|Espaço Memória Carandiru""), ""EMC Espaço Memória Carandiru"",
IF(REGEXMATCH(S57, "&amp;"""^RAMOS, Nuno|Nuno Ramos""), ""Nuno Ramos"",
IF(REGEXMATCH(S57, ""^VELOSO, Caetano|Caetano Veloso""), ""YouTube (Caetano Veloso)"",
IF(REGEXMATCH(S57, ""^FATOS REAIS""), ""YouTube (Fatos Reais - Topic)"",
IF(REGEXMATCH(S57, ""^SALA SECRETA""), ""Wordpres"&amp;"s (Sala Secreta)"",
PROPER(REGEXEXTRACT(S57, ""^([^.]*)\.""))
))))))))))))))))))))))))))))))))))))))))))))))))))))))))"),"Spotify (Herois Do G)")</f>
        <v>Spotify (Herois Do G)</v>
      </c>
      <c r="N57" s="11" t="s">
        <v>47</v>
      </c>
      <c r="O57" s="11" t="s">
        <v>149</v>
      </c>
      <c r="P57" s="51">
        <v>45856.0</v>
      </c>
      <c r="Q57" s="11" t="s">
        <v>154</v>
      </c>
      <c r="R57" s="70" t="str">
        <f t="shared" si="8"/>
        <v>Aqui</v>
      </c>
      <c r="S57" s="200" t="s">
        <v>588</v>
      </c>
    </row>
    <row r="58">
      <c r="A58" s="11">
        <v>56.0</v>
      </c>
      <c r="B58" s="11" t="s">
        <v>203</v>
      </c>
      <c r="C58" s="12" t="str">
        <f>IFERROR(__xludf.DUMMYFUNCTION("IF(B58="""","""",IF(OR(
  REGEXMATCH(B58,""Performance|Instalação|Álbum|Música|Poema|Livro|Filme|Documentário|Recitação|Espetáculo|Peça|Intervenção|Desfile|Fotografia|Exposição|Charge|Grafite|Leitura pública|Fabricação de cachaça artesanal""),
  REGEXMATC"&amp;"H(B58,""dança|teatral|artístico|musical|artística"")
),""Manifestação artístico-cultural"",
IF(OR(
  REGEXMATCH(B58,""Crônica|Série|Reportagem|Podcast|Audiotour|Entrevista|Vídeo|Rádio""),
  REGEXMATCH(B58,""midiática"")
),""Produção midiática"","""")))
"),"Manifestação artístico-cultural")</f>
        <v>Manifestação artístico-cultural</v>
      </c>
      <c r="D58" s="13" t="str">
        <f>IFERROR(__xludf.DUMMYFUNCTION("IF(B58="""","""",IF(OR(
  REGEXMATCH(B58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REGEXMATCH(B58,""público|Imediato|artística|teatral|memória"")
),""Público Imediato"",
IF(REGEXMATCH(B58,""Música|Álbum|Filme|Documentário|Série|Podcast|"&amp;"Rádio|Audiotour|Entrevista|Reportagem|Crônica|Relatório|Abaixo-assinado|Manifesto|Petição|Poema|Livro|Fotografia|Curta|Live|Webinário|Charge|Leitura pública|Vídeo""),
""Público Mediado"","""")))
"),"Público Mediado")</f>
        <v>Público Mediado</v>
      </c>
      <c r="E58" s="13" t="str">
        <f>IFERROR(__xludf.DUMMYFUNCTION("IF(B58="""","""",IF(OR(
  REGEXMATCH(B58,""Live|Webinário|Virtual""),
  REGEXMATCH(B58,""online"")
),""Virtual"",
IF(REGEXMATCH(B58,""Música|Álbum|Filme|Documentário|Série|Podcast|Rádio|Audiotour|Episódio|Reportagem|Curta|Charge|Livro|Vídeo|Entrevista""),"&amp;"
""Midiático"",
IF(REGEXMATCH(B58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8" s="11">
        <v>2007.0</v>
      </c>
      <c r="G58" s="15">
        <f t="shared" si="1"/>
        <v>2007</v>
      </c>
      <c r="H58" s="11" t="s">
        <v>589</v>
      </c>
      <c r="I58" s="16" t="s">
        <v>590</v>
      </c>
      <c r="J58" s="17" t="s">
        <v>591</v>
      </c>
      <c r="K58" s="16" t="s">
        <v>103</v>
      </c>
      <c r="L58" s="18" t="s">
        <v>475</v>
      </c>
      <c r="M58" s="15" t="str">
        <f>IFERROR(__xludf.DUMMYFUNCTION("IF(REGEXMATCH(S58, ""Companhia das Letras""), ""Companhia das Letras"",
IF(REGEXMATCH(S58, ""Labortexto Editorial""), ""Labortexto Editorial"",
IF(REGEXMATCH(S58, ""Geração Editorial""), ""Geração Editorial"",
IF(REGEXMATCH(S58, ""Editora Imprensa Oficial"&amp;"|Imprensa Oficial""), ""Editora Imprensa Oficial"",
IF(REGEXMATCH(S58, ""Folha Online""), ""Folha Online"",
IF(REGEXMATCH(S58, ""FGV DIREITO SP|FGV Direito SP""), ""FGV DIREITO SP"",
IF(REGEXMATCH(S58, ""massacrecarandiru\.org\.br""), ""Memória Massacre C"&amp;"arandiru"",
IF(REGEXMATCH(S58, ""Itaú Cultural""), ""YouTube (Itaú Cultural)"",
IF(REGEXMATCH(S58, ""Passa Palavra""), ""Vimeo (Passa Palavra)"",
IF(REGEXMATCH(S58, ""rede2deoutubro\.blogspot""), ""Blogspot (Rede 02 de Outubro)"",
IF(REGEXMATCH(S58, ""Red"&amp;"e TVT""), ""YouTube (Rede TVT)"",
IF(REGEXMATCH(S58, ""Esquerda Diário""), ""Esquerda Diário"",
IF(REGEXMATCH(S58, ""GZH""), ""GZH"",
IF(REGEXMATCH(S58, ""TVPUC""), ""TVPUC"",
IF(REGEXMATCH(S58, ""Mídia Ninja.*Facebook""), ""Facebook (Mídia Ninja)"",
IF(R"&amp;"EGEXMATCH(S58, ""Memórias Carandiru.*Instagram""), ""Instagram (Memórias Carandiru)"",
IF(REGEXMATCH(S58, ""Frente pelo Desencarceramento SP""), ""YouTube (Frente Pelo Desencarceramento SP)"",
IF(REGEXMATCH(S58, ""TV ABA""), ""YouTube (TV ABA)"",
IF(REGEX"&amp;"MATCH(S58, ""TV SENADO""), ""YouTube (TV Senado)"",
IF(REGEXMATCH(S58, ""Google Arts &amp; Culture""), ""Google Arts &amp; Culture (Memória Massacre Carandiru)"",
IF(REGEXMATCH(S58, ""Anistia Internacional|ANISTIA INTERNACIONAL""), ""Anistia Internacional"",
IF(R"&amp;"EGEXMATCH(S58, ""47\.mostra|47a Mostra""), ""47a Mostra Internacional de Cinema em São Paulo"",
IF(REGEXMATCH(S58, ""Canal USP""), ""YouTube (Canal USP)"",
IF(AND(
  REGEXMATCH(S58, ""(?i)(teses?\.usp\.br|dissertacoes?\.usp\.br|repositorio\.usp\.br)""),
 "&amp;" NOT(REGEXMATCH(S58, ""Canal USP""))
), ""Biblioteca Digital de Teses e Dissertações da USP"",
IF(REGEXMATCH(S58, ""SINTRAJUSC""), ""SINTRAJUSC"",
IF(REGEXMATCH(S58, ""Agência Brasil|Agencia Brasil""), ""Agência Brasil"",
IF(REGEXMATCH(S58, ""Brasil de Fa"&amp;"to""), ""Brasil de Fato"",
IF(REGEXMATCH(S58, ""Ponte Jornalismo|pontejornalismo""), ""Ponte Jornalismo"",
IF(REGEXMATCH(S58, ""letras\.mus\.br|Letras,""), ""Letras"",
IF(REGEXMATCH(S58, ""YouTube|youtube""), 
   ""YouTube (""&amp;
   IF(REGEXMATCH(S58, ""It"&amp;"aú Cultural""), ""Itaú Cultural"",
   IF(REGEXMATCH(S58, ""Rede TVT""), ""Rede TVT"",
   IF(REGEXMATCH(S58, ""Frente pelo Desencarceramento SP""), ""Frente Pelo Desencarceramento SP"",
   IF(REGEXMATCH(S58, ""TV ABA""), ""TV ABA"",
   IF(REGEXMATCH(S58, "&amp;"""TV SENADO""), ""TV Senado"",
   IF(REGEXMATCH(S58, ""Canal USP""), ""Canal USP"",
   IF(REGEXMATCH(S58, ""Douer, Zack|Zack Douer""), ""Douer Zack"",
   IF(REGEXMATCH(S58, ""PRISIONEIRO 84\.901|PRISIONEIRO 84""), ""Prisioneiro 84.901"",
   IF(REGEXMATCH("&amp;"S58, ""^[^,]*, ""), 
        PROPER(REGEXREPLACE(REGEXEXTRACT(S58, ""^([^.]*)\.""), ""^([^,]*), (.*)"", ""$2 $1"")),
        PROPER(REGEXEXTRACT(S58, ""^([^.]*)\.""))
   )))))))))&amp;"")"",
IF(REGEXMATCH(S58, ""Spotify|spotify""), 
   ""Spotify (""&amp;
   IF(R"&amp;"EGEXMATCH(S58, ""ESTRANHO SORRISO""), ""Estranho Sorriso"",
   PROPER(REGEXEXTRACT(S58, ""^([^.]*)\.""))
   )&amp;"")"",
IF(REGEXMATCH(S58, ""Vimeo|vimeo""), 
   ""Vimeo (""&amp;
   IF(REGEXMATCH(S58, ""Passa Palavra""), ""Passa Palavra"",
   PROPER(REGEXEXTRACT"&amp;"(S58, ""^([^.]*)\.""))
   )&amp;"")"",
IF(REGEXMATCH(S58, ""Blogspot""), 
   ""Blogspot (""&amp;
   IF(REGEXMATCH(S58, ""rede2deoutubro""), ""Rede 02 de Outubro"",
   PROPER(REGEXEXTRACT(S58, ""^([^.]*)\.""))
   )&amp;"")"",
IF(REGEXMATCH(S58, ""Facebook""), 
   """&amp;"Facebook (""&amp;
   IF(REGEXMATCH(S58, ""Mídia Ninja""), ""Mídia Ninja"",
   PROPER(REGEXEXTRACT(S58, ""^([^.]*)\.""))
   )&amp;"")"",
IF(REGEXMATCH(S58, ""Instagram""), 
   ""Instagram (""&amp;
   IF(REGEXMATCH(S58, ""Memórias Carandiru""), ""Memórias Carandiru"","&amp;"
   PROPER(REGEXEXTRACT(S58, ""^([^.]*)\.""))
   )&amp;"")"",
IF(REGEXMATCH(S58, ""Folha de S\. Paulo|FOLHA DE S\. PAULO""), ""Folha de S. Paulo"",
IF(REGEXMATCH(S58, ""O Estado de S\. Paulo|ESTADAO""), ""O Estado de S. Paulo"",
IF(REGEXMATCH(S58, ""salasecr"&amp;"eta""), ""Wordpress (Sala Secreta)"",
IF(REGEXMATCH(S58, ""Wikipedia|Wikipédia|WIKIPÉDIA""), ""Wikipedia"",
IF(REGEXMATCH(S58, ""VEJA|Veja""), ""Veja Abril"",
IF(REGEXMATCH(S329, ""Rede Globo|REDE GLOBO""), ""Rede Globo"",
IF(REGEXMATCH(S329, ""G1|globo\."&amp;"com""), ""G1"",
IF(REGEXMATCH(S58, ""Deutsche Welle|DW\.com""), ""Deutsche Welle"",
IF(REGEXMATCH(S58, ""CIDH|Comissão Interamericana""), ""Comissão Interamericana de Direitos Humanos (CIDH)"",
IF(REGEXMATCH(S58, ""Pastoral Carcerária""), ""Pastoral Carce"&amp;"rária"",
IF(REGEXMATCH(S58, ""Esquerda Web""), ""Esquerda Web"",
IF(REGEXMATCH(S58, ""ONU|Organização das Nações Unidas""), ""ONU Brasil"",
IF(REGEXMATCH(S58, ""Quilombo Invisível""), ""Quilombo Invisível"",
IF(REGEXMATCH(S58, ""ALESP|Assembleia Legislati"&amp;"va""), ""ALESP"",
IF(REGEXMATCH(S58, ""Revista Opera""), ""Revista Opera"",
IF(REGEXMATCH(S58, ""SP Escola de Teatro""), ""SP Escola de Teatro"",
IF(REGEXMATCH(S58, ""EMC|Espaço Memória Carandiru""), ""EMC Espaço Memória Carandiru"",
IF(REGEXMATCH(S58, "&amp;"""^RAMOS, Nuno|Nuno Ramos""), ""Nuno Ramos"",
IF(REGEXMATCH(S58, ""^VELOSO, Caetano|Caetano Veloso""), ""YouTube (Caetano Veloso)"",
IF(REGEXMATCH(S58, ""^FATOS REAIS""), ""YouTube (Fatos Reais - Topic)"",
IF(REGEXMATCH(S58, ""^SALA SECRETA""), ""Wordpres"&amp;"s (Sala Secreta)"",
PROPER(REGEXEXTRACT(S58, ""^([^.]*)\.""))
))))))))))))))))))))))))))))))))))))))))))))))))))))))))"),"Biblioteca Digital de Teses e Dissertações da USP")</f>
        <v>Biblioteca Digital de Teses e Dissertações da USP</v>
      </c>
      <c r="N58" s="11" t="s">
        <v>47</v>
      </c>
      <c r="O58" s="14" t="s">
        <v>477</v>
      </c>
      <c r="P58" s="171">
        <v>45945.0</v>
      </c>
      <c r="Q58" s="11" t="s">
        <v>154</v>
      </c>
      <c r="R58" s="70" t="str">
        <f t="shared" si="8"/>
        <v>Aqui</v>
      </c>
      <c r="S58" s="172" t="s">
        <v>479</v>
      </c>
    </row>
    <row r="59">
      <c r="A59" s="11">
        <v>57.0</v>
      </c>
      <c r="B59" s="11"/>
      <c r="C59" s="12" t="str">
        <f>IFERROR(__xludf.DUMMYFUNCTION("IF(B59="""","""",IF(OR(
  REGEXMATCH(B59,""Performance|Instalação|Álbum|Música|Poema|Livro|Filme|Documentário|Recitação|Espetáculo|Peça|Intervenção|Desfile|Fotografia|Exposição|Charge|Grafite|Leitura pública|Fabricação de cachaça artesanal""),
  REGEXMATC"&amp;"H(B59,""dança|teatral|artístico|musical|artística"")
),""Manifestação artístico-cultural"",
IF(OR(
  REGEXMATCH(B59,""Crônica|Série|Reportagem|Podcast|Audiotour|Entrevista|Vídeo|Rádio""),
  REGEXMATCH(B59,""midiática"")
),""Produção midiática"","""")))
"),"")</f>
        <v/>
      </c>
      <c r="D59" s="13" t="str">
        <f>IFERROR(__xludf.DUMMYFUNCTION("IF(B59="""","""",IF(OR(
  REGEXMATCH(B59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REGEXMATCH(B59,""público|Imediato|artística|teatral|memória"")
),""Público Imediato"",
IF(REGEXMATCH(B59,""Música|Álbum|Filme|Documentário|Série|Podcast|"&amp;"Rádio|Audiotour|Entrevista|Reportagem|Crônica|Relatório|Abaixo-assinado|Manifesto|Petição|Poema|Livro|Fotografia|Curta|Live|Webinário|Charge|Leitura pública|Vídeo""),
""Público Mediado"","""")))
"),"")</f>
        <v/>
      </c>
      <c r="E59" s="13" t="str">
        <f>IFERROR(__xludf.DUMMYFUNCTION("IF(B59="""","""",IF(OR(
  REGEXMATCH(B59,""Live|Webinário|Virtual""),
  REGEXMATCH(B59,""online"")
),""Virtual"",
IF(REGEXMATCH(B59,""Música|Álbum|Filme|Documentário|Série|Podcast|Rádio|Audiotour|Episódio|Reportagem|Curta|Charge|Livro|Vídeo|Entrevista""),"&amp;"
""Midiático"",
IF(REGEXMATCH(B59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59" s="192">
        <v>2008.0</v>
      </c>
      <c r="G59" s="15">
        <f t="shared" si="1"/>
        <v>2008</v>
      </c>
      <c r="H59" s="11"/>
      <c r="I59" s="16"/>
      <c r="J59" s="17"/>
      <c r="K59" s="197"/>
      <c r="L59" s="190"/>
      <c r="M59" s="15" t="str">
        <f>IFERROR(__xludf.DUMMYFUNCTION("IF(REGEXMATCH(S59, ""Companhia das Letras""), ""Companhia das Letras"",
IF(REGEXMATCH(S59, ""Labortexto Editorial""), ""Labortexto Editorial"",
IF(REGEXMATCH(S59, ""Geração Editorial""), ""Geração Editorial"",
IF(REGEXMATCH(S59, ""Editora Imprensa Oficial"&amp;"|Imprensa Oficial""), ""Editora Imprensa Oficial"",
IF(REGEXMATCH(S59, ""Folha Online""), ""Folha Online"",
IF(REGEXMATCH(S59, ""FGV DIREITO SP|FGV Direito SP""), ""FGV DIREITO SP"",
IF(REGEXMATCH(S59, ""massacrecarandiru\.org\.br""), ""Memória Massacre C"&amp;"arandiru"",
IF(REGEXMATCH(S59, ""Itaú Cultural""), ""YouTube (Itaú Cultural)"",
IF(REGEXMATCH(S59, ""Passa Palavra""), ""Vimeo (Passa Palavra)"",
IF(REGEXMATCH(S59, ""rede2deoutubro\.blogspot""), ""Blogspot (Rede 02 de Outubro)"",
IF(REGEXMATCH(S59, ""Red"&amp;"e TVT""), ""YouTube (Rede TVT)"",
IF(REGEXMATCH(S59, ""Esquerda Diário""), ""Esquerda Diário"",
IF(REGEXMATCH(S59, ""GZH""), ""GZH"",
IF(REGEXMATCH(S59, ""TVPUC""), ""TVPUC"",
IF(REGEXMATCH(S59, ""Mídia Ninja.*Facebook""), ""Facebook (Mídia Ninja)"",
IF(R"&amp;"EGEXMATCH(S59, ""Memórias Carandiru.*Instagram""), ""Instagram (Memórias Carandiru)"",
IF(REGEXMATCH(S59, ""Frente pelo Desencarceramento SP""), ""YouTube (Frente Pelo Desencarceramento SP)"",
IF(REGEXMATCH(S59, ""TV ABA""), ""YouTube (TV ABA)"",
IF(REGEX"&amp;"MATCH(S59, ""TV SENADO""), ""YouTube (TV Senado)"",
IF(REGEXMATCH(S59, ""Google Arts &amp; Culture""), ""Google Arts &amp; Culture (Memória Massacre Carandiru)"",
IF(REGEXMATCH(S59, ""Anistia Internacional|ANISTIA INTERNACIONAL""), ""Anistia Internacional"",
IF(R"&amp;"EGEXMATCH(S59, ""47\.mostra|47a Mostra""), ""47a Mostra Internacional de Cinema em São Paulo"",
IF(REGEXMATCH(S59, ""Canal USP""), ""YouTube (Canal USP)"",
IF(AND(
  REGEXMATCH(S59, ""(?i)(teses?\.usp\.br|dissertacoes?\.usp\.br|repositorio\.usp\.br)""),
 "&amp;" NOT(REGEXMATCH(S59, ""Canal USP""))
), ""Biblioteca Digital de Teses e Dissertações da USP"",
IF(REGEXMATCH(S59, ""SINTRAJUSC""), ""SINTRAJUSC"",
IF(REGEXMATCH(S59, ""Agência Brasil|Agencia Brasil""), ""Agência Brasil"",
IF(REGEXMATCH(S59, ""Brasil de Fa"&amp;"to""), ""Brasil de Fato"",
IF(REGEXMATCH(S59, ""Ponte Jornalismo|pontejornalismo""), ""Ponte Jornalismo"",
IF(REGEXMATCH(S59, ""letras\.mus\.br|Letras,""), ""Letras"",
IF(REGEXMATCH(S59, ""YouTube|youtube""), 
   ""YouTube (""&amp;
   IF(REGEXMATCH(S59, ""It"&amp;"aú Cultural""), ""Itaú Cultural"",
   IF(REGEXMATCH(S59, ""Rede TVT""), ""Rede TVT"",
   IF(REGEXMATCH(S59, ""Frente pelo Desencarceramento SP""), ""Frente Pelo Desencarceramento SP"",
   IF(REGEXMATCH(S59, ""TV ABA""), ""TV ABA"",
   IF(REGEXMATCH(S59, "&amp;"""TV SENADO""), ""TV Senado"",
   IF(REGEXMATCH(S59, ""Canal USP""), ""Canal USP"",
   IF(REGEXMATCH(S59, ""Douer, Zack|Zack Douer""), ""Douer Zack"",
   IF(REGEXMATCH(S59, ""PRISIONEIRO 84\.901|PRISIONEIRO 84""), ""Prisioneiro 84.901"",
   IF(REGEXMATCH("&amp;"S59, ""^[^,]*, ""), 
        PROPER(REGEXREPLACE(REGEXEXTRACT(S59, ""^([^.]*)\.""), ""^([^,]*), (.*)"", ""$2 $1"")),
        PROPER(REGEXEXTRACT(S59, ""^([^.]*)\.""))
   )))))))))&amp;"")"",
IF(REGEXMATCH(S59, ""Spotify|spotify""), 
   ""Spotify (""&amp;
   IF(R"&amp;"EGEXMATCH(S59, ""ESTRANHO SORRISO""), ""Estranho Sorriso"",
   PROPER(REGEXEXTRACT(S59, ""^([^.]*)\.""))
   )&amp;"")"",
IF(REGEXMATCH(S59, ""Vimeo|vimeo""), 
   ""Vimeo (""&amp;
   IF(REGEXMATCH(S59, ""Passa Palavra""), ""Passa Palavra"",
   PROPER(REGEXEXTRACT"&amp;"(S59, ""^([^.]*)\.""))
   )&amp;"")"",
IF(REGEXMATCH(S59, ""Blogspot""), 
   ""Blogspot (""&amp;
   IF(REGEXMATCH(S59, ""rede2deoutubro""), ""Rede 02 de Outubro"",
   PROPER(REGEXEXTRACT(S59, ""^([^.]*)\.""))
   )&amp;"")"",
IF(REGEXMATCH(S59, ""Facebook""), 
   """&amp;"Facebook (""&amp;
   IF(REGEXMATCH(S59, ""Mídia Ninja""), ""Mídia Ninja"",
   PROPER(REGEXEXTRACT(S59, ""^([^.]*)\.""))
   )&amp;"")"",
IF(REGEXMATCH(S59, ""Instagram""), 
   ""Instagram (""&amp;
   IF(REGEXMATCH(S59, ""Memórias Carandiru""), ""Memórias Carandiru"","&amp;"
   PROPER(REGEXEXTRACT(S59, ""^([^.]*)\.""))
   )&amp;"")"",
IF(REGEXMATCH(S59, ""Folha de S\. Paulo|FOLHA DE S\. PAULO""), ""Folha de S. Paulo"",
IF(REGEXMATCH(S59, ""O Estado de S\. Paulo|ESTADAO""), ""O Estado de S. Paulo"",
IF(REGEXMATCH(S59, ""salasecr"&amp;"eta""), ""Wordpress (Sala Secreta)"",
IF(REGEXMATCH(S59, ""Wikipedia|Wikipédia|WIKIPÉDIA""), ""Wikipedia"",
IF(REGEXMATCH(S59, ""VEJA|Veja""), ""Veja Abril"",
IF(REGEXMATCH(S330, ""Rede Globo|REDE GLOBO""), ""Rede Globo"",
IF(REGEXMATCH(S330, ""G1|globo\."&amp;"com""), ""G1"",
IF(REGEXMATCH(S59, ""Deutsche Welle|DW\.com""), ""Deutsche Welle"",
IF(REGEXMATCH(S59, ""CIDH|Comissão Interamericana""), ""Comissão Interamericana de Direitos Humanos (CIDH)"",
IF(REGEXMATCH(S59, ""Pastoral Carcerária""), ""Pastoral Carce"&amp;"rária"",
IF(REGEXMATCH(S59, ""Esquerda Web""), ""Esquerda Web"",
IF(REGEXMATCH(S59, ""ONU|Organização das Nações Unidas""), ""ONU Brasil"",
IF(REGEXMATCH(S59, ""Quilombo Invisível""), ""Quilombo Invisível"",
IF(REGEXMATCH(S59, ""ALESP|Assembleia Legislati"&amp;"va""), ""ALESP"",
IF(REGEXMATCH(S59, ""Revista Opera""), ""Revista Opera"",
IF(REGEXMATCH(S59, ""SP Escola de Teatro""), ""SP Escola de Teatro"",
IF(REGEXMATCH(S59, ""EMC|Espaço Memória Carandiru""), ""EMC Espaço Memória Carandiru"",
IF(REGEXMATCH(S59, "&amp;"""^RAMOS, Nuno|Nuno Ramos""), ""Nuno Ramos"",
IF(REGEXMATCH(S59, ""^VELOSO, Caetano|Caetano Veloso""), ""YouTube (Caetano Veloso)"",
IF(REGEXMATCH(S59, ""^FATOS REAIS""), ""YouTube (Fatos Reais - Topic)"",
IF(REGEXMATCH(S59, ""^SALA SECRETA""), ""Wordpres"&amp;"s (Sala Secreta)"",
PROPER(REGEXEXTRACT(S59, ""^([^.]*)\.""))
))))))))))))))))))))))))))))))))))))))))))))))))))))))))"),"#N/A")</f>
        <v>#N/A</v>
      </c>
      <c r="N59" s="11" t="s">
        <v>47</v>
      </c>
      <c r="O59" s="11"/>
      <c r="P59" s="11"/>
      <c r="Q59" s="11" t="s">
        <v>154</v>
      </c>
      <c r="R59" s="194" t="str">
        <f t="shared" si="8"/>
        <v>#VALUE!</v>
      </c>
      <c r="S59" s="195"/>
    </row>
    <row r="60">
      <c r="A60" s="11">
        <v>58.0</v>
      </c>
      <c r="B60" s="11" t="str">
        <f>IFERROR(__xludf.DUMMYFUNCTION("REGEXEXTRACT(S60, ""\[(.*?)\]"")"),"Documentário")</f>
        <v>Documentário</v>
      </c>
      <c r="C60" s="12" t="str">
        <f>IFERROR(__xludf.DUMMYFUNCTION("IF(B60="""","""",IF(OR(
  REGEXMATCH(B60,""Performance|Instalação|Álbum|Música|Poema|Livro|Filme|Documentário|Recitação|Espetáculo|Peça|Intervenção|Desfile|Fotografia|Exposição|Charge|Grafite|Leitura pública|Fabricação de cachaça artesanal""),
  REGEXMATC"&amp;"H(B60,""dança|teatral|artístico|musical|artística"")
),""Manifestação artístico-cultural"",
IF(OR(
  REGEXMATCH(B60,""Crônica|Série|Reportagem|Podcast|Audiotour|Entrevista|Vídeo|Rádio""),
  REGEXMATCH(B60,""midiática"")
),""Produção midiática"","""")))
"),"Manifestação artístico-cultural")</f>
        <v>Manifestação artístico-cultural</v>
      </c>
      <c r="D60" s="13" t="str">
        <f>IFERROR(__xludf.DUMMYFUNCTION("IF(B60="""","""",IF(OR(
  REGEXMATCH(B60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REGEXMATCH(B60,""público|Imediato|artística|teatral|memória"")
),""Público Imediato"",
IF(REGEXMATCH(B60,""Música|Álbum|Filme|Documentário|Série|Podcast|"&amp;"Rádio|Audiotour|Entrevista|Reportagem|Crônica|Relatório|Abaixo-assinado|Manifesto|Petição|Poema|Livro|Fotografia|Curta|Live|Webinário|Charge|Leitura pública|Vídeo""),
""Público Mediado"","""")))
"),"Público Mediado")</f>
        <v>Público Mediado</v>
      </c>
      <c r="E60" s="13" t="str">
        <f>IFERROR(__xludf.DUMMYFUNCTION("IF(B60="""","""",IF(OR(
  REGEXMATCH(B60,""Live|Webinário|Virtual""),
  REGEXMATCH(B60,""online"")
),""Virtual"",
IF(REGEXMATCH(B60,""Música|Álbum|Filme|Documentário|Série|Podcast|Rádio|Audiotour|Episódio|Reportagem|Curta|Charge|Livro|Vídeo|Entrevista""),"&amp;"
""Midiático"",
IF(REGEXMATCH(B60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0" s="201">
        <f>IFERROR(__xludf.DUMMYFUNCTION("DATE(
  RIGHT(REGEXEXTRACT(S60,""(\d{1,2}\s\w{3}\.\s\d{4})""),4),
  SWITCH(
    REGEXEXTRACT(REGEXEXTRACT(S60,""(\d{1,2}\s\w{3}\.\s\d{4})""),""[a-z]+""),
    ""jan"",1,""fev"",2,""mar"",3,""abr"",4,""mai"",5,""jun"",6,
    ""jul"",7,""ago"",8,""set"",9,"""&amp;"out"",10,""nov"",11,""dez"",12
  ),
  LEFT(REGEXEXTRACT(S60,""(\d{1,2}\s\w{3}\.\s\d{4})""),2)
)"),39999.0)</f>
        <v>39999</v>
      </c>
      <c r="G60" s="15">
        <f t="shared" si="1"/>
        <v>2009</v>
      </c>
      <c r="H60" s="14" t="s">
        <v>23</v>
      </c>
      <c r="I60" s="191" t="s">
        <v>498</v>
      </c>
      <c r="J60" s="202" t="str">
        <f>IFERROR(__xludf.DUMMYFUNCTION("REGEXEXTRACT(S60, ""\.\s(.*?)(?:\.|–)"")"),"Carandiru: Dois lados de um só lugar (Parte 1): Introdução")</f>
        <v>Carandiru: Dois lados de um só lugar (Parte 1): Introdução</v>
      </c>
      <c r="K60" s="16" t="s">
        <v>83</v>
      </c>
      <c r="L60" s="18" t="s">
        <v>329</v>
      </c>
      <c r="M60" s="15" t="str">
        <f>IFERROR(__xludf.DUMMYFUNCTION("IF(REGEXMATCH(S60, ""Companhia das Letras""), ""Companhia das Letras"",
IF(REGEXMATCH(S60, ""Labortexto Editorial""), ""Labortexto Editorial"",
IF(REGEXMATCH(S60, ""Geração Editorial""), ""Geração Editorial"",
IF(REGEXMATCH(S60, ""Editora Imprensa Oficial"&amp;"|Imprensa Oficial""), ""Editora Imprensa Oficial"",
IF(REGEXMATCH(S60, ""Folha Online""), ""Folha Online"",
IF(REGEXMATCH(S60, ""FGV DIREITO SP|FGV Direito SP""), ""FGV DIREITO SP"",
IF(REGEXMATCH(S60, ""massacrecarandiru\.org\.br""), ""Memória Massacre C"&amp;"arandiru"",
IF(REGEXMATCH(S60, ""Itaú Cultural""), ""YouTube (Itaú Cultural)"",
IF(REGEXMATCH(S60, ""Passa Palavra""), ""Vimeo (Passa Palavra)"",
IF(REGEXMATCH(S60, ""rede2deoutubro\.blogspot""), ""Blogspot (Rede 02 de Outubro)"",
IF(REGEXMATCH(S60, ""Red"&amp;"e TVT""), ""YouTube (Rede TVT)"",
IF(REGEXMATCH(S60, ""Esquerda Diário""), ""Esquerda Diário"",
IF(REGEXMATCH(S60, ""GZH""), ""GZH"",
IF(REGEXMATCH(S60, ""TVPUC""), ""TVPUC"",
IF(REGEXMATCH(S60, ""Mídia Ninja.*Facebook""), ""Facebook (Mídia Ninja)"",
IF(R"&amp;"EGEXMATCH(S60, ""Memórias Carandiru.*Instagram""), ""Instagram (Memórias Carandiru)"",
IF(REGEXMATCH(S60, ""Frente pelo Desencarceramento SP""), ""YouTube (Frente Pelo Desencarceramento SP)"",
IF(REGEXMATCH(S60, ""TV ABA""), ""YouTube (TV ABA)"",
IF(REGEX"&amp;"MATCH(S60, ""TV SENADO""), ""YouTube (TV Senado)"",
IF(REGEXMATCH(S60, ""Google Arts &amp; Culture""), ""Google Arts &amp; Culture (Memória Massacre Carandiru)"",
IF(REGEXMATCH(S60, ""Anistia Internacional|ANISTIA INTERNACIONAL""), ""Anistia Internacional"",
IF(R"&amp;"EGEXMATCH(S60, ""47\.mostra|47a Mostra""), ""47a Mostra Internacional de Cinema em São Paulo"",
IF(REGEXMATCH(S60, ""Canal USP""), ""YouTube (Canal USP)"",
IF(AND(
  REGEXMATCH(S60, ""(?i)(teses?\.usp\.br|dissertacoes?\.usp\.br|repositorio\.usp\.br)""),
 "&amp;" NOT(REGEXMATCH(S60, ""Canal USP""))
), ""Biblioteca Digital de Teses e Dissertações da USP"",
IF(REGEXMATCH(S60, ""SINTRAJUSC""), ""SINTRAJUSC"",
IF(REGEXMATCH(S60, ""Agência Brasil|Agencia Brasil""), ""Agência Brasil"",
IF(REGEXMATCH(S60, ""Brasil de Fa"&amp;"to""), ""Brasil de Fato"",
IF(REGEXMATCH(S60, ""Ponte Jornalismo|pontejornalismo""), ""Ponte Jornalismo"",
IF(REGEXMATCH(S60, ""letras\.mus\.br|Letras,""), ""Letras"",
IF(REGEXMATCH(S60, ""YouTube|youtube""), 
   ""YouTube (""&amp;
   IF(REGEXMATCH(S60, ""It"&amp;"aú Cultural""), ""Itaú Cultural"",
   IF(REGEXMATCH(S60, ""Rede TVT""), ""Rede TVT"",
   IF(REGEXMATCH(S60, ""Frente pelo Desencarceramento SP""), ""Frente Pelo Desencarceramento SP"",
   IF(REGEXMATCH(S60, ""TV ABA""), ""TV ABA"",
   IF(REGEXMATCH(S60, "&amp;"""TV SENADO""), ""TV Senado"",
   IF(REGEXMATCH(S60, ""Canal USP""), ""Canal USP"",
   IF(REGEXMATCH(S60, ""Douer, Zack|Zack Douer""), ""Douer Zack"",
   IF(REGEXMATCH(S60, ""PRISIONEIRO 84\.901|PRISIONEIRO 84""), ""Prisioneiro 84.901"",
   IF(REGEXMATCH("&amp;"S60, ""^[^,]*, ""), 
        PROPER(REGEXREPLACE(REGEXEXTRACT(S60, ""^([^.]*)\.""), ""^([^,]*), (.*)"", ""$2 $1"")),
        PROPER(REGEXEXTRACT(S60, ""^([^.]*)\.""))
   )))))))))&amp;"")"",
IF(REGEXMATCH(S60, ""Spotify|spotify""), 
   ""Spotify (""&amp;
   IF(R"&amp;"EGEXMATCH(S60, ""ESTRANHO SORRISO""), ""Estranho Sorriso"",
   PROPER(REGEXEXTRACT(S60, ""^([^.]*)\.""))
   )&amp;"")"",
IF(REGEXMATCH(S60, ""Vimeo|vimeo""), 
   ""Vimeo (""&amp;
   IF(REGEXMATCH(S60, ""Passa Palavra""), ""Passa Palavra"",
   PROPER(REGEXEXTRACT"&amp;"(S60, ""^([^.]*)\.""))
   )&amp;"")"",
IF(REGEXMATCH(S60, ""Blogspot""), 
   ""Blogspot (""&amp;
   IF(REGEXMATCH(S60, ""rede2deoutubro""), ""Rede 02 de Outubro"",
   PROPER(REGEXEXTRACT(S60, ""^([^.]*)\.""))
   )&amp;"")"",
IF(REGEXMATCH(S60, ""Facebook""), 
   """&amp;"Facebook (""&amp;
   IF(REGEXMATCH(S60, ""Mídia Ninja""), ""Mídia Ninja"",
   PROPER(REGEXEXTRACT(S60, ""^([^.]*)\.""))
   )&amp;"")"",
IF(REGEXMATCH(S60, ""Instagram""), 
   ""Instagram (""&amp;
   IF(REGEXMATCH(S60, ""Memórias Carandiru""), ""Memórias Carandiru"","&amp;"
   PROPER(REGEXEXTRACT(S60, ""^([^.]*)\.""))
   )&amp;"")"",
IF(REGEXMATCH(S60, ""Folha de S\. Paulo|FOLHA DE S\. PAULO""), ""Folha de S. Paulo"",
IF(REGEXMATCH(S60, ""O Estado de S\. Paulo|ESTADAO""), ""O Estado de S. Paulo"",
IF(REGEXMATCH(S60, ""salasecr"&amp;"eta""), ""Wordpress (Sala Secreta)"",
IF(REGEXMATCH(S60, ""Wikipedia|Wikipédia|WIKIPÉDIA""), ""Wikipedia"",
IF(REGEXMATCH(S60, ""VEJA|Veja""), ""Veja Abril"",
IF(REGEXMATCH(S331, ""Rede Globo|REDE GLOBO""), ""Rede Globo"",
IF(REGEXMATCH(S331, ""G1|globo\."&amp;"com""), ""G1"",
IF(REGEXMATCH(S60, ""Deutsche Welle|DW\.com""), ""Deutsche Welle"",
IF(REGEXMATCH(S60, ""CIDH|Comissão Interamericana""), ""Comissão Interamericana de Direitos Humanos (CIDH)"",
IF(REGEXMATCH(S60, ""Pastoral Carcerária""), ""Pastoral Carce"&amp;"rária"",
IF(REGEXMATCH(S60, ""Esquerda Web""), ""Esquerda Web"",
IF(REGEXMATCH(S60, ""ONU|Organização das Nações Unidas""), ""ONU Brasil"",
IF(REGEXMATCH(S60, ""Quilombo Invisível""), ""Quilombo Invisível"",
IF(REGEXMATCH(S60, ""ALESP|Assembleia Legislati"&amp;"va""), ""ALESP"",
IF(REGEXMATCH(S60, ""Revista Opera""), ""Revista Opera"",
IF(REGEXMATCH(S60, ""SP Escola de Teatro""), ""SP Escola de Teatro"",
IF(REGEXMATCH(S60, ""EMC|Espaço Memória Carandiru""), ""EMC Espaço Memória Carandiru"",
IF(REGEXMATCH(S60, "&amp;"""^RAMOS, Nuno|Nuno Ramos""), ""Nuno Ramos"",
IF(REGEXMATCH(S60, ""^VELOSO, Caetano|Caetano Veloso""), ""YouTube (Caetano Veloso)"",
IF(REGEXMATCH(S60, ""^FATOS REAIS""), ""YouTube (Fatos Reais - Topic)"",
IF(REGEXMATCH(S60, ""^SALA SECRETA""), ""Wordpres"&amp;"s (Sala Secreta)"",
PROPER(REGEXEXTRACT(S60, ""^([^.]*)\.""))
))))))))))))))))))))))))))))))))))))))))))))))))))))))))"),"YouTube (Henrique Vasco)")</f>
        <v>YouTube (Henrique Vasco)</v>
      </c>
      <c r="N60" s="11" t="s">
        <v>47</v>
      </c>
      <c r="O60" s="14" t="s">
        <v>592</v>
      </c>
      <c r="P60" s="186">
        <v>45940.0</v>
      </c>
      <c r="Q60" s="11" t="s">
        <v>154</v>
      </c>
      <c r="R60" s="70" t="str">
        <f t="shared" si="8"/>
        <v>Aqui</v>
      </c>
      <c r="S60" s="172" t="s">
        <v>593</v>
      </c>
    </row>
    <row r="61">
      <c r="A61" s="11">
        <v>59.0</v>
      </c>
      <c r="B61" s="11" t="str">
        <f>IFERROR(__xludf.DUMMYFUNCTION("REGEXEXTRACT(S61, ""\[(.*?)\]"")"),"Documentário")</f>
        <v>Documentário</v>
      </c>
      <c r="C61" s="12" t="str">
        <f>IFERROR(__xludf.DUMMYFUNCTION("IF(B61="""","""",IF(OR(
  REGEXMATCH(B61,""Performance|Instalação|Álbum|Música|Poema|Livro|Filme|Documentário|Recitação|Espetáculo|Peça|Intervenção|Desfile|Fotografia|Exposição|Charge|Grafite|Leitura pública|Fabricação de cachaça artesanal""),
  REGEXMATC"&amp;"H(B61,""dança|teatral|artístico|musical|artística"")
),""Manifestação artístico-cultural"",
IF(OR(
  REGEXMATCH(B61,""Crônica|Série|Reportagem|Podcast|Audiotour|Entrevista|Vídeo|Rádio""),
  REGEXMATCH(B61,""midiática"")
),""Produção midiática"","""")))
"),"Manifestação artístico-cultural")</f>
        <v>Manifestação artístico-cultural</v>
      </c>
      <c r="D61" s="13" t="str">
        <f>IFERROR(__xludf.DUMMYFUNCTION("IF(B61="""","""",IF(OR(
  REGEXMATCH(B61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REGEXMATCH(B61,""público|Imediato|artística|teatral|memória"")
),""Público Imediato"",
IF(REGEXMATCH(B61,""Música|Álbum|Filme|Documentário|Série|Podcast|"&amp;"Rádio|Audiotour|Entrevista|Reportagem|Crônica|Relatório|Abaixo-assinado|Manifesto|Petição|Poema|Livro|Fotografia|Curta|Live|Webinário|Charge|Leitura pública|Vídeo""),
""Público Mediado"","""")))
"),"Público Mediado")</f>
        <v>Público Mediado</v>
      </c>
      <c r="E61" s="13" t="str">
        <f>IFERROR(__xludf.DUMMYFUNCTION("IF(B61="""","""",IF(OR(
  REGEXMATCH(B61,""Live|Webinário|Virtual""),
  REGEXMATCH(B61,""online"")
),""Virtual"",
IF(REGEXMATCH(B61,""Música|Álbum|Filme|Documentário|Série|Podcast|Rádio|Audiotour|Episódio|Reportagem|Curta|Charge|Livro|Vídeo|Entrevista""),"&amp;"
""Midiático"",
IF(REGEXMATCH(B61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1" s="201">
        <f>IFERROR(__xludf.DUMMYFUNCTION("DATE(
  RIGHT(REGEXEXTRACT(S61,""(\d{1,2}\s\w{3}\.\s\d{4})""),4),
  SWITCH(
    REGEXEXTRACT(REGEXEXTRACT(S61,""(\d{1,2}\s\w{3}\.\s\d{4})""),""[a-z]+""),
    ""jan"",1,""fev"",2,""mar"",3,""abr"",4,""mai"",5,""jun"",6,
    ""jul"",7,""ago"",8,""set"",9,"""&amp;"out"",10,""nov"",11,""dez"",12
  ),
  LEFT(REGEXEXTRACT(S61,""(\d{1,2}\s\w{3}\.\s\d{4})""),2)
)"),39999.0)</f>
        <v>39999</v>
      </c>
      <c r="G61" s="15">
        <f t="shared" si="1"/>
        <v>2009</v>
      </c>
      <c r="H61" s="14" t="s">
        <v>23</v>
      </c>
      <c r="I61" s="191" t="s">
        <v>498</v>
      </c>
      <c r="J61" s="202" t="str">
        <f>IFERROR(__xludf.DUMMYFUNCTION("REGEXEXTRACT(S61, ""\.\s(.*?)(?:\.|–)"")"),"Carandiru: Dois lados de um só lugar (Parte 2): A rotina no presídio")</f>
        <v>Carandiru: Dois lados de um só lugar (Parte 2): A rotina no presídio</v>
      </c>
      <c r="K61" s="16" t="s">
        <v>83</v>
      </c>
      <c r="L61" s="18" t="s">
        <v>329</v>
      </c>
      <c r="M61" s="15" t="str">
        <f>IFERROR(__xludf.DUMMYFUNCTION("IF(REGEXMATCH(S61, ""Companhia das Letras""), ""Companhia das Letras"",
IF(REGEXMATCH(S61, ""Labortexto Editorial""), ""Labortexto Editorial"",
IF(REGEXMATCH(S61, ""Geração Editorial""), ""Geração Editorial"",
IF(REGEXMATCH(S61, ""Editora Imprensa Oficial"&amp;"|Imprensa Oficial""), ""Editora Imprensa Oficial"",
IF(REGEXMATCH(S61, ""Folha Online""), ""Folha Online"",
IF(REGEXMATCH(S61, ""FGV DIREITO SP|FGV Direito SP""), ""FGV DIREITO SP"",
IF(REGEXMATCH(S61, ""massacrecarandiru\.org\.br""), ""Memória Massacre C"&amp;"arandiru"",
IF(REGEXMATCH(S61, ""Itaú Cultural""), ""YouTube (Itaú Cultural)"",
IF(REGEXMATCH(S61, ""Passa Palavra""), ""Vimeo (Passa Palavra)"",
IF(REGEXMATCH(S61, ""rede2deoutubro\.blogspot""), ""Blogspot (Rede 02 de Outubro)"",
IF(REGEXMATCH(S61, ""Red"&amp;"e TVT""), ""YouTube (Rede TVT)"",
IF(REGEXMATCH(S61, ""Esquerda Diário""), ""Esquerda Diário"",
IF(REGEXMATCH(S61, ""GZH""), ""GZH"",
IF(REGEXMATCH(S61, ""TVPUC""), ""TVPUC"",
IF(REGEXMATCH(S61, ""Mídia Ninja.*Facebook""), ""Facebook (Mídia Ninja)"",
IF(R"&amp;"EGEXMATCH(S61, ""Memórias Carandiru.*Instagram""), ""Instagram (Memórias Carandiru)"",
IF(REGEXMATCH(S61, ""Frente pelo Desencarceramento SP""), ""YouTube (Frente Pelo Desencarceramento SP)"",
IF(REGEXMATCH(S61, ""TV ABA""), ""YouTube (TV ABA)"",
IF(REGEX"&amp;"MATCH(S61, ""TV SENADO""), ""YouTube (TV Senado)"",
IF(REGEXMATCH(S61, ""Google Arts &amp; Culture""), ""Google Arts &amp; Culture (Memória Massacre Carandiru)"",
IF(REGEXMATCH(S61, ""Anistia Internacional|ANISTIA INTERNACIONAL""), ""Anistia Internacional"",
IF(R"&amp;"EGEXMATCH(S61, ""47\.mostra|47a Mostra""), ""47a Mostra Internacional de Cinema em São Paulo"",
IF(REGEXMATCH(S61, ""Canal USP""), ""YouTube (Canal USP)"",
IF(AND(
  REGEXMATCH(S61, ""(?i)(teses?\.usp\.br|dissertacoes?\.usp\.br|repositorio\.usp\.br)""),
 "&amp;" NOT(REGEXMATCH(S61, ""Canal USP""))
), ""Biblioteca Digital de Teses e Dissertações da USP"",
IF(REGEXMATCH(S61, ""SINTRAJUSC""), ""SINTRAJUSC"",
IF(REGEXMATCH(S61, ""Agência Brasil|Agencia Brasil""), ""Agência Brasil"",
IF(REGEXMATCH(S61, ""Brasil de Fa"&amp;"to""), ""Brasil de Fato"",
IF(REGEXMATCH(S61, ""Ponte Jornalismo|pontejornalismo""), ""Ponte Jornalismo"",
IF(REGEXMATCH(S61, ""letras\.mus\.br|Letras,""), ""Letras"",
IF(REGEXMATCH(S61, ""YouTube|youtube""), 
   ""YouTube (""&amp;
   IF(REGEXMATCH(S61, ""It"&amp;"aú Cultural""), ""Itaú Cultural"",
   IF(REGEXMATCH(S61, ""Rede TVT""), ""Rede TVT"",
   IF(REGEXMATCH(S61, ""Frente pelo Desencarceramento SP""), ""Frente Pelo Desencarceramento SP"",
   IF(REGEXMATCH(S61, ""TV ABA""), ""TV ABA"",
   IF(REGEXMATCH(S61, "&amp;"""TV SENADO""), ""TV Senado"",
   IF(REGEXMATCH(S61, ""Canal USP""), ""Canal USP"",
   IF(REGEXMATCH(S61, ""Douer, Zack|Zack Douer""), ""Douer Zack"",
   IF(REGEXMATCH(S61, ""PRISIONEIRO 84\.901|PRISIONEIRO 84""), ""Prisioneiro 84.901"",
   IF(REGEXMATCH("&amp;"S61, ""^[^,]*, ""), 
        PROPER(REGEXREPLACE(REGEXEXTRACT(S61, ""^([^.]*)\.""), ""^([^,]*), (.*)"", ""$2 $1"")),
        PROPER(REGEXEXTRACT(S61, ""^([^.]*)\.""))
   )))))))))&amp;"")"",
IF(REGEXMATCH(S61, ""Spotify|spotify""), 
   ""Spotify (""&amp;
   IF(R"&amp;"EGEXMATCH(S61, ""ESTRANHO SORRISO""), ""Estranho Sorriso"",
   PROPER(REGEXEXTRACT(S61, ""^([^.]*)\.""))
   )&amp;"")"",
IF(REGEXMATCH(S61, ""Vimeo|vimeo""), 
   ""Vimeo (""&amp;
   IF(REGEXMATCH(S61, ""Passa Palavra""), ""Passa Palavra"",
   PROPER(REGEXEXTRACT"&amp;"(S61, ""^([^.]*)\.""))
   )&amp;"")"",
IF(REGEXMATCH(S61, ""Blogspot""), 
   ""Blogspot (""&amp;
   IF(REGEXMATCH(S61, ""rede2deoutubro""), ""Rede 02 de Outubro"",
   PROPER(REGEXEXTRACT(S61, ""^([^.]*)\.""))
   )&amp;"")"",
IF(REGEXMATCH(S61, ""Facebook""), 
   """&amp;"Facebook (""&amp;
   IF(REGEXMATCH(S61, ""Mídia Ninja""), ""Mídia Ninja"",
   PROPER(REGEXEXTRACT(S61, ""^([^.]*)\.""))
   )&amp;"")"",
IF(REGEXMATCH(S61, ""Instagram""), 
   ""Instagram (""&amp;
   IF(REGEXMATCH(S61, ""Memórias Carandiru""), ""Memórias Carandiru"","&amp;"
   PROPER(REGEXEXTRACT(S61, ""^([^.]*)\.""))
   )&amp;"")"",
IF(REGEXMATCH(S61, ""Folha de S\. Paulo|FOLHA DE S\. PAULO""), ""Folha de S. Paulo"",
IF(REGEXMATCH(S61, ""O Estado de S\. Paulo|ESTADAO""), ""O Estado de S. Paulo"",
IF(REGEXMATCH(S61, ""salasecr"&amp;"eta""), ""Wordpress (Sala Secreta)"",
IF(REGEXMATCH(S61, ""Wikipedia|Wikipédia|WIKIPÉDIA""), ""Wikipedia"",
IF(REGEXMATCH(S61, ""VEJA|Veja""), ""Veja Abril"",
IF(REGEXMATCH(S332, ""Rede Globo|REDE GLOBO""), ""Rede Globo"",
IF(REGEXMATCH(S332, ""G1|globo\."&amp;"com""), ""G1"",
IF(REGEXMATCH(S61, ""Deutsche Welle|DW\.com""), ""Deutsche Welle"",
IF(REGEXMATCH(S61, ""CIDH|Comissão Interamericana""), ""Comissão Interamericana de Direitos Humanos (CIDH)"",
IF(REGEXMATCH(S61, ""Pastoral Carcerária""), ""Pastoral Carce"&amp;"rária"",
IF(REGEXMATCH(S61, ""Esquerda Web""), ""Esquerda Web"",
IF(REGEXMATCH(S61, ""ONU|Organização das Nações Unidas""), ""ONU Brasil"",
IF(REGEXMATCH(S61, ""Quilombo Invisível""), ""Quilombo Invisível"",
IF(REGEXMATCH(S61, ""ALESP|Assembleia Legislati"&amp;"va""), ""ALESP"",
IF(REGEXMATCH(S61, ""Revista Opera""), ""Revista Opera"",
IF(REGEXMATCH(S61, ""SP Escola de Teatro""), ""SP Escola de Teatro"",
IF(REGEXMATCH(S61, ""EMC|Espaço Memória Carandiru""), ""EMC Espaço Memória Carandiru"",
IF(REGEXMATCH(S61, "&amp;"""^RAMOS, Nuno|Nuno Ramos""), ""Nuno Ramos"",
IF(REGEXMATCH(S61, ""^VELOSO, Caetano|Caetano Veloso""), ""YouTube (Caetano Veloso)"",
IF(REGEXMATCH(S61, ""^FATOS REAIS""), ""YouTube (Fatos Reais - Topic)"",
IF(REGEXMATCH(S61, ""^SALA SECRETA""), ""Wordpres"&amp;"s (Sala Secreta)"",
PROPER(REGEXEXTRACT(S61, ""^([^.]*)\.""))
))))))))))))))))))))))))))))))))))))))))))))))))))))))))"),"YouTube (Henrique Vasco)")</f>
        <v>YouTube (Henrique Vasco)</v>
      </c>
      <c r="N61" s="11" t="s">
        <v>47</v>
      </c>
      <c r="O61" s="14" t="s">
        <v>592</v>
      </c>
      <c r="P61" s="186">
        <v>45940.0</v>
      </c>
      <c r="Q61" s="11" t="s">
        <v>154</v>
      </c>
      <c r="R61" s="70" t="str">
        <f t="shared" si="8"/>
        <v>Aqui</v>
      </c>
      <c r="S61" s="172" t="s">
        <v>594</v>
      </c>
    </row>
    <row r="62">
      <c r="A62" s="11">
        <v>60.0</v>
      </c>
      <c r="B62" s="11" t="str">
        <f>IFERROR(__xludf.DUMMYFUNCTION("REGEXEXTRACT(S62, ""\[(.*?)\]"")"),"Documentário")</f>
        <v>Documentário</v>
      </c>
      <c r="C62" s="12" t="str">
        <f>IFERROR(__xludf.DUMMYFUNCTION("IF(B62="""","""",IF(OR(
  REGEXMATCH(B62,""Performance|Instalação|Álbum|Música|Poema|Livro|Filme|Documentário|Recitação|Espetáculo|Peça|Intervenção|Desfile|Fotografia|Exposição|Charge|Grafite|Leitura pública|Fabricação de cachaça artesanal""),
  REGEXMATC"&amp;"H(B62,""dança|teatral|artístico|musical|artística"")
),""Manifestação artístico-cultural"",
IF(OR(
  REGEXMATCH(B62,""Crônica|Série|Reportagem|Podcast|Audiotour|Entrevista|Vídeo|Rádio""),
  REGEXMATCH(B62,""midiática"")
),""Produção midiática"","""")))
"),"Manifestação artístico-cultural")</f>
        <v>Manifestação artístico-cultural</v>
      </c>
      <c r="D62" s="13" t="str">
        <f>IFERROR(__xludf.DUMMYFUNCTION("IF(B62="""","""",IF(OR(
  REGEXMATCH(B62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REGEXMATCH(B62,""público|Imediato|artística|teatral|memória"")
),""Público Imediato"",
IF(REGEXMATCH(B62,""Música|Álbum|Filme|Documentário|Série|Podcast|"&amp;"Rádio|Audiotour|Entrevista|Reportagem|Crônica|Relatório|Abaixo-assinado|Manifesto|Petição|Poema|Livro|Fotografia|Curta|Live|Webinário|Charge|Leitura pública|Vídeo""),
""Público Mediado"","""")))
"),"Público Mediado")</f>
        <v>Público Mediado</v>
      </c>
      <c r="E62" s="13" t="str">
        <f>IFERROR(__xludf.DUMMYFUNCTION("IF(B62="""","""",IF(OR(
  REGEXMATCH(B62,""Live|Webinário|Virtual""),
  REGEXMATCH(B62,""online"")
),""Virtual"",
IF(REGEXMATCH(B62,""Música|Álbum|Filme|Documentário|Série|Podcast|Rádio|Audiotour|Episódio|Reportagem|Curta|Charge|Livro|Vídeo|Entrevista""),"&amp;"
""Midiático"",
IF(REGEXMATCH(B62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2" s="201">
        <f>IFERROR(__xludf.DUMMYFUNCTION("DATE(
  RIGHT(REGEXEXTRACT(S62,""(\d{1,2}\s\w{3}\.\s\d{4})""),4),
  SWITCH(
    REGEXEXTRACT(REGEXEXTRACT(S62,""(\d{1,2}\s\w{3}\.\s\d{4})""),""[a-z]+""),
    ""jan"",1,""fev"",2,""mar"",3,""abr"",4,""mai"",5,""jun"",6,
    ""jul"",7,""ago"",8,""set"",9,"""&amp;"out"",10,""nov"",11,""dez"",12
  ),
  LEFT(REGEXEXTRACT(S62,""(\d{1,2}\s\w{3}\.\s\d{4})""),2)
)"),39999.0)</f>
        <v>39999</v>
      </c>
      <c r="G62" s="15">
        <f t="shared" si="1"/>
        <v>2009</v>
      </c>
      <c r="H62" s="14" t="s">
        <v>23</v>
      </c>
      <c r="I62" s="191" t="s">
        <v>498</v>
      </c>
      <c r="J62" s="202" t="str">
        <f>IFERROR(__xludf.DUMMYFUNCTION("REGEXEXTRACT(S62, ""\.\s(.*?)(?:\.|–)"")"),"Carandiru: Dois lados de um só lugar (Parte 3:) O ""massacre"" no Pavilhão 9")</f>
        <v>Carandiru: Dois lados de um só lugar (Parte 3:) O "massacre" no Pavilhão 9</v>
      </c>
      <c r="K62" s="16" t="s">
        <v>83</v>
      </c>
      <c r="L62" s="18" t="s">
        <v>329</v>
      </c>
      <c r="M62" s="15" t="str">
        <f>IFERROR(__xludf.DUMMYFUNCTION("IF(REGEXMATCH(S62, ""Companhia das Letras""), ""Companhia das Letras"",
IF(REGEXMATCH(S62, ""Labortexto Editorial""), ""Labortexto Editorial"",
IF(REGEXMATCH(S62, ""Geração Editorial""), ""Geração Editorial"",
IF(REGEXMATCH(S62, ""Editora Imprensa Oficial"&amp;"|Imprensa Oficial""), ""Editora Imprensa Oficial"",
IF(REGEXMATCH(S62, ""Folha Online""), ""Folha Online"",
IF(REGEXMATCH(S62, ""FGV DIREITO SP|FGV Direito SP""), ""FGV DIREITO SP"",
IF(REGEXMATCH(S62, ""massacrecarandiru\.org\.br""), ""Memória Massacre C"&amp;"arandiru"",
IF(REGEXMATCH(S62, ""Itaú Cultural""), ""YouTube (Itaú Cultural)"",
IF(REGEXMATCH(S62, ""Passa Palavra""), ""Vimeo (Passa Palavra)"",
IF(REGEXMATCH(S62, ""rede2deoutubro\.blogspot""), ""Blogspot (Rede 02 de Outubro)"",
IF(REGEXMATCH(S62, ""Red"&amp;"e TVT""), ""YouTube (Rede TVT)"",
IF(REGEXMATCH(S62, ""Esquerda Diário""), ""Esquerda Diário"",
IF(REGEXMATCH(S62, ""GZH""), ""GZH"",
IF(REGEXMATCH(S62, ""TVPUC""), ""TVPUC"",
IF(REGEXMATCH(S62, ""Mídia Ninja.*Facebook""), ""Facebook (Mídia Ninja)"",
IF(R"&amp;"EGEXMATCH(S62, ""Memórias Carandiru.*Instagram""), ""Instagram (Memórias Carandiru)"",
IF(REGEXMATCH(S62, ""Frente pelo Desencarceramento SP""), ""YouTube (Frente Pelo Desencarceramento SP)"",
IF(REGEXMATCH(S62, ""TV ABA""), ""YouTube (TV ABA)"",
IF(REGEX"&amp;"MATCH(S62, ""TV SENADO""), ""YouTube (TV Senado)"",
IF(REGEXMATCH(S62, ""Google Arts &amp; Culture""), ""Google Arts &amp; Culture (Memória Massacre Carandiru)"",
IF(REGEXMATCH(S62, ""Anistia Internacional|ANISTIA INTERNACIONAL""), ""Anistia Internacional"",
IF(R"&amp;"EGEXMATCH(S62, ""47\.mostra|47a Mostra""), ""47a Mostra Internacional de Cinema em São Paulo"",
IF(REGEXMATCH(S62, ""Canal USP""), ""YouTube (Canal USP)"",
IF(AND(
  REGEXMATCH(S62, ""(?i)(teses?\.usp\.br|dissertacoes?\.usp\.br|repositorio\.usp\.br)""),
 "&amp;" NOT(REGEXMATCH(S62, ""Canal USP""))
), ""Biblioteca Digital de Teses e Dissertações da USP"",
IF(REGEXMATCH(S62, ""SINTRAJUSC""), ""SINTRAJUSC"",
IF(REGEXMATCH(S62, ""Agência Brasil|Agencia Brasil""), ""Agência Brasil"",
IF(REGEXMATCH(S62, ""Brasil de Fa"&amp;"to""), ""Brasil de Fato"",
IF(REGEXMATCH(S62, ""Ponte Jornalismo|pontejornalismo""), ""Ponte Jornalismo"",
IF(REGEXMATCH(S62, ""letras\.mus\.br|Letras,""), ""Letras"",
IF(REGEXMATCH(S62, ""YouTube|youtube""), 
   ""YouTube (""&amp;
   IF(REGEXMATCH(S62, ""It"&amp;"aú Cultural""), ""Itaú Cultural"",
   IF(REGEXMATCH(S62, ""Rede TVT""), ""Rede TVT"",
   IF(REGEXMATCH(S62, ""Frente pelo Desencarceramento SP""), ""Frente Pelo Desencarceramento SP"",
   IF(REGEXMATCH(S62, ""TV ABA""), ""TV ABA"",
   IF(REGEXMATCH(S62, "&amp;"""TV SENADO""), ""TV Senado"",
   IF(REGEXMATCH(S62, ""Canal USP""), ""Canal USP"",
   IF(REGEXMATCH(S62, ""Douer, Zack|Zack Douer""), ""Douer Zack"",
   IF(REGEXMATCH(S62, ""PRISIONEIRO 84\.901|PRISIONEIRO 84""), ""Prisioneiro 84.901"",
   IF(REGEXMATCH("&amp;"S62, ""^[^,]*, ""), 
        PROPER(REGEXREPLACE(REGEXEXTRACT(S62, ""^([^.]*)\.""), ""^([^,]*), (.*)"", ""$2 $1"")),
        PROPER(REGEXEXTRACT(S62, ""^([^.]*)\.""))
   )))))))))&amp;"")"",
IF(REGEXMATCH(S62, ""Spotify|spotify""), 
   ""Spotify (""&amp;
   IF(R"&amp;"EGEXMATCH(S62, ""ESTRANHO SORRISO""), ""Estranho Sorriso"",
   PROPER(REGEXEXTRACT(S62, ""^([^.]*)\.""))
   )&amp;"")"",
IF(REGEXMATCH(S62, ""Vimeo|vimeo""), 
   ""Vimeo (""&amp;
   IF(REGEXMATCH(S62, ""Passa Palavra""), ""Passa Palavra"",
   PROPER(REGEXEXTRACT"&amp;"(S62, ""^([^.]*)\.""))
   )&amp;"")"",
IF(REGEXMATCH(S62, ""Blogspot""), 
   ""Blogspot (""&amp;
   IF(REGEXMATCH(S62, ""rede2deoutubro""), ""Rede 02 de Outubro"",
   PROPER(REGEXEXTRACT(S62, ""^([^.]*)\.""))
   )&amp;"")"",
IF(REGEXMATCH(S62, ""Facebook""), 
   """&amp;"Facebook (""&amp;
   IF(REGEXMATCH(S62, ""Mídia Ninja""), ""Mídia Ninja"",
   PROPER(REGEXEXTRACT(S62, ""^([^.]*)\.""))
   )&amp;"")"",
IF(REGEXMATCH(S62, ""Instagram""), 
   ""Instagram (""&amp;
   IF(REGEXMATCH(S62, ""Memórias Carandiru""), ""Memórias Carandiru"","&amp;"
   PROPER(REGEXEXTRACT(S62, ""^([^.]*)\.""))
   )&amp;"")"",
IF(REGEXMATCH(S62, ""Folha de S\. Paulo|FOLHA DE S\. PAULO""), ""Folha de S. Paulo"",
IF(REGEXMATCH(S62, ""O Estado de S\. Paulo|ESTADAO""), ""O Estado de S. Paulo"",
IF(REGEXMATCH(S62, ""salasecr"&amp;"eta""), ""Wordpress (Sala Secreta)"",
IF(REGEXMATCH(S62, ""Wikipedia|Wikipédia|WIKIPÉDIA""), ""Wikipedia"",
IF(REGEXMATCH(S62, ""VEJA|Veja""), ""Veja Abril"",
IF(REGEXMATCH(S333, ""Rede Globo|REDE GLOBO""), ""Rede Globo"",
IF(REGEXMATCH(S333, ""G1|globo\."&amp;"com""), ""G1"",
IF(REGEXMATCH(S62, ""Deutsche Welle|DW\.com""), ""Deutsche Welle"",
IF(REGEXMATCH(S62, ""CIDH|Comissão Interamericana""), ""Comissão Interamericana de Direitos Humanos (CIDH)"",
IF(REGEXMATCH(S62, ""Pastoral Carcerária""), ""Pastoral Carce"&amp;"rária"",
IF(REGEXMATCH(S62, ""Esquerda Web""), ""Esquerda Web"",
IF(REGEXMATCH(S62, ""ONU|Organização das Nações Unidas""), ""ONU Brasil"",
IF(REGEXMATCH(S62, ""Quilombo Invisível""), ""Quilombo Invisível"",
IF(REGEXMATCH(S62, ""ALESP|Assembleia Legislati"&amp;"va""), ""ALESP"",
IF(REGEXMATCH(S62, ""Revista Opera""), ""Revista Opera"",
IF(REGEXMATCH(S62, ""SP Escola de Teatro""), ""SP Escola de Teatro"",
IF(REGEXMATCH(S62, ""EMC|Espaço Memória Carandiru""), ""EMC Espaço Memória Carandiru"",
IF(REGEXMATCH(S62, "&amp;"""^RAMOS, Nuno|Nuno Ramos""), ""Nuno Ramos"",
IF(REGEXMATCH(S62, ""^VELOSO, Caetano|Caetano Veloso""), ""YouTube (Caetano Veloso)"",
IF(REGEXMATCH(S62, ""^FATOS REAIS""), ""YouTube (Fatos Reais - Topic)"",
IF(REGEXMATCH(S62, ""^SALA SECRETA""), ""Wordpres"&amp;"s (Sala Secreta)"",
PROPER(REGEXEXTRACT(S62, ""^([^.]*)\.""))
))))))))))))))))))))))))))))))))))))))))))))))))))))))))"),"YouTube (Henrique Vasco)")</f>
        <v>YouTube (Henrique Vasco)</v>
      </c>
      <c r="N62" s="11" t="s">
        <v>47</v>
      </c>
      <c r="O62" s="14" t="s">
        <v>592</v>
      </c>
      <c r="P62" s="186">
        <v>45940.0</v>
      </c>
      <c r="Q62" s="11" t="s">
        <v>154</v>
      </c>
      <c r="R62" s="70" t="str">
        <f t="shared" si="8"/>
        <v>Aqui</v>
      </c>
      <c r="S62" s="172" t="s">
        <v>595</v>
      </c>
    </row>
    <row r="63">
      <c r="A63" s="11">
        <v>61.0</v>
      </c>
      <c r="B63" s="11" t="str">
        <f>IFERROR(__xludf.DUMMYFUNCTION("REGEXEXTRACT(S63, ""\[(.*?)\]"")"),"Documentário")</f>
        <v>Documentário</v>
      </c>
      <c r="C63" s="12" t="str">
        <f>IFERROR(__xludf.DUMMYFUNCTION("IF(B63="""","""",IF(OR(
  REGEXMATCH(B63,""Performance|Instalação|Álbum|Música|Poema|Livro|Filme|Documentário|Recitação|Espetáculo|Peça|Intervenção|Desfile|Fotografia|Exposição|Charge|Grafite|Leitura pública|Fabricação de cachaça artesanal""),
  REGEXMATC"&amp;"H(B63,""dança|teatral|artístico|musical|artística"")
),""Manifestação artístico-cultural"",
IF(OR(
  REGEXMATCH(B63,""Crônica|Série|Reportagem|Podcast|Audiotour|Entrevista|Vídeo|Rádio""),
  REGEXMATCH(B63,""midiática"")
),""Produção midiática"","""")))
"),"Manifestação artístico-cultural")</f>
        <v>Manifestação artístico-cultural</v>
      </c>
      <c r="D63" s="13" t="str">
        <f>IFERROR(__xludf.DUMMYFUNCTION("IF(B63="""","""",IF(OR(
  REGEXMATCH(B63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REGEXMATCH(B63,""público|Imediato|artística|teatral|memória"")
),""Público Imediato"",
IF(REGEXMATCH(B63,""Música|Álbum|Filme|Documentário|Série|Podcast|"&amp;"Rádio|Audiotour|Entrevista|Reportagem|Crônica|Relatório|Abaixo-assinado|Manifesto|Petição|Poema|Livro|Fotografia|Curta|Live|Webinário|Charge|Leitura pública|Vídeo""),
""Público Mediado"","""")))
"),"Público Mediado")</f>
        <v>Público Mediado</v>
      </c>
      <c r="E63" s="13" t="str">
        <f>IFERROR(__xludf.DUMMYFUNCTION("IF(B63="""","""",IF(OR(
  REGEXMATCH(B63,""Live|Webinário|Virtual""),
  REGEXMATCH(B63,""online"")
),""Virtual"",
IF(REGEXMATCH(B63,""Música|Álbum|Filme|Documentário|Série|Podcast|Rádio|Audiotour|Episódio|Reportagem|Curta|Charge|Livro|Vídeo|Entrevista""),"&amp;"
""Midiático"",
IF(REGEXMATCH(B63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3" s="201">
        <f>IFERROR(__xludf.DUMMYFUNCTION("DATE(
  RIGHT(REGEXEXTRACT(S63,""(\d{1,2}\s\w{3}\.\s\d{4})""),4),
  SWITCH(
    REGEXEXTRACT(REGEXEXTRACT(S63,""(\d{1,2}\s\w{3}\.\s\d{4})""),""[a-z]+""),
    ""jan"",1,""fev"",2,""mar"",3,""abr"",4,""mai"",5,""jun"",6,
    ""jul"",7,""ago"",8,""set"",9,"""&amp;"out"",10,""nov"",11,""dez"",12
  ),
  LEFT(REGEXEXTRACT(S63,""(\d{1,2}\s\w{3}\.\s\d{4})""),2)
)"),39999.0)</f>
        <v>39999</v>
      </c>
      <c r="G63" s="15">
        <f t="shared" si="1"/>
        <v>2009</v>
      </c>
      <c r="H63" s="14" t="s">
        <v>23</v>
      </c>
      <c r="I63" s="191" t="s">
        <v>498</v>
      </c>
      <c r="J63" s="202" t="str">
        <f>IFERROR(__xludf.DUMMYFUNCTION("REGEXEXTRACT(S63, ""\.\s(.*?)(?:\.|–)"")"),"Carandiru: Dois lados de um só lugar (Parte 4): Histórias Parte 1")</f>
        <v>Carandiru: Dois lados de um só lugar (Parte 4): Histórias Parte 1</v>
      </c>
      <c r="K63" s="16" t="s">
        <v>83</v>
      </c>
      <c r="L63" s="18" t="s">
        <v>329</v>
      </c>
      <c r="M63" s="15" t="str">
        <f>IFERROR(__xludf.DUMMYFUNCTION("IF(REGEXMATCH(S63, ""Companhia das Letras""), ""Companhia das Letras"",
IF(REGEXMATCH(S63, ""Labortexto Editorial""), ""Labortexto Editorial"",
IF(REGEXMATCH(S63, ""Geração Editorial""), ""Geração Editorial"",
IF(REGEXMATCH(S63, ""Editora Imprensa Oficial"&amp;"|Imprensa Oficial""), ""Editora Imprensa Oficial"",
IF(REGEXMATCH(S63, ""Folha Online""), ""Folha Online"",
IF(REGEXMATCH(S63, ""FGV DIREITO SP|FGV Direito SP""), ""FGV DIREITO SP"",
IF(REGEXMATCH(S63, ""massacrecarandiru\.org\.br""), ""Memória Massacre C"&amp;"arandiru"",
IF(REGEXMATCH(S63, ""Itaú Cultural""), ""YouTube (Itaú Cultural)"",
IF(REGEXMATCH(S63, ""Passa Palavra""), ""Vimeo (Passa Palavra)"",
IF(REGEXMATCH(S63, ""rede2deoutubro\.blogspot""), ""Blogspot (Rede 02 de Outubro)"",
IF(REGEXMATCH(S63, ""Red"&amp;"e TVT""), ""YouTube (Rede TVT)"",
IF(REGEXMATCH(S63, ""Esquerda Diário""), ""Esquerda Diário"",
IF(REGEXMATCH(S63, ""GZH""), ""GZH"",
IF(REGEXMATCH(S63, ""TVPUC""), ""TVPUC"",
IF(REGEXMATCH(S63, ""Mídia Ninja.*Facebook""), ""Facebook (Mídia Ninja)"",
IF(R"&amp;"EGEXMATCH(S63, ""Memórias Carandiru.*Instagram""), ""Instagram (Memórias Carandiru)"",
IF(REGEXMATCH(S63, ""Frente pelo Desencarceramento SP""), ""YouTube (Frente Pelo Desencarceramento SP)"",
IF(REGEXMATCH(S63, ""TV ABA""), ""YouTube (TV ABA)"",
IF(REGEX"&amp;"MATCH(S63, ""TV SENADO""), ""YouTube (TV Senado)"",
IF(REGEXMATCH(S63, ""Google Arts &amp; Culture""), ""Google Arts &amp; Culture (Memória Massacre Carandiru)"",
IF(REGEXMATCH(S63, ""Anistia Internacional|ANISTIA INTERNACIONAL""), ""Anistia Internacional"",
IF(R"&amp;"EGEXMATCH(S63, ""47\.mostra|47a Mostra""), ""47a Mostra Internacional de Cinema em São Paulo"",
IF(REGEXMATCH(S63, ""Canal USP""), ""YouTube (Canal USP)"",
IF(AND(
  REGEXMATCH(S63, ""(?i)(teses?\.usp\.br|dissertacoes?\.usp\.br|repositorio\.usp\.br)""),
 "&amp;" NOT(REGEXMATCH(S63, ""Canal USP""))
), ""Biblioteca Digital de Teses e Dissertações da USP"",
IF(REGEXMATCH(S63, ""SINTRAJUSC""), ""SINTRAJUSC"",
IF(REGEXMATCH(S63, ""Agência Brasil|Agencia Brasil""), ""Agência Brasil"",
IF(REGEXMATCH(S63, ""Brasil de Fa"&amp;"to""), ""Brasil de Fato"",
IF(REGEXMATCH(S63, ""Ponte Jornalismo|pontejornalismo""), ""Ponte Jornalismo"",
IF(REGEXMATCH(S63, ""letras\.mus\.br|Letras,""), ""Letras"",
IF(REGEXMATCH(S63, ""YouTube|youtube""), 
   ""YouTube (""&amp;
   IF(REGEXMATCH(S63, ""It"&amp;"aú Cultural""), ""Itaú Cultural"",
   IF(REGEXMATCH(S63, ""Rede TVT""), ""Rede TVT"",
   IF(REGEXMATCH(S63, ""Frente pelo Desencarceramento SP""), ""Frente Pelo Desencarceramento SP"",
   IF(REGEXMATCH(S63, ""TV ABA""), ""TV ABA"",
   IF(REGEXMATCH(S63, "&amp;"""TV SENADO""), ""TV Senado"",
   IF(REGEXMATCH(S63, ""Canal USP""), ""Canal USP"",
   IF(REGEXMATCH(S63, ""Douer, Zack|Zack Douer""), ""Douer Zack"",
   IF(REGEXMATCH(S63, ""PRISIONEIRO 84\.901|PRISIONEIRO 84""), ""Prisioneiro 84.901"",
   IF(REGEXMATCH("&amp;"S63, ""^[^,]*, ""), 
        PROPER(REGEXREPLACE(REGEXEXTRACT(S63, ""^([^.]*)\.""), ""^([^,]*), (.*)"", ""$2 $1"")),
        PROPER(REGEXEXTRACT(S63, ""^([^.]*)\.""))
   )))))))))&amp;"")"",
IF(REGEXMATCH(S63, ""Spotify|spotify""), 
   ""Spotify (""&amp;
   IF(R"&amp;"EGEXMATCH(S63, ""ESTRANHO SORRISO""), ""Estranho Sorriso"",
   PROPER(REGEXEXTRACT(S63, ""^([^.]*)\.""))
   )&amp;"")"",
IF(REGEXMATCH(S63, ""Vimeo|vimeo""), 
   ""Vimeo (""&amp;
   IF(REGEXMATCH(S63, ""Passa Palavra""), ""Passa Palavra"",
   PROPER(REGEXEXTRACT"&amp;"(S63, ""^([^.]*)\.""))
   )&amp;"")"",
IF(REGEXMATCH(S63, ""Blogspot""), 
   ""Blogspot (""&amp;
   IF(REGEXMATCH(S63, ""rede2deoutubro""), ""Rede 02 de Outubro"",
   PROPER(REGEXEXTRACT(S63, ""^([^.]*)\.""))
   )&amp;"")"",
IF(REGEXMATCH(S63, ""Facebook""), 
   """&amp;"Facebook (""&amp;
   IF(REGEXMATCH(S63, ""Mídia Ninja""), ""Mídia Ninja"",
   PROPER(REGEXEXTRACT(S63, ""^([^.]*)\.""))
   )&amp;"")"",
IF(REGEXMATCH(S63, ""Instagram""), 
   ""Instagram (""&amp;
   IF(REGEXMATCH(S63, ""Memórias Carandiru""), ""Memórias Carandiru"","&amp;"
   PROPER(REGEXEXTRACT(S63, ""^([^.]*)\.""))
   )&amp;"")"",
IF(REGEXMATCH(S63, ""Folha de S\. Paulo|FOLHA DE S\. PAULO""), ""Folha de S. Paulo"",
IF(REGEXMATCH(S63, ""O Estado de S\. Paulo|ESTADAO""), ""O Estado de S. Paulo"",
IF(REGEXMATCH(S63, ""salasecr"&amp;"eta""), ""Wordpress (Sala Secreta)"",
IF(REGEXMATCH(S63, ""Wikipedia|Wikipédia|WIKIPÉDIA""), ""Wikipedia"",
IF(REGEXMATCH(S63, ""VEJA|Veja""), ""Veja Abril"",
IF(REGEXMATCH(S334, ""Rede Globo|REDE GLOBO""), ""Rede Globo"",
IF(REGEXMATCH(S334, ""G1|globo\."&amp;"com""), ""G1"",
IF(REGEXMATCH(S63, ""Deutsche Welle|DW\.com""), ""Deutsche Welle"",
IF(REGEXMATCH(S63, ""CIDH|Comissão Interamericana""), ""Comissão Interamericana de Direitos Humanos (CIDH)"",
IF(REGEXMATCH(S63, ""Pastoral Carcerária""), ""Pastoral Carce"&amp;"rária"",
IF(REGEXMATCH(S63, ""Esquerda Web""), ""Esquerda Web"",
IF(REGEXMATCH(S63, ""ONU|Organização das Nações Unidas""), ""ONU Brasil"",
IF(REGEXMATCH(S63, ""Quilombo Invisível""), ""Quilombo Invisível"",
IF(REGEXMATCH(S63, ""ALESP|Assembleia Legislati"&amp;"va""), ""ALESP"",
IF(REGEXMATCH(S63, ""Revista Opera""), ""Revista Opera"",
IF(REGEXMATCH(S63, ""SP Escola de Teatro""), ""SP Escola de Teatro"",
IF(REGEXMATCH(S63, ""EMC|Espaço Memória Carandiru""), ""EMC Espaço Memória Carandiru"",
IF(REGEXMATCH(S63, "&amp;"""^RAMOS, Nuno|Nuno Ramos""), ""Nuno Ramos"",
IF(REGEXMATCH(S63, ""^VELOSO, Caetano|Caetano Veloso""), ""YouTube (Caetano Veloso)"",
IF(REGEXMATCH(S63, ""^FATOS REAIS""), ""YouTube (Fatos Reais - Topic)"",
IF(REGEXMATCH(S63, ""^SALA SECRETA""), ""Wordpres"&amp;"s (Sala Secreta)"",
PROPER(REGEXEXTRACT(S63, ""^([^.]*)\.""))
))))))))))))))))))))))))))))))))))))))))))))))))))))))))"),"YouTube (Henrique Vasco)")</f>
        <v>YouTube (Henrique Vasco)</v>
      </c>
      <c r="N63" s="11" t="s">
        <v>47</v>
      </c>
      <c r="O63" s="14" t="s">
        <v>592</v>
      </c>
      <c r="P63" s="186">
        <v>45940.0</v>
      </c>
      <c r="Q63" s="11" t="s">
        <v>154</v>
      </c>
      <c r="R63" s="70" t="str">
        <f t="shared" si="8"/>
        <v>Aqui</v>
      </c>
      <c r="S63" s="172" t="s">
        <v>596</v>
      </c>
    </row>
    <row r="64">
      <c r="A64" s="11">
        <v>62.0</v>
      </c>
      <c r="B64" s="11" t="str">
        <f>IFERROR(__xludf.DUMMYFUNCTION("REGEXEXTRACT(S64, ""\[(.*?)\]"")"),"Documentário")</f>
        <v>Documentário</v>
      </c>
      <c r="C64" s="12" t="str">
        <f>IFERROR(__xludf.DUMMYFUNCTION("IF(B64="""","""",IF(OR(
  REGEXMATCH(B64,""Performance|Instalação|Álbum|Música|Poema|Livro|Filme|Documentário|Recitação|Espetáculo|Peça|Intervenção|Desfile|Fotografia|Exposição|Charge|Grafite|Leitura pública|Fabricação de cachaça artesanal""),
  REGEXMATC"&amp;"H(B64,""dança|teatral|artístico|musical|artística"")
),""Manifestação artístico-cultural"",
IF(OR(
  REGEXMATCH(B64,""Crônica|Série|Reportagem|Podcast|Audiotour|Entrevista|Vídeo|Rádio""),
  REGEXMATCH(B64,""midiática"")
),""Produção midiática"","""")))
"),"Manifestação artístico-cultural")</f>
        <v>Manifestação artístico-cultural</v>
      </c>
      <c r="D64" s="13" t="str">
        <f>IFERROR(__xludf.DUMMYFUNCTION("IF(B64="""","""",IF(OR(
  REGEXMATCH(B64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REGEXMATCH(B64,""público|Imediato|artística|teatral|memória"")
),""Público Imediato"",
IF(REGEXMATCH(B64,""Música|Álbum|Filme|Documentário|Série|Podcast|"&amp;"Rádio|Audiotour|Entrevista|Reportagem|Crônica|Relatório|Abaixo-assinado|Manifesto|Petição|Poema|Livro|Fotografia|Curta|Live|Webinário|Charge|Leitura pública|Vídeo""),
""Público Mediado"","""")))
"),"Público Mediado")</f>
        <v>Público Mediado</v>
      </c>
      <c r="E64" s="13" t="str">
        <f>IFERROR(__xludf.DUMMYFUNCTION("IF(B64="""","""",IF(OR(
  REGEXMATCH(B64,""Live|Webinário|Virtual""),
  REGEXMATCH(B64,""online"")
),""Virtual"",
IF(REGEXMATCH(B64,""Música|Álbum|Filme|Documentário|Série|Podcast|Rádio|Audiotour|Episódio|Reportagem|Curta|Charge|Livro|Vídeo|Entrevista""),"&amp;"
""Midiático"",
IF(REGEXMATCH(B64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4" s="201">
        <f>IFERROR(__xludf.DUMMYFUNCTION("DATE(
  RIGHT(REGEXEXTRACT(S64,""(\d{1,2}\s\w{3}\.\s\d{4})""),4),
  SWITCH(
    REGEXEXTRACT(REGEXEXTRACT(S64,""(\d{1,2}\s\w{3}\.\s\d{4})""),""[a-z]+""),
    ""jan"",1,""fev"",2,""mar"",3,""abr"",4,""mai"",5,""jun"",6,
    ""jul"",7,""ago"",8,""set"",9,"""&amp;"out"",10,""nov"",11,""dez"",12
  ),
  LEFT(REGEXEXTRACT(S64,""(\d{1,2}\s\w{3}\.\s\d{4})""),2)
)"),39999.0)</f>
        <v>39999</v>
      </c>
      <c r="G64" s="15">
        <f t="shared" si="1"/>
        <v>2009</v>
      </c>
      <c r="H64" s="14" t="s">
        <v>23</v>
      </c>
      <c r="I64" s="191" t="s">
        <v>498</v>
      </c>
      <c r="J64" s="202" t="str">
        <f>IFERROR(__xludf.DUMMYFUNCTION("REGEXEXTRACT(S64, ""\.\s(.*?)(?:\.|–)"")"),"Carandiru: Dois lados de um só lugar (Parte 5): Histórias Parte 2")</f>
        <v>Carandiru: Dois lados de um só lugar (Parte 5): Histórias Parte 2</v>
      </c>
      <c r="K64" s="16" t="s">
        <v>83</v>
      </c>
      <c r="L64" s="18" t="s">
        <v>329</v>
      </c>
      <c r="M64" s="15" t="str">
        <f>IFERROR(__xludf.DUMMYFUNCTION("IF(REGEXMATCH(S64, ""Companhia das Letras""), ""Companhia das Letras"",
IF(REGEXMATCH(S64, ""Labortexto Editorial""), ""Labortexto Editorial"",
IF(REGEXMATCH(S64, ""Geração Editorial""), ""Geração Editorial"",
IF(REGEXMATCH(S64, ""Editora Imprensa Oficial"&amp;"|Imprensa Oficial""), ""Editora Imprensa Oficial"",
IF(REGEXMATCH(S64, ""Folha Online""), ""Folha Online"",
IF(REGEXMATCH(S64, ""FGV DIREITO SP|FGV Direito SP""), ""FGV DIREITO SP"",
IF(REGEXMATCH(S64, ""massacrecarandiru\.org\.br""), ""Memória Massacre C"&amp;"arandiru"",
IF(REGEXMATCH(S64, ""Itaú Cultural""), ""YouTube (Itaú Cultural)"",
IF(REGEXMATCH(S64, ""Passa Palavra""), ""Vimeo (Passa Palavra)"",
IF(REGEXMATCH(S64, ""rede2deoutubro\.blogspot""), ""Blogspot (Rede 02 de Outubro)"",
IF(REGEXMATCH(S64, ""Red"&amp;"e TVT""), ""YouTube (Rede TVT)"",
IF(REGEXMATCH(S64, ""Esquerda Diário""), ""Esquerda Diário"",
IF(REGEXMATCH(S64, ""GZH""), ""GZH"",
IF(REGEXMATCH(S64, ""TVPUC""), ""TVPUC"",
IF(REGEXMATCH(S64, ""Mídia Ninja.*Facebook""), ""Facebook (Mídia Ninja)"",
IF(R"&amp;"EGEXMATCH(S64, ""Memórias Carandiru.*Instagram""), ""Instagram (Memórias Carandiru)"",
IF(REGEXMATCH(S64, ""Frente pelo Desencarceramento SP""), ""YouTube (Frente Pelo Desencarceramento SP)"",
IF(REGEXMATCH(S64, ""TV ABA""), ""YouTube (TV ABA)"",
IF(REGEX"&amp;"MATCH(S64, ""TV SENADO""), ""YouTube (TV Senado)"",
IF(REGEXMATCH(S64, ""Google Arts &amp; Culture""), ""Google Arts &amp; Culture (Memória Massacre Carandiru)"",
IF(REGEXMATCH(S64, ""Anistia Internacional|ANISTIA INTERNACIONAL""), ""Anistia Internacional"",
IF(R"&amp;"EGEXMATCH(S64, ""47\.mostra|47a Mostra""), ""47a Mostra Internacional de Cinema em São Paulo"",
IF(REGEXMATCH(S64, ""Canal USP""), ""YouTube (Canal USP)"",
IF(AND(
  REGEXMATCH(S64, ""(?i)(teses?\.usp\.br|dissertacoes?\.usp\.br|repositorio\.usp\.br)""),
 "&amp;" NOT(REGEXMATCH(S64, ""Canal USP""))
), ""Biblioteca Digital de Teses e Dissertações da USP"",
IF(REGEXMATCH(S64, ""SINTRAJUSC""), ""SINTRAJUSC"",
IF(REGEXMATCH(S64, ""Agência Brasil|Agencia Brasil""), ""Agência Brasil"",
IF(REGEXMATCH(S64, ""Brasil de Fa"&amp;"to""), ""Brasil de Fato"",
IF(REGEXMATCH(S64, ""Ponte Jornalismo|pontejornalismo""), ""Ponte Jornalismo"",
IF(REGEXMATCH(S64, ""letras\.mus\.br|Letras,""), ""Letras"",
IF(REGEXMATCH(S64, ""YouTube|youtube""), 
   ""YouTube (""&amp;
   IF(REGEXMATCH(S64, ""It"&amp;"aú Cultural""), ""Itaú Cultural"",
   IF(REGEXMATCH(S64, ""Rede TVT""), ""Rede TVT"",
   IF(REGEXMATCH(S64, ""Frente pelo Desencarceramento SP""), ""Frente Pelo Desencarceramento SP"",
   IF(REGEXMATCH(S64, ""TV ABA""), ""TV ABA"",
   IF(REGEXMATCH(S64, "&amp;"""TV SENADO""), ""TV Senado"",
   IF(REGEXMATCH(S64, ""Canal USP""), ""Canal USP"",
   IF(REGEXMATCH(S64, ""Douer, Zack|Zack Douer""), ""Douer Zack"",
   IF(REGEXMATCH(S64, ""PRISIONEIRO 84\.901|PRISIONEIRO 84""), ""Prisioneiro 84.901"",
   IF(REGEXMATCH("&amp;"S64, ""^[^,]*, ""), 
        PROPER(REGEXREPLACE(REGEXEXTRACT(S64, ""^([^.]*)\.""), ""^([^,]*), (.*)"", ""$2 $1"")),
        PROPER(REGEXEXTRACT(S64, ""^([^.]*)\.""))
   )))))))))&amp;"")"",
IF(REGEXMATCH(S64, ""Spotify|spotify""), 
   ""Spotify (""&amp;
   IF(R"&amp;"EGEXMATCH(S64, ""ESTRANHO SORRISO""), ""Estranho Sorriso"",
   PROPER(REGEXEXTRACT(S64, ""^([^.]*)\.""))
   )&amp;"")"",
IF(REGEXMATCH(S64, ""Vimeo|vimeo""), 
   ""Vimeo (""&amp;
   IF(REGEXMATCH(S64, ""Passa Palavra""), ""Passa Palavra"",
   PROPER(REGEXEXTRACT"&amp;"(S64, ""^([^.]*)\.""))
   )&amp;"")"",
IF(REGEXMATCH(S64, ""Blogspot""), 
   ""Blogspot (""&amp;
   IF(REGEXMATCH(S64, ""rede2deoutubro""), ""Rede 02 de Outubro"",
   PROPER(REGEXEXTRACT(S64, ""^([^.]*)\.""))
   )&amp;"")"",
IF(REGEXMATCH(S64, ""Facebook""), 
   """&amp;"Facebook (""&amp;
   IF(REGEXMATCH(S64, ""Mídia Ninja""), ""Mídia Ninja"",
   PROPER(REGEXEXTRACT(S64, ""^([^.]*)\.""))
   )&amp;"")"",
IF(REGEXMATCH(S64, ""Instagram""), 
   ""Instagram (""&amp;
   IF(REGEXMATCH(S64, ""Memórias Carandiru""), ""Memórias Carandiru"","&amp;"
   PROPER(REGEXEXTRACT(S64, ""^([^.]*)\.""))
   )&amp;"")"",
IF(REGEXMATCH(S64, ""Folha de S\. Paulo|FOLHA DE S\. PAULO""), ""Folha de S. Paulo"",
IF(REGEXMATCH(S64, ""O Estado de S\. Paulo|ESTADAO""), ""O Estado de S. Paulo"",
IF(REGEXMATCH(S64, ""salasecr"&amp;"eta""), ""Wordpress (Sala Secreta)"",
IF(REGEXMATCH(S64, ""Wikipedia|Wikipédia|WIKIPÉDIA""), ""Wikipedia"",
IF(REGEXMATCH(S64, ""VEJA|Veja""), ""Veja Abril"",
IF(REGEXMATCH(S335, ""Rede Globo|REDE GLOBO""), ""Rede Globo"",
IF(REGEXMATCH(S335, ""G1|globo\."&amp;"com""), ""G1"",
IF(REGEXMATCH(S64, ""Deutsche Welle|DW\.com""), ""Deutsche Welle"",
IF(REGEXMATCH(S64, ""CIDH|Comissão Interamericana""), ""Comissão Interamericana de Direitos Humanos (CIDH)"",
IF(REGEXMATCH(S64, ""Pastoral Carcerária""), ""Pastoral Carce"&amp;"rária"",
IF(REGEXMATCH(S64, ""Esquerda Web""), ""Esquerda Web"",
IF(REGEXMATCH(S64, ""ONU|Organização das Nações Unidas""), ""ONU Brasil"",
IF(REGEXMATCH(S64, ""Quilombo Invisível""), ""Quilombo Invisível"",
IF(REGEXMATCH(S64, ""ALESP|Assembleia Legislati"&amp;"va""), ""ALESP"",
IF(REGEXMATCH(S64, ""Revista Opera""), ""Revista Opera"",
IF(REGEXMATCH(S64, ""SP Escola de Teatro""), ""SP Escola de Teatro"",
IF(REGEXMATCH(S64, ""EMC|Espaço Memória Carandiru""), ""EMC Espaço Memória Carandiru"",
IF(REGEXMATCH(S64, "&amp;"""^RAMOS, Nuno|Nuno Ramos""), ""Nuno Ramos"",
IF(REGEXMATCH(S64, ""^VELOSO, Caetano|Caetano Veloso""), ""YouTube (Caetano Veloso)"",
IF(REGEXMATCH(S64, ""^FATOS REAIS""), ""YouTube (Fatos Reais - Topic)"",
IF(REGEXMATCH(S64, ""^SALA SECRETA""), ""Wordpres"&amp;"s (Sala Secreta)"",
PROPER(REGEXEXTRACT(S64, ""^([^.]*)\.""))
))))))))))))))))))))))))))))))))))))))))))))))))))))))))"),"YouTube (Henrique Vasco)")</f>
        <v>YouTube (Henrique Vasco)</v>
      </c>
      <c r="N64" s="11" t="s">
        <v>47</v>
      </c>
      <c r="O64" s="14" t="s">
        <v>592</v>
      </c>
      <c r="P64" s="186">
        <v>45940.0</v>
      </c>
      <c r="Q64" s="11" t="s">
        <v>154</v>
      </c>
      <c r="R64" s="70" t="str">
        <f t="shared" si="8"/>
        <v>Aqui</v>
      </c>
      <c r="S64" s="172" t="s">
        <v>597</v>
      </c>
    </row>
    <row r="65">
      <c r="A65" s="11">
        <v>63.0</v>
      </c>
      <c r="B65" s="11" t="str">
        <f>IFERROR(__xludf.DUMMYFUNCTION("REGEXEXTRACT(S65, ""\[(.*?)\]"")"),"Documentário")</f>
        <v>Documentário</v>
      </c>
      <c r="C65" s="12" t="str">
        <f>IFERROR(__xludf.DUMMYFUNCTION("IF(B65="""","""",IF(OR(
  REGEXMATCH(B65,""Performance|Instalação|Álbum|Música|Poema|Livro|Filme|Documentário|Recitação|Espetáculo|Peça|Intervenção|Desfile|Fotografia|Exposição|Charge|Grafite|Leitura pública|Fabricação de cachaça artesanal""),
  REGEXMATC"&amp;"H(B65,""dança|teatral|artístico|musical|artística"")
),""Manifestação artístico-cultural"",
IF(OR(
  REGEXMATCH(B65,""Crônica|Série|Reportagem|Podcast|Audiotour|Entrevista|Vídeo|Rádio""),
  REGEXMATCH(B65,""midiática"")
),""Produção midiática"","""")))
"),"Manifestação artístico-cultural")</f>
        <v>Manifestação artístico-cultural</v>
      </c>
      <c r="D65" s="13" t="str">
        <f>IFERROR(__xludf.DUMMYFUNCTION("IF(B65="""","""",IF(OR(
  REGEXMATCH(B65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REGEXMATCH(B65,""público|Imediato|artística|teatral|memória"")
),""Público Imediato"",
IF(REGEXMATCH(B65,""Música|Álbum|Filme|Documentário|Série|Podcast|"&amp;"Rádio|Audiotour|Entrevista|Reportagem|Crônica|Relatório|Abaixo-assinado|Manifesto|Petição|Poema|Livro|Fotografia|Curta|Live|Webinário|Charge|Leitura pública|Vídeo""),
""Público Mediado"","""")))
"),"Público Mediado")</f>
        <v>Público Mediado</v>
      </c>
      <c r="E65" s="13" t="str">
        <f>IFERROR(__xludf.DUMMYFUNCTION("IF(B65="""","""",IF(OR(
  REGEXMATCH(B65,""Live|Webinário|Virtual""),
  REGEXMATCH(B65,""online"")
),""Virtual"",
IF(REGEXMATCH(B65,""Música|Álbum|Filme|Documentário|Série|Podcast|Rádio|Audiotour|Episódio|Reportagem|Curta|Charge|Livro|Vídeo|Entrevista""),"&amp;"
""Midiático"",
IF(REGEXMATCH(B65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5" s="201">
        <f>IFERROR(__xludf.DUMMYFUNCTION("DATE(
  RIGHT(REGEXEXTRACT(S65,""(\d{1,2}\s\w{3}\.\s\d{4})""),4),
  SWITCH(
    REGEXEXTRACT(REGEXEXTRACT(S65,""(\d{1,2}\s\w{3}\.\s\d{4})""),""[a-z]+""),
    ""jan"",1,""fev"",2,""mar"",3,""abr"",4,""mai"",5,""jun"",6,
    ""jul"",7,""ago"",8,""set"",9,"""&amp;"out"",10,""nov"",11,""dez"",12
  ),
  LEFT(REGEXEXTRACT(S65,""(\d{1,2}\s\w{3}\.\s\d{4})""),2)
)"),39999.0)</f>
        <v>39999</v>
      </c>
      <c r="G65" s="15">
        <f t="shared" si="1"/>
        <v>2009</v>
      </c>
      <c r="H65" s="14" t="s">
        <v>23</v>
      </c>
      <c r="I65" s="191" t="s">
        <v>498</v>
      </c>
      <c r="J65" s="202" t="str">
        <f>IFERROR(__xludf.DUMMYFUNCTION("REGEXEXTRACT(S65, ""\.\s(.*?)(?:\.|–)"")"),"Carandiru: Dois lados de um só lugar (Parte Final): Lei própria")</f>
        <v>Carandiru: Dois lados de um só lugar (Parte Final): Lei própria</v>
      </c>
      <c r="K65" s="16" t="s">
        <v>83</v>
      </c>
      <c r="L65" s="18" t="s">
        <v>329</v>
      </c>
      <c r="M65" s="15" t="str">
        <f>IFERROR(__xludf.DUMMYFUNCTION("IF(REGEXMATCH(S65, ""Companhia das Letras""), ""Companhia das Letras"",
IF(REGEXMATCH(S65, ""Labortexto Editorial""), ""Labortexto Editorial"",
IF(REGEXMATCH(S65, ""Geração Editorial""), ""Geração Editorial"",
IF(REGEXMATCH(S65, ""Editora Imprensa Oficial"&amp;"|Imprensa Oficial""), ""Editora Imprensa Oficial"",
IF(REGEXMATCH(S65, ""Folha Online""), ""Folha Online"",
IF(REGEXMATCH(S65, ""FGV DIREITO SP|FGV Direito SP""), ""FGV DIREITO SP"",
IF(REGEXMATCH(S65, ""massacrecarandiru\.org\.br""), ""Memória Massacre C"&amp;"arandiru"",
IF(REGEXMATCH(S65, ""Itaú Cultural""), ""YouTube (Itaú Cultural)"",
IF(REGEXMATCH(S65, ""Passa Palavra""), ""Vimeo (Passa Palavra)"",
IF(REGEXMATCH(S65, ""rede2deoutubro\.blogspot""), ""Blogspot (Rede 02 de Outubro)"",
IF(REGEXMATCH(S65, ""Red"&amp;"e TVT""), ""YouTube (Rede TVT)"",
IF(REGEXMATCH(S65, ""Esquerda Diário""), ""Esquerda Diário"",
IF(REGEXMATCH(S65, ""GZH""), ""GZH"",
IF(REGEXMATCH(S65, ""TVPUC""), ""TVPUC"",
IF(REGEXMATCH(S65, ""Mídia Ninja.*Facebook""), ""Facebook (Mídia Ninja)"",
IF(R"&amp;"EGEXMATCH(S65, ""Memórias Carandiru.*Instagram""), ""Instagram (Memórias Carandiru)"",
IF(REGEXMATCH(S65, ""Frente pelo Desencarceramento SP""), ""YouTube (Frente Pelo Desencarceramento SP)"",
IF(REGEXMATCH(S65, ""TV ABA""), ""YouTube (TV ABA)"",
IF(REGEX"&amp;"MATCH(S65, ""TV SENADO""), ""YouTube (TV Senado)"",
IF(REGEXMATCH(S65, ""Google Arts &amp; Culture""), ""Google Arts &amp; Culture (Memória Massacre Carandiru)"",
IF(REGEXMATCH(S65, ""Anistia Internacional|ANISTIA INTERNACIONAL""), ""Anistia Internacional"",
IF(R"&amp;"EGEXMATCH(S65, ""47\.mostra|47a Mostra""), ""47a Mostra Internacional de Cinema em São Paulo"",
IF(REGEXMATCH(S65, ""Canal USP""), ""YouTube (Canal USP)"",
IF(AND(
  REGEXMATCH(S65, ""(?i)(teses?\.usp\.br|dissertacoes?\.usp\.br|repositorio\.usp\.br)""),
 "&amp;" NOT(REGEXMATCH(S65, ""Canal USP""))
), ""Biblioteca Digital de Teses e Dissertações da USP"",
IF(REGEXMATCH(S65, ""SINTRAJUSC""), ""SINTRAJUSC"",
IF(REGEXMATCH(S65, ""Agência Brasil|Agencia Brasil""), ""Agência Brasil"",
IF(REGEXMATCH(S65, ""Brasil de Fa"&amp;"to""), ""Brasil de Fato"",
IF(REGEXMATCH(S65, ""Ponte Jornalismo|pontejornalismo""), ""Ponte Jornalismo"",
IF(REGEXMATCH(S65, ""letras\.mus\.br|Letras,""), ""Letras"",
IF(REGEXMATCH(S65, ""YouTube|youtube""), 
   ""YouTube (""&amp;
   IF(REGEXMATCH(S65, ""It"&amp;"aú Cultural""), ""Itaú Cultural"",
   IF(REGEXMATCH(S65, ""Rede TVT""), ""Rede TVT"",
   IF(REGEXMATCH(S65, ""Frente pelo Desencarceramento SP""), ""Frente Pelo Desencarceramento SP"",
   IF(REGEXMATCH(S65, ""TV ABA""), ""TV ABA"",
   IF(REGEXMATCH(S65, "&amp;"""TV SENADO""), ""TV Senado"",
   IF(REGEXMATCH(S65, ""Canal USP""), ""Canal USP"",
   IF(REGEXMATCH(S65, ""Douer, Zack|Zack Douer""), ""Douer Zack"",
   IF(REGEXMATCH(S65, ""PRISIONEIRO 84\.901|PRISIONEIRO 84""), ""Prisioneiro 84.901"",
   IF(REGEXMATCH("&amp;"S65, ""^[^,]*, ""), 
        PROPER(REGEXREPLACE(REGEXEXTRACT(S65, ""^([^.]*)\.""), ""^([^,]*), (.*)"", ""$2 $1"")),
        PROPER(REGEXEXTRACT(S65, ""^([^.]*)\.""))
   )))))))))&amp;"")"",
IF(REGEXMATCH(S65, ""Spotify|spotify""), 
   ""Spotify (""&amp;
   IF(R"&amp;"EGEXMATCH(S65, ""ESTRANHO SORRISO""), ""Estranho Sorriso"",
   PROPER(REGEXEXTRACT(S65, ""^([^.]*)\.""))
   )&amp;"")"",
IF(REGEXMATCH(S65, ""Vimeo|vimeo""), 
   ""Vimeo (""&amp;
   IF(REGEXMATCH(S65, ""Passa Palavra""), ""Passa Palavra"",
   PROPER(REGEXEXTRACT"&amp;"(S65, ""^([^.]*)\.""))
   )&amp;"")"",
IF(REGEXMATCH(S65, ""Blogspot""), 
   ""Blogspot (""&amp;
   IF(REGEXMATCH(S65, ""rede2deoutubro""), ""Rede 02 de Outubro"",
   PROPER(REGEXEXTRACT(S65, ""^([^.]*)\.""))
   )&amp;"")"",
IF(REGEXMATCH(S65, ""Facebook""), 
   """&amp;"Facebook (""&amp;
   IF(REGEXMATCH(S65, ""Mídia Ninja""), ""Mídia Ninja"",
   PROPER(REGEXEXTRACT(S65, ""^([^.]*)\.""))
   )&amp;"")"",
IF(REGEXMATCH(S65, ""Instagram""), 
   ""Instagram (""&amp;
   IF(REGEXMATCH(S65, ""Memórias Carandiru""), ""Memórias Carandiru"","&amp;"
   PROPER(REGEXEXTRACT(S65, ""^([^.]*)\.""))
   )&amp;"")"",
IF(REGEXMATCH(S65, ""Folha de S\. Paulo|FOLHA DE S\. PAULO""), ""Folha de S. Paulo"",
IF(REGEXMATCH(S65, ""O Estado de S\. Paulo|ESTADAO""), ""O Estado de S. Paulo"",
IF(REGEXMATCH(S65, ""salasecr"&amp;"eta""), ""Wordpress (Sala Secreta)"",
IF(REGEXMATCH(S65, ""Wikipedia|Wikipédia|WIKIPÉDIA""), ""Wikipedia"",
IF(REGEXMATCH(S65, ""VEJA|Veja""), ""Veja Abril"",
IF(REGEXMATCH(S336, ""Rede Globo|REDE GLOBO""), ""Rede Globo"",
IF(REGEXMATCH(S336, ""G1|globo\."&amp;"com""), ""G1"",
IF(REGEXMATCH(S65, ""Deutsche Welle|DW\.com""), ""Deutsche Welle"",
IF(REGEXMATCH(S65, ""CIDH|Comissão Interamericana""), ""Comissão Interamericana de Direitos Humanos (CIDH)"",
IF(REGEXMATCH(S65, ""Pastoral Carcerária""), ""Pastoral Carce"&amp;"rária"",
IF(REGEXMATCH(S65, ""Esquerda Web""), ""Esquerda Web"",
IF(REGEXMATCH(S65, ""ONU|Organização das Nações Unidas""), ""ONU Brasil"",
IF(REGEXMATCH(S65, ""Quilombo Invisível""), ""Quilombo Invisível"",
IF(REGEXMATCH(S65, ""ALESP|Assembleia Legislati"&amp;"va""), ""ALESP"",
IF(REGEXMATCH(S65, ""Revista Opera""), ""Revista Opera"",
IF(REGEXMATCH(S65, ""SP Escola de Teatro""), ""SP Escola de Teatro"",
IF(REGEXMATCH(S65, ""EMC|Espaço Memória Carandiru""), ""EMC Espaço Memória Carandiru"",
IF(REGEXMATCH(S65, "&amp;"""^RAMOS, Nuno|Nuno Ramos""), ""Nuno Ramos"",
IF(REGEXMATCH(S65, ""^VELOSO, Caetano|Caetano Veloso""), ""YouTube (Caetano Veloso)"",
IF(REGEXMATCH(S65, ""^FATOS REAIS""), ""YouTube (Fatos Reais - Topic)"",
IF(REGEXMATCH(S65, ""^SALA SECRETA""), ""Wordpres"&amp;"s (Sala Secreta)"",
PROPER(REGEXEXTRACT(S65, ""^([^.]*)\.""))
))))))))))))))))))))))))))))))))))))))))))))))))))))))))"),"YouTube (Henrique Vasco)")</f>
        <v>YouTube (Henrique Vasco)</v>
      </c>
      <c r="N65" s="11" t="s">
        <v>47</v>
      </c>
      <c r="O65" s="14" t="s">
        <v>592</v>
      </c>
      <c r="P65" s="186">
        <v>45940.0</v>
      </c>
      <c r="Q65" s="11" t="s">
        <v>154</v>
      </c>
      <c r="R65" s="70" t="str">
        <f t="shared" si="8"/>
        <v>Aqui</v>
      </c>
      <c r="S65" s="172" t="s">
        <v>598</v>
      </c>
    </row>
    <row r="66">
      <c r="A66" s="11">
        <v>64.0</v>
      </c>
      <c r="B66" s="11" t="str">
        <f>IFERROR(__xludf.DUMMYFUNCTION("REGEXEXTRACT(S66, ""\[(.*?)\]"")"),"Documentário")</f>
        <v>Documentário</v>
      </c>
      <c r="C66" s="12" t="str">
        <f>IFERROR(__xludf.DUMMYFUNCTION("IF(B66="""","""",IF(OR(
  REGEXMATCH(B66,""Performance|Instalação|Álbum|Música|Poema|Livro|Filme|Documentário|Recitação|Espetáculo|Peça|Intervenção|Desfile|Fotografia|Exposição|Charge|Grafite|Leitura pública|Fabricação de cachaça artesanal""),
  REGEXMATC"&amp;"H(B66,""dança|teatral|artístico|musical|artística"")
),""Manifestação artístico-cultural"",
IF(OR(
  REGEXMATCH(B66,""Crônica|Série|Reportagem|Podcast|Audiotour|Entrevista|Vídeo|Rádio""),
  REGEXMATCH(B66,""midiática"")
),""Produção midiática"","""")))
"),"Manifestação artístico-cultural")</f>
        <v>Manifestação artístico-cultural</v>
      </c>
      <c r="D66" s="13" t="str">
        <f>IFERROR(__xludf.DUMMYFUNCTION("IF(B66="""","""",IF(OR(
  REGEXMATCH(B66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REGEXMATCH(B66,""público|Imediato|artística|teatral|memória"")
),""Público Imediato"",
IF(REGEXMATCH(B66,""Música|Álbum|Filme|Documentário|Série|Podcast|"&amp;"Rádio|Audiotour|Entrevista|Reportagem|Crônica|Relatório|Abaixo-assinado|Manifesto|Petição|Poema|Livro|Fotografia|Curta|Live|Webinário|Charge|Leitura pública|Vídeo""),
""Público Mediado"","""")))
"),"Público Mediado")</f>
        <v>Público Mediado</v>
      </c>
      <c r="E66" s="13" t="str">
        <f>IFERROR(__xludf.DUMMYFUNCTION("IF(B66="""","""",IF(OR(
  REGEXMATCH(B66,""Live|Webinário|Virtual""),
  REGEXMATCH(B66,""online"")
),""Virtual"",
IF(REGEXMATCH(B66,""Música|Álbum|Filme|Documentário|Série|Podcast|Rádio|Audiotour|Episódio|Reportagem|Curta|Charge|Livro|Vídeo|Entrevista""),"&amp;"
""Midiático"",
IF(REGEXMATCH(B66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6" s="201">
        <v>39944.0</v>
      </c>
      <c r="G66" s="15">
        <f t="shared" si="1"/>
        <v>2009</v>
      </c>
      <c r="H66" s="14" t="s">
        <v>23</v>
      </c>
      <c r="I66" s="16" t="s">
        <v>599</v>
      </c>
      <c r="J66" s="202" t="str">
        <f>IFERROR(__xludf.DUMMYFUNCTION("REGEXEXTRACT(S66, ""\.\s(.*?)(?:\.|–)"")"),"Relatos do Carandiru ")</f>
        <v>Relatos do Carandiru </v>
      </c>
      <c r="K66" s="16" t="s">
        <v>83</v>
      </c>
      <c r="L66" s="18" t="s">
        <v>329</v>
      </c>
      <c r="M66" s="15" t="str">
        <f>IFERROR(__xludf.DUMMYFUNCTION("IF(REGEXMATCH(S66, ""Companhia das Letras""), ""Companhia das Letras"",
IF(REGEXMATCH(S66, ""Labortexto Editorial""), ""Labortexto Editorial"",
IF(REGEXMATCH(S66, ""Geração Editorial""), ""Geração Editorial"",
IF(REGEXMATCH(S66, ""Editora Imprensa Oficial"&amp;"|Imprensa Oficial""), ""Editora Imprensa Oficial"",
IF(REGEXMATCH(S66, ""Folha Online""), ""Folha Online"",
IF(REGEXMATCH(S66, ""FGV DIREITO SP|FGV Direito SP""), ""FGV DIREITO SP"",
IF(REGEXMATCH(S66, ""massacrecarandiru\.org\.br""), ""Memória Massacre C"&amp;"arandiru"",
IF(REGEXMATCH(S66, ""Itaú Cultural""), ""YouTube (Itaú Cultural)"",
IF(REGEXMATCH(S66, ""Passa Palavra""), ""Vimeo (Passa Palavra)"",
IF(REGEXMATCH(S66, ""rede2deoutubro\.blogspot""), ""Blogspot (Rede 02 de Outubro)"",
IF(REGEXMATCH(S66, ""Red"&amp;"e TVT""), ""YouTube (Rede TVT)"",
IF(REGEXMATCH(S66, ""Esquerda Diário""), ""Esquerda Diário"",
IF(REGEXMATCH(S66, ""GZH""), ""GZH"",
IF(REGEXMATCH(S66, ""TVPUC""), ""TVPUC"",
IF(REGEXMATCH(S66, ""Mídia Ninja.*Facebook""), ""Facebook (Mídia Ninja)"",
IF(R"&amp;"EGEXMATCH(S66, ""Memórias Carandiru.*Instagram""), ""Instagram (Memórias Carandiru)"",
IF(REGEXMATCH(S66, ""Frente pelo Desencarceramento SP""), ""YouTube (Frente Pelo Desencarceramento SP)"",
IF(REGEXMATCH(S66, ""TV ABA""), ""YouTube (TV ABA)"",
IF(REGEX"&amp;"MATCH(S66, ""TV SENADO""), ""YouTube (TV Senado)"",
IF(REGEXMATCH(S66, ""Google Arts &amp; Culture""), ""Google Arts &amp; Culture (Memória Massacre Carandiru)"",
IF(REGEXMATCH(S66, ""Anistia Internacional|ANISTIA INTERNACIONAL""), ""Anistia Internacional"",
IF(R"&amp;"EGEXMATCH(S66, ""47\.mostra|47a Mostra""), ""47a Mostra Internacional de Cinema em São Paulo"",
IF(REGEXMATCH(S66, ""Canal USP""), ""YouTube (Canal USP)"",
IF(AND(
  REGEXMATCH(S66, ""(?i)(teses?\.usp\.br|dissertacoes?\.usp\.br|repositorio\.usp\.br)""),
 "&amp;" NOT(REGEXMATCH(S66, ""Canal USP""))
), ""Biblioteca Digital de Teses e Dissertações da USP"",
IF(REGEXMATCH(S66, ""SINTRAJUSC""), ""SINTRAJUSC"",
IF(REGEXMATCH(S66, ""Agência Brasil|Agencia Brasil""), ""Agência Brasil"",
IF(REGEXMATCH(S66, ""Brasil de Fa"&amp;"to""), ""Brasil de Fato"",
IF(REGEXMATCH(S66, ""Ponte Jornalismo|pontejornalismo""), ""Ponte Jornalismo"",
IF(REGEXMATCH(S66, ""letras\.mus\.br|Letras,""), ""Letras"",
IF(REGEXMATCH(S66, ""YouTube|youtube""), 
   ""YouTube (""&amp;
   IF(REGEXMATCH(S66, ""It"&amp;"aú Cultural""), ""Itaú Cultural"",
   IF(REGEXMATCH(S66, ""Rede TVT""), ""Rede TVT"",
   IF(REGEXMATCH(S66, ""Frente pelo Desencarceramento SP""), ""Frente Pelo Desencarceramento SP"",
   IF(REGEXMATCH(S66, ""TV ABA""), ""TV ABA"",
   IF(REGEXMATCH(S66, "&amp;"""TV SENADO""), ""TV Senado"",
   IF(REGEXMATCH(S66, ""Canal USP""), ""Canal USP"",
   IF(REGEXMATCH(S66, ""Douer, Zack|Zack Douer""), ""Douer Zack"",
   IF(REGEXMATCH(S66, ""PRISIONEIRO 84\.901|PRISIONEIRO 84""), ""Prisioneiro 84.901"",
   IF(REGEXMATCH("&amp;"S66, ""^[^,]*, ""), 
        PROPER(REGEXREPLACE(REGEXEXTRACT(S66, ""^([^.]*)\.""), ""^([^,]*), (.*)"", ""$2 $1"")),
        PROPER(REGEXEXTRACT(S66, ""^([^.]*)\.""))
   )))))))))&amp;"")"",
IF(REGEXMATCH(S66, ""Spotify|spotify""), 
   ""Spotify (""&amp;
   IF(R"&amp;"EGEXMATCH(S66, ""ESTRANHO SORRISO""), ""Estranho Sorriso"",
   PROPER(REGEXEXTRACT(S66, ""^([^.]*)\.""))
   )&amp;"")"",
IF(REGEXMATCH(S66, ""Vimeo|vimeo""), 
   ""Vimeo (""&amp;
   IF(REGEXMATCH(S66, ""Passa Palavra""), ""Passa Palavra"",
   PROPER(REGEXEXTRACT"&amp;"(S66, ""^([^.]*)\.""))
   )&amp;"")"",
IF(REGEXMATCH(S66, ""Blogspot""), 
   ""Blogspot (""&amp;
   IF(REGEXMATCH(S66, ""rede2deoutubro""), ""Rede 02 de Outubro"",
   PROPER(REGEXEXTRACT(S66, ""^([^.]*)\.""))
   )&amp;"")"",
IF(REGEXMATCH(S66, ""Facebook""), 
   """&amp;"Facebook (""&amp;
   IF(REGEXMATCH(S66, ""Mídia Ninja""), ""Mídia Ninja"",
   PROPER(REGEXEXTRACT(S66, ""^([^.]*)\.""))
   )&amp;"")"",
IF(REGEXMATCH(S66, ""Instagram""), 
   ""Instagram (""&amp;
   IF(REGEXMATCH(S66, ""Memórias Carandiru""), ""Memórias Carandiru"","&amp;"
   PROPER(REGEXEXTRACT(S66, ""^([^.]*)\.""))
   )&amp;"")"",
IF(REGEXMATCH(S66, ""Folha de S\. Paulo|FOLHA DE S\. PAULO""), ""Folha de S. Paulo"",
IF(REGEXMATCH(S66, ""O Estado de S\. Paulo|ESTADAO""), ""O Estado de S. Paulo"",
IF(REGEXMATCH(S66, ""salasecr"&amp;"eta""), ""Wordpress (Sala Secreta)"",
IF(REGEXMATCH(S66, ""Wikipedia|Wikipédia|WIKIPÉDIA""), ""Wikipedia"",
IF(REGEXMATCH(S66, ""VEJA|Veja""), ""Veja Abril"",
IF(REGEXMATCH(S337, ""Rede Globo|REDE GLOBO""), ""Rede Globo"",
IF(REGEXMATCH(S337, ""G1|globo\."&amp;"com""), ""G1"",
IF(REGEXMATCH(S66, ""Deutsche Welle|DW\.com""), ""Deutsche Welle"",
IF(REGEXMATCH(S66, ""CIDH|Comissão Interamericana""), ""Comissão Interamericana de Direitos Humanos (CIDH)"",
IF(REGEXMATCH(S66, ""Pastoral Carcerária""), ""Pastoral Carce"&amp;"rária"",
IF(REGEXMATCH(S66, ""Esquerda Web""), ""Esquerda Web"",
IF(REGEXMATCH(S66, ""ONU|Organização das Nações Unidas""), ""ONU Brasil"",
IF(REGEXMATCH(S66, ""Quilombo Invisível""), ""Quilombo Invisível"",
IF(REGEXMATCH(S66, ""ALESP|Assembleia Legislati"&amp;"va""), ""ALESP"",
IF(REGEXMATCH(S66, ""Revista Opera""), ""Revista Opera"",
IF(REGEXMATCH(S66, ""SP Escola de Teatro""), ""SP Escola de Teatro"",
IF(REGEXMATCH(S66, ""EMC|Espaço Memória Carandiru""), ""EMC Espaço Memória Carandiru"",
IF(REGEXMATCH(S66, "&amp;"""^RAMOS, Nuno|Nuno Ramos""), ""Nuno Ramos"",
IF(REGEXMATCH(S66, ""^VELOSO, Caetano|Caetano Veloso""), ""YouTube (Caetano Veloso)"",
IF(REGEXMATCH(S66, ""^FATOS REAIS""), ""YouTube (Fatos Reais - Topic)"",
IF(REGEXMATCH(S66, ""^SALA SECRETA""), ""Wordpres"&amp;"s (Sala Secreta)"",
PROPER(REGEXEXTRACT(S66, ""^([^.]*)\.""))
))))))))))))))))))))))))))))))))))))))))))))))))))))))))"),"FGV DIREITO SP")</f>
        <v>FGV DIREITO SP</v>
      </c>
      <c r="N66" s="11" t="s">
        <v>47</v>
      </c>
      <c r="O66" s="14" t="s">
        <v>592</v>
      </c>
      <c r="P66" s="186">
        <v>45940.0</v>
      </c>
      <c r="Q66" s="11" t="s">
        <v>154</v>
      </c>
      <c r="R66" s="70" t="str">
        <f t="shared" si="8"/>
        <v>Aqui</v>
      </c>
      <c r="S66" s="172" t="s">
        <v>600</v>
      </c>
    </row>
    <row r="67">
      <c r="A67" s="11">
        <v>65.0</v>
      </c>
      <c r="B67" s="11" t="str">
        <f>IFERROR(__xludf.DUMMYFUNCTION("REGEXEXTRACT(S67, ""\[(.*?)\]"")"),"Entrevista")</f>
        <v>Entrevista</v>
      </c>
      <c r="C67" s="12" t="str">
        <f>IFERROR(__xludf.DUMMYFUNCTION("IF(B67="""","""",IF(OR(
  REGEXMATCH(B67,""Performance|Instalação|Álbum|Música|Poema|Livro|Filme|Documentário|Recitação|Espetáculo|Peça|Intervenção|Desfile|Fotografia|Exposição|Charge|Grafite|Leitura pública|Fabricação de cachaça artesanal""),
  REGEXMATC"&amp;"H(B67,""dança|teatral|artístico|musical|artística"")
),""Manifestação artístico-cultural"",
IF(OR(
  REGEXMATCH(B67,""Crônica|Série|Reportagem|Podcast|Audiotour|Entrevista|Vídeo|Rádio""),
  REGEXMATCH(B67,""midiática"")
),""Produção midiática"","""")))
"),"Produção midiática")</f>
        <v>Produção midiática</v>
      </c>
      <c r="D67" s="13" t="str">
        <f>IFERROR(__xludf.DUMMYFUNCTION("IF(B67="""","""",IF(OR(
  REGEXMATCH(B67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REGEXMATCH(B67,""público|Imediato|artística|teatral|memória"")
),""Público Imediato"",
IF(REGEXMATCH(B67,""Música|Álbum|Filme|Documentário|Série|Podcast|"&amp;"Rádio|Audiotour|Entrevista|Reportagem|Crônica|Relatório|Abaixo-assinado|Manifesto|Petição|Poema|Livro|Fotografia|Curta|Live|Webinário|Charge|Leitura pública|Vídeo""),
""Público Mediado"","""")))
"),"Público Mediado")</f>
        <v>Público Mediado</v>
      </c>
      <c r="E67" s="13" t="str">
        <f>IFERROR(__xludf.DUMMYFUNCTION("IF(B67="""","""",IF(OR(
  REGEXMATCH(B67,""Live|Webinário|Virtual""),
  REGEXMATCH(B67,""online"")
),""Virtual"",
IF(REGEXMATCH(B67,""Música|Álbum|Filme|Documentário|Série|Podcast|Rádio|Audiotour|Episódio|Reportagem|Curta|Charge|Livro|Vídeo|Entrevista""),"&amp;"
""Midiático"",
IF(REGEXMATCH(B67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7" s="201">
        <v>40147.0</v>
      </c>
      <c r="G67" s="15">
        <f t="shared" si="1"/>
        <v>2009</v>
      </c>
      <c r="H67" s="14" t="s">
        <v>23</v>
      </c>
      <c r="I67" s="191" t="s">
        <v>498</v>
      </c>
      <c r="J67" s="202" t="str">
        <f>IFERROR(__xludf.DUMMYFUNCTION("REGEXEXTRACT(S67, ""\.\s(.*?)(?:\.|–)"")"),"Massacre do Carandiru")</f>
        <v>Massacre do Carandiru</v>
      </c>
      <c r="K67" s="16" t="s">
        <v>83</v>
      </c>
      <c r="L67" s="18" t="s">
        <v>329</v>
      </c>
      <c r="M67" s="15" t="str">
        <f>IFERROR(__xludf.DUMMYFUNCTION("IF(REGEXMATCH(S67, ""Companhia das Letras""), ""Companhia das Letras"",
IF(REGEXMATCH(S67, ""Labortexto Editorial""), ""Labortexto Editorial"",
IF(REGEXMATCH(S67, ""Geração Editorial""), ""Geração Editorial"",
IF(REGEXMATCH(S67, ""Editora Imprensa Oficial"&amp;"|Imprensa Oficial""), ""Editora Imprensa Oficial"",
IF(REGEXMATCH(S67, ""Folha Online""), ""Folha Online"",
IF(REGEXMATCH(S67, ""FGV DIREITO SP|FGV Direito SP""), ""FGV DIREITO SP"",
IF(REGEXMATCH(S67, ""massacrecarandiru\.org\.br""), ""Memória Massacre C"&amp;"arandiru"",
IF(REGEXMATCH(S67, ""Itaú Cultural""), ""YouTube (Itaú Cultural)"",
IF(REGEXMATCH(S67, ""Passa Palavra""), ""Vimeo (Passa Palavra)"",
IF(REGEXMATCH(S67, ""rede2deoutubro\.blogspot""), ""Blogspot (Rede 02 de Outubro)"",
IF(REGEXMATCH(S67, ""Red"&amp;"e TVT""), ""YouTube (Rede TVT)"",
IF(REGEXMATCH(S67, ""Esquerda Diário""), ""Esquerda Diário"",
IF(REGEXMATCH(S67, ""GZH""), ""GZH"",
IF(REGEXMATCH(S67, ""TVPUC""), ""TVPUC"",
IF(REGEXMATCH(S67, ""Mídia Ninja.*Facebook""), ""Facebook (Mídia Ninja)"",
IF(R"&amp;"EGEXMATCH(S67, ""Memórias Carandiru.*Instagram""), ""Instagram (Memórias Carandiru)"",
IF(REGEXMATCH(S67, ""Frente pelo Desencarceramento SP""), ""YouTube (Frente Pelo Desencarceramento SP)"",
IF(REGEXMATCH(S67, ""TV ABA""), ""YouTube (TV ABA)"",
IF(REGEX"&amp;"MATCH(S67, ""TV SENADO""), ""YouTube (TV Senado)"",
IF(REGEXMATCH(S67, ""Google Arts &amp; Culture""), ""Google Arts &amp; Culture (Memória Massacre Carandiru)"",
IF(REGEXMATCH(S67, ""Anistia Internacional|ANISTIA INTERNACIONAL""), ""Anistia Internacional"",
IF(R"&amp;"EGEXMATCH(S67, ""47\.mostra|47a Mostra""), ""47a Mostra Internacional de Cinema em São Paulo"",
IF(REGEXMATCH(S67, ""Canal USP""), ""YouTube (Canal USP)"",
IF(AND(
  REGEXMATCH(S67, ""(?i)(teses?\.usp\.br|dissertacoes?\.usp\.br|repositorio\.usp\.br)""),
 "&amp;" NOT(REGEXMATCH(S67, ""Canal USP""))
), ""Biblioteca Digital de Teses e Dissertações da USP"",
IF(REGEXMATCH(S67, ""SINTRAJUSC""), ""SINTRAJUSC"",
IF(REGEXMATCH(S67, ""Agência Brasil|Agencia Brasil""), ""Agência Brasil"",
IF(REGEXMATCH(S67, ""Brasil de Fa"&amp;"to""), ""Brasil de Fato"",
IF(REGEXMATCH(S67, ""Ponte Jornalismo|pontejornalismo""), ""Ponte Jornalismo"",
IF(REGEXMATCH(S67, ""letras\.mus\.br|Letras,""), ""Letras"",
IF(REGEXMATCH(S67, ""YouTube|youtube""), 
   ""YouTube (""&amp;
   IF(REGEXMATCH(S67, ""It"&amp;"aú Cultural""), ""Itaú Cultural"",
   IF(REGEXMATCH(S67, ""Rede TVT""), ""Rede TVT"",
   IF(REGEXMATCH(S67, ""Frente pelo Desencarceramento SP""), ""Frente Pelo Desencarceramento SP"",
   IF(REGEXMATCH(S67, ""TV ABA""), ""TV ABA"",
   IF(REGEXMATCH(S67, "&amp;"""TV SENADO""), ""TV Senado"",
   IF(REGEXMATCH(S67, ""Canal USP""), ""Canal USP"",
   IF(REGEXMATCH(S67, ""Douer, Zack|Zack Douer""), ""Douer Zack"",
   IF(REGEXMATCH(S67, ""PRISIONEIRO 84\.901|PRISIONEIRO 84""), ""Prisioneiro 84.901"",
   IF(REGEXMATCH("&amp;"S67, ""^[^,]*, ""), 
        PROPER(REGEXREPLACE(REGEXEXTRACT(S67, ""^([^.]*)\.""), ""^([^,]*), (.*)"", ""$2 $1"")),
        PROPER(REGEXEXTRACT(S67, ""^([^.]*)\.""))
   )))))))))&amp;"")"",
IF(REGEXMATCH(S67, ""Spotify|spotify""), 
   ""Spotify (""&amp;
   IF(R"&amp;"EGEXMATCH(S67, ""ESTRANHO SORRISO""), ""Estranho Sorriso"",
   PROPER(REGEXEXTRACT(S67, ""^([^.]*)\.""))
   )&amp;"")"",
IF(REGEXMATCH(S67, ""Vimeo|vimeo""), 
   ""Vimeo (""&amp;
   IF(REGEXMATCH(S67, ""Passa Palavra""), ""Passa Palavra"",
   PROPER(REGEXEXTRACT"&amp;"(S67, ""^([^.]*)\.""))
   )&amp;"")"",
IF(REGEXMATCH(S67, ""Blogspot""), 
   ""Blogspot (""&amp;
   IF(REGEXMATCH(S67, ""rede2deoutubro""), ""Rede 02 de Outubro"",
   PROPER(REGEXEXTRACT(S67, ""^([^.]*)\.""))
   )&amp;"")"",
IF(REGEXMATCH(S67, ""Facebook""), 
   """&amp;"Facebook (""&amp;
   IF(REGEXMATCH(S67, ""Mídia Ninja""), ""Mídia Ninja"",
   PROPER(REGEXEXTRACT(S67, ""^([^.]*)\.""))
   )&amp;"")"",
IF(REGEXMATCH(S67, ""Instagram""), 
   ""Instagram (""&amp;
   IF(REGEXMATCH(S67, ""Memórias Carandiru""), ""Memórias Carandiru"","&amp;"
   PROPER(REGEXEXTRACT(S67, ""^([^.]*)\.""))
   )&amp;"")"",
IF(REGEXMATCH(S67, ""Folha de S\. Paulo|FOLHA DE S\. PAULO""), ""Folha de S. Paulo"",
IF(REGEXMATCH(S67, ""O Estado de S\. Paulo|ESTADAO""), ""O Estado de S. Paulo"",
IF(REGEXMATCH(S67, ""salasecr"&amp;"eta""), ""Wordpress (Sala Secreta)"",
IF(REGEXMATCH(S67, ""Wikipedia|Wikipédia|WIKIPÉDIA""), ""Wikipedia"",
IF(REGEXMATCH(S67, ""VEJA|Veja""), ""Veja Abril"",
IF(REGEXMATCH(S338, ""Rede Globo|REDE GLOBO""), ""Rede Globo"",
IF(REGEXMATCH(S338, ""G1|globo\."&amp;"com""), ""G1"",
IF(REGEXMATCH(S67, ""Deutsche Welle|DW\.com""), ""Deutsche Welle"",
IF(REGEXMATCH(S67, ""CIDH|Comissão Interamericana""), ""Comissão Interamericana de Direitos Humanos (CIDH)"",
IF(REGEXMATCH(S67, ""Pastoral Carcerária""), ""Pastoral Carce"&amp;"rária"",
IF(REGEXMATCH(S67, ""Esquerda Web""), ""Esquerda Web"",
IF(REGEXMATCH(S67, ""ONU|Organização das Nações Unidas""), ""ONU Brasil"",
IF(REGEXMATCH(S67, ""Quilombo Invisível""), ""Quilombo Invisível"",
IF(REGEXMATCH(S67, ""ALESP|Assembleia Legislati"&amp;"va""), ""ALESP"",
IF(REGEXMATCH(S67, ""Revista Opera""), ""Revista Opera"",
IF(REGEXMATCH(S67, ""SP Escola de Teatro""), ""SP Escola de Teatro"",
IF(REGEXMATCH(S67, ""EMC|Espaço Memória Carandiru""), ""EMC Espaço Memória Carandiru"",
IF(REGEXMATCH(S67, "&amp;"""^RAMOS, Nuno|Nuno Ramos""), ""Nuno Ramos"",
IF(REGEXMATCH(S67, ""^VELOSO, Caetano|Caetano Veloso""), ""YouTube (Caetano Veloso)"",
IF(REGEXMATCH(S67, ""^FATOS REAIS""), ""YouTube (Fatos Reais - Topic)"",
IF(REGEXMATCH(S67, ""^SALA SECRETA""), ""Wordpres"&amp;"s (Sala Secreta)"",
PROPER(REGEXEXTRACT(S67, ""^([^.]*)\.""))
))))))))))))))))))))))))))))))))))))))))))))))))))))))))"),"YouTube (Maricarrera)")</f>
        <v>YouTube (Maricarrera)</v>
      </c>
      <c r="N67" s="11" t="s">
        <v>47</v>
      </c>
      <c r="O67" s="14" t="s">
        <v>592</v>
      </c>
      <c r="P67" s="186">
        <v>45940.0</v>
      </c>
      <c r="Q67" s="11" t="s">
        <v>154</v>
      </c>
      <c r="R67" s="70" t="str">
        <f t="shared" si="8"/>
        <v>Aqui</v>
      </c>
      <c r="S67" s="172" t="s">
        <v>601</v>
      </c>
    </row>
    <row r="68">
      <c r="A68" s="11">
        <v>66.0</v>
      </c>
      <c r="B68" s="11"/>
      <c r="C68" s="12" t="str">
        <f>IFERROR(__xludf.DUMMYFUNCTION("IF(B68="""","""",IF(OR(
  REGEXMATCH(B68,""Performance|Instalação|Álbum|Música|Poema|Livro|Filme|Documentário|Recitação|Espetáculo|Peça|Intervenção|Desfile|Fotografia|Exposição|Charge|Grafite|Leitura pública|Fabricação de cachaça artesanal""),
  REGEXMATC"&amp;"H(B68,""dança|teatral|artístico|musical|artística"")
),""Manifestação artístico-cultural"",
IF(OR(
  REGEXMATCH(B68,""Crônica|Série|Reportagem|Podcast|Audiotour|Entrevista|Vídeo|Rádio""),
  REGEXMATCH(B68,""midiática"")
),""Produção midiática"","""")))
"),"")</f>
        <v/>
      </c>
      <c r="D68" s="13" t="str">
        <f>IFERROR(__xludf.DUMMYFUNCTION("IF(B68="""","""",IF(OR(
  REGEXMATCH(B68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REGEXMATCH(B68,""público|Imediato|artística|teatral|memória"")
),""Público Imediato"",
IF(REGEXMATCH(B68,""Música|Álbum|Filme|Documentário|Série|Podcast|"&amp;"Rádio|Audiotour|Entrevista|Reportagem|Crônica|Relatório|Abaixo-assinado|Manifesto|Petição|Poema|Livro|Fotografia|Curta|Live|Webinário|Charge|Leitura pública|Vídeo""),
""Público Mediado"","""")))
"),"")</f>
        <v/>
      </c>
      <c r="E68" s="13" t="str">
        <f>IFERROR(__xludf.DUMMYFUNCTION("IF(B68="""","""",IF(OR(
  REGEXMATCH(B68,""Live|Webinário|Virtual""),
  REGEXMATCH(B68,""online"")
),""Virtual"",
IF(REGEXMATCH(B68,""Música|Álbum|Filme|Documentário|Série|Podcast|Rádio|Audiotour|Episódio|Reportagem|Curta|Charge|Livro|Vídeo|Entrevista""),"&amp;"
""Midiático"",
IF(REGEXMATCH(B68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68" s="192">
        <v>2010.0</v>
      </c>
      <c r="G68" s="15">
        <f t="shared" si="1"/>
        <v>2010</v>
      </c>
      <c r="H68" s="11"/>
      <c r="I68" s="16"/>
      <c r="J68" s="17"/>
      <c r="K68" s="197"/>
      <c r="L68" s="190"/>
      <c r="M68" s="15" t="str">
        <f>IFERROR(__xludf.DUMMYFUNCTION("IF(REGEXMATCH(S68, ""Companhia das Letras""), ""Companhia das Letras"",
IF(REGEXMATCH(S68, ""Labortexto Editorial""), ""Labortexto Editorial"",
IF(REGEXMATCH(S68, ""Geração Editorial""), ""Geração Editorial"",
IF(REGEXMATCH(S68, ""Editora Imprensa Oficial"&amp;"|Imprensa Oficial""), ""Editora Imprensa Oficial"",
IF(REGEXMATCH(S68, ""Folha Online""), ""Folha Online"",
IF(REGEXMATCH(S68, ""FGV DIREITO SP|FGV Direito SP""), ""FGV DIREITO SP"",
IF(REGEXMATCH(S68, ""massacrecarandiru\.org\.br""), ""Memória Massacre C"&amp;"arandiru"",
IF(REGEXMATCH(S68, ""Itaú Cultural""), ""YouTube (Itaú Cultural)"",
IF(REGEXMATCH(S68, ""Passa Palavra""), ""Vimeo (Passa Palavra)"",
IF(REGEXMATCH(S68, ""rede2deoutubro\.blogspot""), ""Blogspot (Rede 02 de Outubro)"",
IF(REGEXMATCH(S68, ""Red"&amp;"e TVT""), ""YouTube (Rede TVT)"",
IF(REGEXMATCH(S68, ""Esquerda Diário""), ""Esquerda Diário"",
IF(REGEXMATCH(S68, ""GZH""), ""GZH"",
IF(REGEXMATCH(S68, ""TVPUC""), ""TVPUC"",
IF(REGEXMATCH(S68, ""Mídia Ninja.*Facebook""), ""Facebook (Mídia Ninja)"",
IF(R"&amp;"EGEXMATCH(S68, ""Memórias Carandiru.*Instagram""), ""Instagram (Memórias Carandiru)"",
IF(REGEXMATCH(S68, ""Frente pelo Desencarceramento SP""), ""YouTube (Frente Pelo Desencarceramento SP)"",
IF(REGEXMATCH(S68, ""TV ABA""), ""YouTube (TV ABA)"",
IF(REGEX"&amp;"MATCH(S68, ""TV SENADO""), ""YouTube (TV Senado)"",
IF(REGEXMATCH(S68, ""Google Arts &amp; Culture""), ""Google Arts &amp; Culture (Memória Massacre Carandiru)"",
IF(REGEXMATCH(S68, ""Anistia Internacional|ANISTIA INTERNACIONAL""), ""Anistia Internacional"",
IF(R"&amp;"EGEXMATCH(S68, ""47\.mostra|47a Mostra""), ""47a Mostra Internacional de Cinema em São Paulo"",
IF(REGEXMATCH(S68, ""Canal USP""), ""YouTube (Canal USP)"",
IF(AND(
  REGEXMATCH(S68, ""(?i)(teses?\.usp\.br|dissertacoes?\.usp\.br|repositorio\.usp\.br)""),
 "&amp;" NOT(REGEXMATCH(S68, ""Canal USP""))
), ""Biblioteca Digital de Teses e Dissertações da USP"",
IF(REGEXMATCH(S68, ""SINTRAJUSC""), ""SINTRAJUSC"",
IF(REGEXMATCH(S68, ""Agência Brasil|Agencia Brasil""), ""Agência Brasil"",
IF(REGEXMATCH(S68, ""Brasil de Fa"&amp;"to""), ""Brasil de Fato"",
IF(REGEXMATCH(S68, ""Ponte Jornalismo|pontejornalismo""), ""Ponte Jornalismo"",
IF(REGEXMATCH(S68, ""letras\.mus\.br|Letras,""), ""Letras"",
IF(REGEXMATCH(S68, ""YouTube|youtube""), 
   ""YouTube (""&amp;
   IF(REGEXMATCH(S68, ""It"&amp;"aú Cultural""), ""Itaú Cultural"",
   IF(REGEXMATCH(S68, ""Rede TVT""), ""Rede TVT"",
   IF(REGEXMATCH(S68, ""Frente pelo Desencarceramento SP""), ""Frente Pelo Desencarceramento SP"",
   IF(REGEXMATCH(S68, ""TV ABA""), ""TV ABA"",
   IF(REGEXMATCH(S68, "&amp;"""TV SENADO""), ""TV Senado"",
   IF(REGEXMATCH(S68, ""Canal USP""), ""Canal USP"",
   IF(REGEXMATCH(S68, ""Douer, Zack|Zack Douer""), ""Douer Zack"",
   IF(REGEXMATCH(S68, ""PRISIONEIRO 84\.901|PRISIONEIRO 84""), ""Prisioneiro 84.901"",
   IF(REGEXMATCH("&amp;"S68, ""^[^,]*, ""), 
        PROPER(REGEXREPLACE(REGEXEXTRACT(S68, ""^([^.]*)\.""), ""^([^,]*), (.*)"", ""$2 $1"")),
        PROPER(REGEXEXTRACT(S68, ""^([^.]*)\.""))
   )))))))))&amp;"")"",
IF(REGEXMATCH(S68, ""Spotify|spotify""), 
   ""Spotify (""&amp;
   IF(R"&amp;"EGEXMATCH(S68, ""ESTRANHO SORRISO""), ""Estranho Sorriso"",
   PROPER(REGEXEXTRACT(S68, ""^([^.]*)\.""))
   )&amp;"")"",
IF(REGEXMATCH(S68, ""Vimeo|vimeo""), 
   ""Vimeo (""&amp;
   IF(REGEXMATCH(S68, ""Passa Palavra""), ""Passa Palavra"",
   PROPER(REGEXEXTRACT"&amp;"(S68, ""^([^.]*)\.""))
   )&amp;"")"",
IF(REGEXMATCH(S68, ""Blogspot""), 
   ""Blogspot (""&amp;
   IF(REGEXMATCH(S68, ""rede2deoutubro""), ""Rede 02 de Outubro"",
   PROPER(REGEXEXTRACT(S68, ""^([^.]*)\.""))
   )&amp;"")"",
IF(REGEXMATCH(S68, ""Facebook""), 
   """&amp;"Facebook (""&amp;
   IF(REGEXMATCH(S68, ""Mídia Ninja""), ""Mídia Ninja"",
   PROPER(REGEXEXTRACT(S68, ""^([^.]*)\.""))
   )&amp;"")"",
IF(REGEXMATCH(S68, ""Instagram""), 
   ""Instagram (""&amp;
   IF(REGEXMATCH(S68, ""Memórias Carandiru""), ""Memórias Carandiru"","&amp;"
   PROPER(REGEXEXTRACT(S68, ""^([^.]*)\.""))
   )&amp;"")"",
IF(REGEXMATCH(S68, ""Folha de S\. Paulo|FOLHA DE S\. PAULO""), ""Folha de S. Paulo"",
IF(REGEXMATCH(S68, ""O Estado de S\. Paulo|ESTADAO""), ""O Estado de S. Paulo"",
IF(REGEXMATCH(S68, ""salasecr"&amp;"eta""), ""Wordpress (Sala Secreta)"",
IF(REGEXMATCH(S68, ""Wikipedia|Wikipédia|WIKIPÉDIA""), ""Wikipedia"",
IF(REGEXMATCH(S68, ""VEJA|Veja""), ""Veja Abril"",
IF(REGEXMATCH(S339, ""Rede Globo|REDE GLOBO""), ""Rede Globo"",
IF(REGEXMATCH(S339, ""G1|globo\."&amp;"com""), ""G1"",
IF(REGEXMATCH(S68, ""Deutsche Welle|DW\.com""), ""Deutsche Welle"",
IF(REGEXMATCH(S68, ""CIDH|Comissão Interamericana""), ""Comissão Interamericana de Direitos Humanos (CIDH)"",
IF(REGEXMATCH(S68, ""Pastoral Carcerária""), ""Pastoral Carce"&amp;"rária"",
IF(REGEXMATCH(S68, ""Esquerda Web""), ""Esquerda Web"",
IF(REGEXMATCH(S68, ""ONU|Organização das Nações Unidas""), ""ONU Brasil"",
IF(REGEXMATCH(S68, ""Quilombo Invisível""), ""Quilombo Invisível"",
IF(REGEXMATCH(S68, ""ALESP|Assembleia Legislati"&amp;"va""), ""ALESP"",
IF(REGEXMATCH(S68, ""Revista Opera""), ""Revista Opera"",
IF(REGEXMATCH(S68, ""SP Escola de Teatro""), ""SP Escola de Teatro"",
IF(REGEXMATCH(S68, ""EMC|Espaço Memória Carandiru""), ""EMC Espaço Memória Carandiru"",
IF(REGEXMATCH(S68, "&amp;"""^RAMOS, Nuno|Nuno Ramos""), ""Nuno Ramos"",
IF(REGEXMATCH(S68, ""^VELOSO, Caetano|Caetano Veloso""), ""YouTube (Caetano Veloso)"",
IF(REGEXMATCH(S68, ""^FATOS REAIS""), ""YouTube (Fatos Reais - Topic)"",
IF(REGEXMATCH(S68, ""^SALA SECRETA""), ""Wordpres"&amp;"s (Sala Secreta)"",
PROPER(REGEXEXTRACT(S68, ""^([^.]*)\.""))
))))))))))))))))))))))))))))))))))))))))))))))))))))))))"),"#N/A")</f>
        <v>#N/A</v>
      </c>
      <c r="N68" s="11" t="s">
        <v>47</v>
      </c>
      <c r="O68" s="11"/>
      <c r="P68" s="11"/>
      <c r="Q68" s="11" t="s">
        <v>154</v>
      </c>
      <c r="R68" s="194" t="str">
        <f t="shared" si="8"/>
        <v>#VALUE!</v>
      </c>
      <c r="S68" s="195"/>
    </row>
    <row r="69">
      <c r="A69" s="11">
        <v>67.0</v>
      </c>
      <c r="B69" s="11" t="s">
        <v>602</v>
      </c>
      <c r="C69" s="122" t="s">
        <v>165</v>
      </c>
      <c r="D69" s="13" t="str">
        <f>IFERROR(__xludf.DUMMYFUNCTION("IF(B69="""","""",IF(OR(
  REGEXMATCH(B69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REGEXMATCH(B69,""público|Imediato|artística|teatral|memória"")
),""Público Imediato"",
IF(REGEXMATCH(B69,""Música|Álbum|Filme|Documentário|Série|Podcast|"&amp;"Rádio|Audiotour|Entrevista|Reportagem|Crônica|Relatório|Abaixo-assinado|Manifesto|Petição|Poema|Livro|Fotografia|Curta|Live|Webinário|Charge|Leitura pública|Vídeo""),
""Público Mediado"","""")))
"),"Público Imediato")</f>
        <v>Público Imediato</v>
      </c>
      <c r="E69" s="13" t="str">
        <f>IFERROR(__xludf.DUMMYFUNCTION("IF(B69="""","""",IF(OR(
  REGEXMATCH(B69,""Live|Webinário|Virtual""),
  REGEXMATCH(B69,""online"")
),""Virtual"",
IF(REGEXMATCH(B69,""Música|Álbum|Filme|Documentário|Série|Podcast|Rádio|Audiotour|Episódio|Reportagem|Curta|Charge|Livro|Vídeo|Entrevista""),"&amp;"
""Midiático"",
IF(REGEXMATCH(B69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69" s="186">
        <v>40818.0</v>
      </c>
      <c r="G69" s="15">
        <f t="shared" si="1"/>
        <v>2011</v>
      </c>
      <c r="H69" s="11" t="s">
        <v>603</v>
      </c>
      <c r="I69" s="16" t="s">
        <v>604</v>
      </c>
      <c r="J69" s="17" t="s">
        <v>605</v>
      </c>
      <c r="K69" s="16" t="s">
        <v>26</v>
      </c>
      <c r="L69" s="18" t="s">
        <v>606</v>
      </c>
      <c r="M69" s="15" t="str">
        <f>IFERROR(__xludf.DUMMYFUNCTION("IF(REGEXMATCH(S69, ""Companhia das Letras""), ""Companhia das Letras"",
IF(REGEXMATCH(S69, ""Labortexto Editorial""), ""Labortexto Editorial"",
IF(REGEXMATCH(S69, ""Geração Editorial""), ""Geração Editorial"",
IF(REGEXMATCH(S69, ""Editora Imprensa Oficial"&amp;"|Imprensa Oficial""), ""Editora Imprensa Oficial"",
IF(REGEXMATCH(S69, ""Folha Online""), ""Folha Online"",
IF(REGEXMATCH(S69, ""FGV DIREITO SP|FGV Direito SP""), ""FGV DIREITO SP"",
IF(REGEXMATCH(S69, ""massacrecarandiru\.org\.br""), ""Memória Massacre C"&amp;"arandiru"",
IF(REGEXMATCH(S69, ""Itaú Cultural""), ""YouTube (Itaú Cultural)"",
IF(REGEXMATCH(S69, ""Passa Palavra""), ""Vimeo (Passa Palavra)"",
IF(REGEXMATCH(S69, ""rede2deoutubro\.blogspot""), ""Blogspot (Rede 02 de Outubro)"",
IF(REGEXMATCH(S69, ""Red"&amp;"e TVT""), ""YouTube (Rede TVT)"",
IF(REGEXMATCH(S69, ""Esquerda Diário""), ""Esquerda Diário"",
IF(REGEXMATCH(S69, ""GZH""), ""GZH"",
IF(REGEXMATCH(S69, ""TVPUC""), ""TVPUC"",
IF(REGEXMATCH(S69, ""Mídia Ninja.*Facebook""), ""Facebook (Mídia Ninja)"",
IF(R"&amp;"EGEXMATCH(S69, ""Memórias Carandiru.*Instagram""), ""Instagram (Memórias Carandiru)"",
IF(REGEXMATCH(S69, ""Frente pelo Desencarceramento SP""), ""YouTube (Frente Pelo Desencarceramento SP)"",
IF(REGEXMATCH(S69, ""TV ABA""), ""YouTube (TV ABA)"",
IF(REGEX"&amp;"MATCH(S69, ""TV SENADO""), ""YouTube (TV Senado)"",
IF(REGEXMATCH(S69, ""Google Arts &amp; Culture""), ""Google Arts &amp; Culture (Memória Massacre Carandiru)"",
IF(REGEXMATCH(S69, ""Anistia Internacional|ANISTIA INTERNACIONAL""), ""Anistia Internacional"",
IF(R"&amp;"EGEXMATCH(S69, ""47\.mostra|47a Mostra""), ""47a Mostra Internacional de Cinema em São Paulo"",
IF(REGEXMATCH(S69, ""Canal USP""), ""YouTube (Canal USP)"",
IF(AND(
  REGEXMATCH(S69, ""(?i)(teses?\.usp\.br|dissertacoes?\.usp\.br|repositorio\.usp\.br)""),
 "&amp;" NOT(REGEXMATCH(S69, ""Canal USP""))
), ""Biblioteca Digital de Teses e Dissertações da USP"",
IF(REGEXMATCH(S69, ""SINTRAJUSC""), ""SINTRAJUSC"",
IF(REGEXMATCH(S69, ""Agência Brasil|Agencia Brasil""), ""Agência Brasil"",
IF(REGEXMATCH(S69, ""Brasil de Fa"&amp;"to""), ""Brasil de Fato"",
IF(REGEXMATCH(S69, ""Ponte Jornalismo|pontejornalismo""), ""Ponte Jornalismo"",
IF(REGEXMATCH(S69, ""letras\.mus\.br|Letras,""), ""Letras"",
IF(REGEXMATCH(S69, ""YouTube|youtube""), 
   ""YouTube (""&amp;
   IF(REGEXMATCH(S69, ""It"&amp;"aú Cultural""), ""Itaú Cultural"",
   IF(REGEXMATCH(S69, ""Rede TVT""), ""Rede TVT"",
   IF(REGEXMATCH(S69, ""Frente pelo Desencarceramento SP""), ""Frente Pelo Desencarceramento SP"",
   IF(REGEXMATCH(S69, ""TV ABA""), ""TV ABA"",
   IF(REGEXMATCH(S69, "&amp;"""TV SENADO""), ""TV Senado"",
   IF(REGEXMATCH(S69, ""Canal USP""), ""Canal USP"",
   IF(REGEXMATCH(S69, ""Douer, Zack|Zack Douer""), ""Douer Zack"",
   IF(REGEXMATCH(S69, ""PRISIONEIRO 84\.901|PRISIONEIRO 84""), ""Prisioneiro 84.901"",
   IF(REGEXMATCH("&amp;"S69, ""^[^,]*, ""), 
        PROPER(REGEXREPLACE(REGEXEXTRACT(S69, ""^([^.]*)\.""), ""^([^,]*), (.*)"", ""$2 $1"")),
        PROPER(REGEXEXTRACT(S69, ""^([^.]*)\.""))
   )))))))))&amp;"")"",
IF(REGEXMATCH(S69, ""Spotify|spotify""), 
   ""Spotify (""&amp;
   IF(R"&amp;"EGEXMATCH(S69, ""ESTRANHO SORRISO""), ""Estranho Sorriso"",
   PROPER(REGEXEXTRACT(S69, ""^([^.]*)\.""))
   )&amp;"")"",
IF(REGEXMATCH(S69, ""Vimeo|vimeo""), 
   ""Vimeo (""&amp;
   IF(REGEXMATCH(S69, ""Passa Palavra""), ""Passa Palavra"",
   PROPER(REGEXEXTRACT"&amp;"(S69, ""^([^.]*)\.""))
   )&amp;"")"",
IF(REGEXMATCH(S69, ""Blogspot""), 
   ""Blogspot (""&amp;
   IF(REGEXMATCH(S69, ""rede2deoutubro""), ""Rede 02 de Outubro"",
   PROPER(REGEXEXTRACT(S69, ""^([^.]*)\.""))
   )&amp;"")"",
IF(REGEXMATCH(S69, ""Facebook""), 
   """&amp;"Facebook (""&amp;
   IF(REGEXMATCH(S69, ""Mídia Ninja""), ""Mídia Ninja"",
   PROPER(REGEXEXTRACT(S69, ""^([^.]*)\.""))
   )&amp;"")"",
IF(REGEXMATCH(S69, ""Instagram""), 
   ""Instagram (""&amp;
   IF(REGEXMATCH(S69, ""Memórias Carandiru""), ""Memórias Carandiru"","&amp;"
   PROPER(REGEXEXTRACT(S69, ""^([^.]*)\.""))
   )&amp;"")"",
IF(REGEXMATCH(S69, ""Folha de S\. Paulo|FOLHA DE S\. PAULO""), ""Folha de S. Paulo"",
IF(REGEXMATCH(S69, ""O Estado de S\. Paulo|ESTADAO""), ""O Estado de S. Paulo"",
IF(REGEXMATCH(S69, ""salasecr"&amp;"eta""), ""Wordpress (Sala Secreta)"",
IF(REGEXMATCH(S69, ""Wikipedia|Wikipédia|WIKIPÉDIA""), ""Wikipedia"",
IF(REGEXMATCH(S69, ""VEJA|Veja""), ""Veja Abril"",
IF(REGEXMATCH(S340, ""Rede Globo|REDE GLOBO""), ""Rede Globo"",
IF(REGEXMATCH(S340, ""G1|globo\."&amp;"com""), ""G1"",
IF(REGEXMATCH(S69, ""Deutsche Welle|DW\.com""), ""Deutsche Welle"",
IF(REGEXMATCH(S69, ""CIDH|Comissão Interamericana""), ""Comissão Interamericana de Direitos Humanos (CIDH)"",
IF(REGEXMATCH(S69, ""Pastoral Carcerária""), ""Pastoral Carce"&amp;"rária"",
IF(REGEXMATCH(S69, ""Esquerda Web""), ""Esquerda Web"",
IF(REGEXMATCH(S69, ""ONU|Organização das Nações Unidas""), ""ONU Brasil"",
IF(REGEXMATCH(S69, ""Quilombo Invisível""), ""Quilombo Invisível"",
IF(REGEXMATCH(S69, ""ALESP|Assembleia Legislati"&amp;"va""), ""ALESP"",
IF(REGEXMATCH(S69, ""Revista Opera""), ""Revista Opera"",
IF(REGEXMATCH(S69, ""SP Escola de Teatro""), ""SP Escola de Teatro"",
IF(REGEXMATCH(S69, ""EMC|Espaço Memória Carandiru""), ""EMC Espaço Memória Carandiru"",
IF(REGEXMATCH(S69, "&amp;"""^RAMOS, Nuno|Nuno Ramos""), ""Nuno Ramos"",
IF(REGEXMATCH(S69, ""^VELOSO, Caetano|Caetano Veloso""), ""YouTube (Caetano Veloso)"",
IF(REGEXMATCH(S69, ""^FATOS REAIS""), ""YouTube (Fatos Reais - Topic)"",
IF(REGEXMATCH(S69, ""^SALA SECRETA""), ""Wordpres"&amp;"s (Sala Secreta)"",
PROPER(REGEXEXTRACT(S69, ""^([^.]*)\.""))
))))))))))))))))))))))))))))))))))))))))))))))))))))))))"),"Quilombo Invisível")</f>
        <v>Quilombo Invisível</v>
      </c>
      <c r="N69" s="11" t="s">
        <v>47</v>
      </c>
      <c r="O69" s="11" t="s">
        <v>221</v>
      </c>
      <c r="P69" s="51">
        <v>45855.0</v>
      </c>
      <c r="Q69" s="11" t="s">
        <v>154</v>
      </c>
      <c r="R69" s="70" t="str">
        <f t="shared" si="8"/>
        <v>Aqui</v>
      </c>
      <c r="S69" s="75" t="s">
        <v>607</v>
      </c>
    </row>
    <row r="70">
      <c r="A70" s="11">
        <v>68.0</v>
      </c>
      <c r="B70" s="11" t="s">
        <v>608</v>
      </c>
      <c r="C70" s="12" t="str">
        <f>IFERROR(__xludf.DUMMYFUNCTION("IF(B70="""","""",IF(OR(
  REGEXMATCH(B70,""Performance|Instalação|Álbum|Música|Poema|Livro|Filme|Documentário|Recitação|Espetáculo|Peça|Intervenção|Desfile|Fotografia|Exposição|Charge|Grafite|Leitura pública|Fabricação de cachaça artesanal""),
  REGEXMATC"&amp;"H(B70,""dança|teatral|artístico|musical|artística"")
),""Manifestação artístico-cultural"",
IF(OR(
  REGEXMATCH(B70,""Crônica|Série|Reportagem|Podcast|Audiotour|Entrevista|Vídeo|Rádio""),
  REGEXMATCH(B70,""midiática"")
),""Produção midiática"","""")))
"),"Manifestação artístico-cultural")</f>
        <v>Manifestação artístico-cultural</v>
      </c>
      <c r="D70" s="13" t="str">
        <f>IFERROR(__xludf.DUMMYFUNCTION("IF(B70="""","""",IF(OR(
  REGEXMATCH(B70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REGEXMATCH(B70,""público|Imediato|artística|teatral|memória"")
),""Público Imediato"",
IF(REGEXMATCH(B70,""Música|Álbum|Filme|Documentário|Série|Podcast|"&amp;"Rádio|Audiotour|Entrevista|Reportagem|Crônica|Relatório|Abaixo-assinado|Manifesto|Petição|Poema|Livro|Fotografia|Curta|Live|Webinário|Charge|Leitura pública|Vídeo""),
""Público Mediado"","""")))
"),"Público Imediato")</f>
        <v>Público Imediato</v>
      </c>
      <c r="E70" s="13" t="str">
        <f>IFERROR(__xludf.DUMMYFUNCTION("IF(B70="""","""",IF(OR(
  REGEXMATCH(B70,""Live|Webinário|Virtual""),
  REGEXMATCH(B70,""online"")
),""Virtual"",
IF(REGEXMATCH(B70,""Música|Álbum|Filme|Documentário|Série|Podcast|Rádio|Audiotour|Episódio|Reportagem|Curta|Charge|Livro|Vídeo|Entrevista""),"&amp;"
""Midiático"",
IF(REGEXMATCH(B70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0" s="186">
        <v>40818.0</v>
      </c>
      <c r="G70" s="15">
        <f t="shared" si="1"/>
        <v>2011</v>
      </c>
      <c r="H70" s="11" t="s">
        <v>603</v>
      </c>
      <c r="I70" s="16" t="s">
        <v>604</v>
      </c>
      <c r="J70" s="17" t="s">
        <v>609</v>
      </c>
      <c r="K70" s="16" t="s">
        <v>83</v>
      </c>
      <c r="L70" s="18" t="s">
        <v>329</v>
      </c>
      <c r="M70" s="15" t="str">
        <f>IFERROR(__xludf.DUMMYFUNCTION("IF(REGEXMATCH(S70, ""Companhia das Letras""), ""Companhia das Letras"",
IF(REGEXMATCH(S70, ""Labortexto Editorial""), ""Labortexto Editorial"",
IF(REGEXMATCH(S70, ""Geração Editorial""), ""Geração Editorial"",
IF(REGEXMATCH(S70, ""Editora Imprensa Oficial"&amp;"|Imprensa Oficial""), ""Editora Imprensa Oficial"",
IF(REGEXMATCH(S70, ""Folha Online""), ""Folha Online"",
IF(REGEXMATCH(S70, ""FGV DIREITO SP|FGV Direito SP""), ""FGV DIREITO SP"",
IF(REGEXMATCH(S70, ""massacrecarandiru\.org\.br""), ""Memória Massacre C"&amp;"arandiru"",
IF(REGEXMATCH(S70, ""Itaú Cultural""), ""YouTube (Itaú Cultural)"",
IF(REGEXMATCH(S70, ""Passa Palavra""), ""Vimeo (Passa Palavra)"",
IF(REGEXMATCH(S70, ""rede2deoutubro\.blogspot""), ""Blogspot (Rede 02 de Outubro)"",
IF(REGEXMATCH(S70, ""Red"&amp;"e TVT""), ""YouTube (Rede TVT)"",
IF(REGEXMATCH(S70, ""Esquerda Diário""), ""Esquerda Diário"",
IF(REGEXMATCH(S70, ""GZH""), ""GZH"",
IF(REGEXMATCH(S70, ""TVPUC""), ""TVPUC"",
IF(REGEXMATCH(S70, ""Mídia Ninja.*Facebook""), ""Facebook (Mídia Ninja)"",
IF(R"&amp;"EGEXMATCH(S70, ""Memórias Carandiru.*Instagram""), ""Instagram (Memórias Carandiru)"",
IF(REGEXMATCH(S70, ""Frente pelo Desencarceramento SP""), ""YouTube (Frente Pelo Desencarceramento SP)"",
IF(REGEXMATCH(S70, ""TV ABA""), ""YouTube (TV ABA)"",
IF(REGEX"&amp;"MATCH(S70, ""TV SENADO""), ""YouTube (TV Senado)"",
IF(REGEXMATCH(S70, ""Google Arts &amp; Culture""), ""Google Arts &amp; Culture (Memória Massacre Carandiru)"",
IF(REGEXMATCH(S70, ""Anistia Internacional|ANISTIA INTERNACIONAL""), ""Anistia Internacional"",
IF(R"&amp;"EGEXMATCH(S70, ""47\.mostra|47a Mostra""), ""47a Mostra Internacional de Cinema em São Paulo"",
IF(REGEXMATCH(S70, ""Canal USP""), ""YouTube (Canal USP)"",
IF(AND(
  REGEXMATCH(S70, ""(?i)(teses?\.usp\.br|dissertacoes?\.usp\.br|repositorio\.usp\.br)""),
 "&amp;" NOT(REGEXMATCH(S70, ""Canal USP""))
), ""Biblioteca Digital de Teses e Dissertações da USP"",
IF(REGEXMATCH(S70, ""SINTRAJUSC""), ""SINTRAJUSC"",
IF(REGEXMATCH(S70, ""Agência Brasil|Agencia Brasil""), ""Agência Brasil"",
IF(REGEXMATCH(S70, ""Brasil de Fa"&amp;"to""), ""Brasil de Fato"",
IF(REGEXMATCH(S70, ""Ponte Jornalismo|pontejornalismo""), ""Ponte Jornalismo"",
IF(REGEXMATCH(S70, ""letras\.mus\.br|Letras,""), ""Letras"",
IF(REGEXMATCH(S70, ""YouTube|youtube""), 
   ""YouTube (""&amp;
   IF(REGEXMATCH(S70, ""It"&amp;"aú Cultural""), ""Itaú Cultural"",
   IF(REGEXMATCH(S70, ""Rede TVT""), ""Rede TVT"",
   IF(REGEXMATCH(S70, ""Frente pelo Desencarceramento SP""), ""Frente Pelo Desencarceramento SP"",
   IF(REGEXMATCH(S70, ""TV ABA""), ""TV ABA"",
   IF(REGEXMATCH(S70, "&amp;"""TV SENADO""), ""TV Senado"",
   IF(REGEXMATCH(S70, ""Canal USP""), ""Canal USP"",
   IF(REGEXMATCH(S70, ""Douer, Zack|Zack Douer""), ""Douer Zack"",
   IF(REGEXMATCH(S70, ""PRISIONEIRO 84\.901|PRISIONEIRO 84""), ""Prisioneiro 84.901"",
   IF(REGEXMATCH("&amp;"S70, ""^[^,]*, ""), 
        PROPER(REGEXREPLACE(REGEXEXTRACT(S70, ""^([^.]*)\.""), ""^([^,]*), (.*)"", ""$2 $1"")),
        PROPER(REGEXEXTRACT(S70, ""^([^.]*)\.""))
   )))))))))&amp;"")"",
IF(REGEXMATCH(S70, ""Spotify|spotify""), 
   ""Spotify (""&amp;
   IF(R"&amp;"EGEXMATCH(S70, ""ESTRANHO SORRISO""), ""Estranho Sorriso"",
   PROPER(REGEXEXTRACT(S70, ""^([^.]*)\.""))
   )&amp;"")"",
IF(REGEXMATCH(S70, ""Vimeo|vimeo""), 
   ""Vimeo (""&amp;
   IF(REGEXMATCH(S70, ""Passa Palavra""), ""Passa Palavra"",
   PROPER(REGEXEXTRACT"&amp;"(S70, ""^([^.]*)\.""))
   )&amp;"")"",
IF(REGEXMATCH(S70, ""Blogspot""), 
   ""Blogspot (""&amp;
   IF(REGEXMATCH(S70, ""rede2deoutubro""), ""Rede 02 de Outubro"",
   PROPER(REGEXEXTRACT(S70, ""^([^.]*)\.""))
   )&amp;"")"",
IF(REGEXMATCH(S70, ""Facebook""), 
   """&amp;"Facebook (""&amp;
   IF(REGEXMATCH(S70, ""Mídia Ninja""), ""Mídia Ninja"",
   PROPER(REGEXEXTRACT(S70, ""^([^.]*)\.""))
   )&amp;"")"",
IF(REGEXMATCH(S70, ""Instagram""), 
   ""Instagram (""&amp;
   IF(REGEXMATCH(S70, ""Memórias Carandiru""), ""Memórias Carandiru"","&amp;"
   PROPER(REGEXEXTRACT(S70, ""^([^.]*)\.""))
   )&amp;"")"",
IF(REGEXMATCH(S70, ""Folha de S\. Paulo|FOLHA DE S\. PAULO""), ""Folha de S. Paulo"",
IF(REGEXMATCH(S70, ""O Estado de S\. Paulo|ESTADAO""), ""O Estado de S. Paulo"",
IF(REGEXMATCH(S70, ""salasecr"&amp;"eta""), ""Wordpress (Sala Secreta)"",
IF(REGEXMATCH(S70, ""Wikipedia|Wikipédia|WIKIPÉDIA""), ""Wikipedia"",
IF(REGEXMATCH(S70, ""VEJA|Veja""), ""Veja Abril"",
IF(REGEXMATCH(S341, ""Rede Globo|REDE GLOBO""), ""Rede Globo"",
IF(REGEXMATCH(S341, ""G1|globo\."&amp;"com""), ""G1"",
IF(REGEXMATCH(S70, ""Deutsche Welle|DW\.com""), ""Deutsche Welle"",
IF(REGEXMATCH(S70, ""CIDH|Comissão Interamericana""), ""Comissão Interamericana de Direitos Humanos (CIDH)"",
IF(REGEXMATCH(S70, ""Pastoral Carcerária""), ""Pastoral Carce"&amp;"rária"",
IF(REGEXMATCH(S70, ""Esquerda Web""), ""Esquerda Web"",
IF(REGEXMATCH(S70, ""ONU|Organização das Nações Unidas""), ""ONU Brasil"",
IF(REGEXMATCH(S70, ""Quilombo Invisível""), ""Quilombo Invisível"",
IF(REGEXMATCH(S70, ""ALESP|Assembleia Legislati"&amp;"va""), ""ALESP"",
IF(REGEXMATCH(S70, ""Revista Opera""), ""Revista Opera"",
IF(REGEXMATCH(S70, ""SP Escola de Teatro""), ""SP Escola de Teatro"",
IF(REGEXMATCH(S70, ""EMC|Espaço Memória Carandiru""), ""EMC Espaço Memória Carandiru"",
IF(REGEXMATCH(S70, "&amp;"""^RAMOS, Nuno|Nuno Ramos""), ""Nuno Ramos"",
IF(REGEXMATCH(S70, ""^VELOSO, Caetano|Caetano Veloso""), ""YouTube (Caetano Veloso)"",
IF(REGEXMATCH(S70, ""^FATOS REAIS""), ""YouTube (Fatos Reais - Topic)"",
IF(REGEXMATCH(S70, ""^SALA SECRETA""), ""Wordpres"&amp;"s (Sala Secreta)"",
PROPER(REGEXEXTRACT(S70, ""^([^.]*)\.""))
))))))))))))))))))))))))))))))))))))))))))))))))))))))))"),"YouTube (Renan Andrade)")</f>
        <v>YouTube (Renan Andrade)</v>
      </c>
      <c r="N70" s="11" t="s">
        <v>47</v>
      </c>
      <c r="O70" s="11" t="s">
        <v>149</v>
      </c>
      <c r="P70" s="51">
        <v>45855.0</v>
      </c>
      <c r="Q70" s="11" t="s">
        <v>154</v>
      </c>
      <c r="R70" s="70" t="str">
        <f t="shared" si="8"/>
        <v>Aqui</v>
      </c>
      <c r="S70" s="75" t="s">
        <v>610</v>
      </c>
    </row>
    <row r="71">
      <c r="A71" s="11">
        <v>69.0</v>
      </c>
      <c r="B71" s="11" t="s">
        <v>611</v>
      </c>
      <c r="C71" s="12" t="str">
        <f>IFERROR(__xludf.DUMMYFUNCTION("IF(B71="""","""",IF(OR(
  REGEXMATCH(B71,""Performance|Instalação|Álbum|Música|Poema|Livro|Filme|Documentário|Recitação|Espetáculo|Peça|Intervenção|Desfile|Fotografia|Exposição|Charge|Grafite|Leitura pública|Fabricação de cachaça artesanal""),
  REGEXMATC"&amp;"H(B71,""dança|teatral|artístico|musical|artística"")
),""Manifestação artístico-cultural"",
IF(OR(
  REGEXMATCH(B71,""Crônica|Série|Reportagem|Podcast|Audiotour|Entrevista|Vídeo|Rádio""),
  REGEXMATCH(B71,""midiática"")
),""Produção midiática"","""")))
"),"Manifestação artístico-cultural")</f>
        <v>Manifestação artístico-cultural</v>
      </c>
      <c r="D71" s="13" t="str">
        <f>IFERROR(__xludf.DUMMYFUNCTION("IF(B71="""","""",IF(OR(
  REGEXMATCH(B71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REGEXMATCH(B71,""público|Imediato|artística|teatral|memória"")
),""Público Imediato"",
IF(REGEXMATCH(B71,""Música|Álbum|Filme|Documentário|Série|Podcast|"&amp;"Rádio|Audiotour|Entrevista|Reportagem|Crônica|Relatório|Abaixo-assinado|Manifesto|Petição|Poema|Livro|Fotografia|Curta|Live|Webinário|Charge|Leitura pública|Vídeo""),
""Público Mediado"","""")))
"),"Público Imediato")</f>
        <v>Público Imediato</v>
      </c>
      <c r="E71" s="13" t="str">
        <f>IFERROR(__xludf.DUMMYFUNCTION("IF(B71="""","""",IF(OR(
  REGEXMATCH(B71,""Live|Webinário|Virtual""),
  REGEXMATCH(B71,""online"")
),""Virtual"",
IF(REGEXMATCH(B71,""Música|Álbum|Filme|Documentário|Série|Podcast|Rádio|Audiotour|Episódio|Reportagem|Curta|Charge|Livro|Vídeo|Entrevista""),"&amp;"
""Midiático"",
IF(REGEXMATCH(B71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1" s="186">
        <v>40818.0</v>
      </c>
      <c r="G71" s="15">
        <f t="shared" si="1"/>
        <v>2011</v>
      </c>
      <c r="H71" s="11" t="s">
        <v>603</v>
      </c>
      <c r="I71" s="16" t="s">
        <v>612</v>
      </c>
      <c r="J71" s="17" t="s">
        <v>613</v>
      </c>
      <c r="K71" s="16" t="s">
        <v>103</v>
      </c>
      <c r="L71" s="18" t="s">
        <v>489</v>
      </c>
      <c r="M71" s="15" t="str">
        <f>IFERROR(__xludf.DUMMYFUNCTION("IF(REGEXMATCH(S71, ""Companhia das Letras""), ""Companhia das Letras"",
IF(REGEXMATCH(S71, ""Labortexto Editorial""), ""Labortexto Editorial"",
IF(REGEXMATCH(S71, ""Geração Editorial""), ""Geração Editorial"",
IF(REGEXMATCH(S71, ""Editora Imprensa Oficial"&amp;"|Imprensa Oficial""), ""Editora Imprensa Oficial"",
IF(REGEXMATCH(S71, ""Folha Online""), ""Folha Online"",
IF(REGEXMATCH(S71, ""FGV DIREITO SP|FGV Direito SP""), ""FGV DIREITO SP"",
IF(REGEXMATCH(S71, ""massacrecarandiru\.org\.br""), ""Memória Massacre C"&amp;"arandiru"",
IF(REGEXMATCH(S71, ""Itaú Cultural""), ""YouTube (Itaú Cultural)"",
IF(REGEXMATCH(S71, ""Passa Palavra""), ""Vimeo (Passa Palavra)"",
IF(REGEXMATCH(S71, ""rede2deoutubro\.blogspot""), ""Blogspot (Rede 02 de Outubro)"",
IF(REGEXMATCH(S71, ""Red"&amp;"e TVT""), ""YouTube (Rede TVT)"",
IF(REGEXMATCH(S71, ""Esquerda Diário""), ""Esquerda Diário"",
IF(REGEXMATCH(S71, ""GZH""), ""GZH"",
IF(REGEXMATCH(S71, ""TVPUC""), ""TVPUC"",
IF(REGEXMATCH(S71, ""Mídia Ninja.*Facebook""), ""Facebook (Mídia Ninja)"",
IF(R"&amp;"EGEXMATCH(S71, ""Memórias Carandiru.*Instagram""), ""Instagram (Memórias Carandiru)"",
IF(REGEXMATCH(S71, ""Frente pelo Desencarceramento SP""), ""YouTube (Frente Pelo Desencarceramento SP)"",
IF(REGEXMATCH(S71, ""TV ABA""), ""YouTube (TV ABA)"",
IF(REGEX"&amp;"MATCH(S71, ""TV SENADO""), ""YouTube (TV Senado)"",
IF(REGEXMATCH(S71, ""Google Arts &amp; Culture""), ""Google Arts &amp; Culture (Memória Massacre Carandiru)"",
IF(REGEXMATCH(S71, ""Anistia Internacional|ANISTIA INTERNACIONAL""), ""Anistia Internacional"",
IF(R"&amp;"EGEXMATCH(S71, ""47\.mostra|47a Mostra""), ""47a Mostra Internacional de Cinema em São Paulo"",
IF(REGEXMATCH(S71, ""Canal USP""), ""YouTube (Canal USP)"",
IF(AND(
  REGEXMATCH(S71, ""(?i)(teses?\.usp\.br|dissertacoes?\.usp\.br|repositorio\.usp\.br)""),
 "&amp;" NOT(REGEXMATCH(S71, ""Canal USP""))
), ""Biblioteca Digital de Teses e Dissertações da USP"",
IF(REGEXMATCH(S71, ""SINTRAJUSC""), ""SINTRAJUSC"",
IF(REGEXMATCH(S71, ""Agência Brasil|Agencia Brasil""), ""Agência Brasil"",
IF(REGEXMATCH(S71, ""Brasil de Fa"&amp;"to""), ""Brasil de Fato"",
IF(REGEXMATCH(S71, ""Ponte Jornalismo|pontejornalismo""), ""Ponte Jornalismo"",
IF(REGEXMATCH(S71, ""letras\.mus\.br|Letras,""), ""Letras"",
IF(REGEXMATCH(S71, ""YouTube|youtube""), 
   ""YouTube (""&amp;
   IF(REGEXMATCH(S71, ""It"&amp;"aú Cultural""), ""Itaú Cultural"",
   IF(REGEXMATCH(S71, ""Rede TVT""), ""Rede TVT"",
   IF(REGEXMATCH(S71, ""Frente pelo Desencarceramento SP""), ""Frente Pelo Desencarceramento SP"",
   IF(REGEXMATCH(S71, ""TV ABA""), ""TV ABA"",
   IF(REGEXMATCH(S71, "&amp;"""TV SENADO""), ""TV Senado"",
   IF(REGEXMATCH(S71, ""Canal USP""), ""Canal USP"",
   IF(REGEXMATCH(S71, ""Douer, Zack|Zack Douer""), ""Douer Zack"",
   IF(REGEXMATCH(S71, ""PRISIONEIRO 84\.901|PRISIONEIRO 84""), ""Prisioneiro 84.901"",
   IF(REGEXMATCH("&amp;"S71, ""^[^,]*, ""), 
        PROPER(REGEXREPLACE(REGEXEXTRACT(S71, ""^([^.]*)\.""), ""^([^,]*), (.*)"", ""$2 $1"")),
        PROPER(REGEXEXTRACT(S71, ""^([^.]*)\.""))
   )))))))))&amp;"")"",
IF(REGEXMATCH(S71, ""Spotify|spotify""), 
   ""Spotify (""&amp;
   IF(R"&amp;"EGEXMATCH(S71, ""ESTRANHO SORRISO""), ""Estranho Sorriso"",
   PROPER(REGEXEXTRACT(S71, ""^([^.]*)\.""))
   )&amp;"")"",
IF(REGEXMATCH(S71, ""Vimeo|vimeo""), 
   ""Vimeo (""&amp;
   IF(REGEXMATCH(S71, ""Passa Palavra""), ""Passa Palavra"",
   PROPER(REGEXEXTRACT"&amp;"(S71, ""^([^.]*)\.""))
   )&amp;"")"",
IF(REGEXMATCH(S71, ""Blogspot""), 
   ""Blogspot (""&amp;
   IF(REGEXMATCH(S71, ""rede2deoutubro""), ""Rede 02 de Outubro"",
   PROPER(REGEXEXTRACT(S71, ""^([^.]*)\.""))
   )&amp;"")"",
IF(REGEXMATCH(S71, ""Facebook""), 
   """&amp;"Facebook (""&amp;
   IF(REGEXMATCH(S71, ""Mídia Ninja""), ""Mídia Ninja"",
   PROPER(REGEXEXTRACT(S71, ""^([^.]*)\.""))
   )&amp;"")"",
IF(REGEXMATCH(S71, ""Instagram""), 
   ""Instagram (""&amp;
   IF(REGEXMATCH(S71, ""Memórias Carandiru""), ""Memórias Carandiru"","&amp;"
   PROPER(REGEXEXTRACT(S71, ""^([^.]*)\.""))
   )&amp;"")"",
IF(REGEXMATCH(S71, ""Folha de S\. Paulo|FOLHA DE S\. PAULO""), ""Folha de S. Paulo"",
IF(REGEXMATCH(S71, ""O Estado de S\. Paulo|ESTADAO""), ""O Estado de S. Paulo"",
IF(REGEXMATCH(S71, ""salasecr"&amp;"eta""), ""Wordpress (Sala Secreta)"",
IF(REGEXMATCH(S71, ""Wikipedia|Wikipédia|WIKIPÉDIA""), ""Wikipedia"",
IF(REGEXMATCH(S71, ""VEJA|Veja""), ""Veja Abril"",
IF(REGEXMATCH(S342, ""Rede Globo|REDE GLOBO""), ""Rede Globo"",
IF(REGEXMATCH(S342, ""G1|globo\."&amp;"com""), ""G1"",
IF(REGEXMATCH(S71, ""Deutsche Welle|DW\.com""), ""Deutsche Welle"",
IF(REGEXMATCH(S71, ""CIDH|Comissão Interamericana""), ""Comissão Interamericana de Direitos Humanos (CIDH)"",
IF(REGEXMATCH(S71, ""Pastoral Carcerária""), ""Pastoral Carce"&amp;"rária"",
IF(REGEXMATCH(S71, ""Esquerda Web""), ""Esquerda Web"",
IF(REGEXMATCH(S71, ""ONU|Organização das Nações Unidas""), ""ONU Brasil"",
IF(REGEXMATCH(S71, ""Quilombo Invisível""), ""Quilombo Invisível"",
IF(REGEXMATCH(S71, ""ALESP|Assembleia Legislati"&amp;"va""), ""ALESP"",
IF(REGEXMATCH(S71, ""Revista Opera""), ""Revista Opera"",
IF(REGEXMATCH(S71, ""SP Escola de Teatro""), ""SP Escola de Teatro"",
IF(REGEXMATCH(S71, ""EMC|Espaço Memória Carandiru""), ""EMC Espaço Memória Carandiru"",
IF(REGEXMATCH(S71, "&amp;"""^RAMOS, Nuno|Nuno Ramos""), ""Nuno Ramos"",
IF(REGEXMATCH(S71, ""^VELOSO, Caetano|Caetano Veloso""), ""YouTube (Caetano Veloso)"",
IF(REGEXMATCH(S71, ""^FATOS REAIS""), ""YouTube (Fatos Reais - Topic)"",
IF(REGEXMATCH(S71, ""^SALA SECRETA""), ""Wordpres"&amp;"s (Sala Secreta)"",
PROPER(REGEXEXTRACT(S71, ""^([^.]*)\.""))
))))))))))))))))))))))))))))))))))))))))))))))))))))))))"),"FGV DIREITO SP")</f>
        <v>FGV DIREITO SP</v>
      </c>
      <c r="N71" s="11" t="s">
        <v>47</v>
      </c>
      <c r="O71" s="11" t="s">
        <v>221</v>
      </c>
      <c r="P71" s="51">
        <v>45856.0</v>
      </c>
      <c r="Q71" s="11" t="s">
        <v>154</v>
      </c>
      <c r="R71" s="70" t="str">
        <f t="shared" si="8"/>
        <v>Aqui</v>
      </c>
      <c r="S71" s="75" t="s">
        <v>614</v>
      </c>
    </row>
    <row r="72">
      <c r="A72" s="11">
        <v>70.0</v>
      </c>
      <c r="B72" s="11" t="s">
        <v>228</v>
      </c>
      <c r="C72" s="122" t="s">
        <v>165</v>
      </c>
      <c r="D72" s="13" t="str">
        <f>IFERROR(__xludf.DUMMYFUNCTION("IF(B72="""","""",IF(OR(
  REGEXMATCH(B72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REGEXMATCH(B72,""público|Imediato|artística|teatral|memória"")
),""Público Imediato"",
IF(REGEXMATCH(B72,""Música|Álbum|Filme|Documentário|Série|Podcast|"&amp;"Rádio|Audiotour|Entrevista|Reportagem|Crônica|Relatório|Abaixo-assinado|Manifesto|Petição|Poema|Livro|Fotografia|Curta|Live|Webinário|Charge|Leitura pública|Vídeo""),
""Público Mediado"","""")))
"),"Público Imediato")</f>
        <v>Público Imediato</v>
      </c>
      <c r="E72" s="13" t="str">
        <f>IFERROR(__xludf.DUMMYFUNCTION("IF(B72="""","""",IF(OR(
  REGEXMATCH(B72,""Live|Webinário|Virtual""),
  REGEXMATCH(B72,""online"")
),""Virtual"",
IF(REGEXMATCH(B72,""Música|Álbum|Filme|Documentário|Série|Podcast|Rádio|Audiotour|Episódio|Reportagem|Curta|Charge|Livro|Vídeo|Entrevista""),"&amp;"
""Midiático"",
IF(REGEXMATCH(B72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2" s="14">
        <v>2012.0</v>
      </c>
      <c r="G72" s="15">
        <f t="shared" si="1"/>
        <v>2012</v>
      </c>
      <c r="H72" s="11" t="s">
        <v>615</v>
      </c>
      <c r="I72" s="16" t="s">
        <v>616</v>
      </c>
      <c r="J72" s="17" t="s">
        <v>617</v>
      </c>
      <c r="K72" s="16" t="s">
        <v>26</v>
      </c>
      <c r="L72" s="18" t="s">
        <v>489</v>
      </c>
      <c r="M72" s="15" t="str">
        <f>IFERROR(__xludf.DUMMYFUNCTION("IF(REGEXMATCH(S72, ""Companhia das Letras""), ""Companhia das Letras"",
IF(REGEXMATCH(S72, ""Labortexto Editorial""), ""Labortexto Editorial"",
IF(REGEXMATCH(S72, ""Geração Editorial""), ""Geração Editorial"",
IF(REGEXMATCH(S72, ""Editora Imprensa Oficial"&amp;"|Imprensa Oficial""), ""Editora Imprensa Oficial"",
IF(REGEXMATCH(S72, ""Folha Online""), ""Folha Online"",
IF(REGEXMATCH(S72, ""FGV DIREITO SP|FGV Direito SP""), ""FGV DIREITO SP"",
IF(REGEXMATCH(S72, ""massacrecarandiru\.org\.br""), ""Memória Massacre C"&amp;"arandiru"",
IF(REGEXMATCH(S72, ""Itaú Cultural""), ""YouTube (Itaú Cultural)"",
IF(REGEXMATCH(S72, ""Passa Palavra""), ""Vimeo (Passa Palavra)"",
IF(REGEXMATCH(S72, ""rede2deoutubro\.blogspot""), ""Blogspot (Rede 02 de Outubro)"",
IF(REGEXMATCH(S72, ""Red"&amp;"e TVT""), ""YouTube (Rede TVT)"",
IF(REGEXMATCH(S72, ""Esquerda Diário""), ""Esquerda Diário"",
IF(REGEXMATCH(S72, ""GZH""), ""GZH"",
IF(REGEXMATCH(S72, ""TVPUC""), ""TVPUC"",
IF(REGEXMATCH(S72, ""Mídia Ninja.*Facebook""), ""Facebook (Mídia Ninja)"",
IF(R"&amp;"EGEXMATCH(S72, ""Memórias Carandiru.*Instagram""), ""Instagram (Memórias Carandiru)"",
IF(REGEXMATCH(S72, ""Frente pelo Desencarceramento SP""), ""YouTube (Frente Pelo Desencarceramento SP)"",
IF(REGEXMATCH(S72, ""TV ABA""), ""YouTube (TV ABA)"",
IF(REGEX"&amp;"MATCH(S72, ""TV SENADO""), ""YouTube (TV Senado)"",
IF(REGEXMATCH(S72, ""Google Arts &amp; Culture""), ""Google Arts &amp; Culture (Memória Massacre Carandiru)"",
IF(REGEXMATCH(S72, ""Anistia Internacional|ANISTIA INTERNACIONAL""), ""Anistia Internacional"",
IF(R"&amp;"EGEXMATCH(S72, ""47\.mostra|47a Mostra""), ""47a Mostra Internacional de Cinema em São Paulo"",
IF(REGEXMATCH(S72, ""Canal USP""), ""YouTube (Canal USP)"",
IF(AND(
  REGEXMATCH(S72, ""(?i)(teses?\.usp\.br|dissertacoes?\.usp\.br|repositorio\.usp\.br)""),
 "&amp;" NOT(REGEXMATCH(S72, ""Canal USP""))
), ""Biblioteca Digital de Teses e Dissertações da USP"",
IF(REGEXMATCH(S72, ""SINTRAJUSC""), ""SINTRAJUSC"",
IF(REGEXMATCH(S72, ""Agência Brasil|Agencia Brasil""), ""Agência Brasil"",
IF(REGEXMATCH(S72, ""Brasil de Fa"&amp;"to""), ""Brasil de Fato"",
IF(REGEXMATCH(S72, ""Ponte Jornalismo|pontejornalismo""), ""Ponte Jornalismo"",
IF(REGEXMATCH(S72, ""letras\.mus\.br|Letras,""), ""Letras"",
IF(REGEXMATCH(S72, ""YouTube|youtube""), 
   ""YouTube (""&amp;
   IF(REGEXMATCH(S72, ""It"&amp;"aú Cultural""), ""Itaú Cultural"",
   IF(REGEXMATCH(S72, ""Rede TVT""), ""Rede TVT"",
   IF(REGEXMATCH(S72, ""Frente pelo Desencarceramento SP""), ""Frente Pelo Desencarceramento SP"",
   IF(REGEXMATCH(S72, ""TV ABA""), ""TV ABA"",
   IF(REGEXMATCH(S72, "&amp;"""TV SENADO""), ""TV Senado"",
   IF(REGEXMATCH(S72, ""Canal USP""), ""Canal USP"",
   IF(REGEXMATCH(S72, ""Douer, Zack|Zack Douer""), ""Douer Zack"",
   IF(REGEXMATCH(S72, ""PRISIONEIRO 84\.901|PRISIONEIRO 84""), ""Prisioneiro 84.901"",
   IF(REGEXMATCH("&amp;"S72, ""^[^,]*, ""), 
        PROPER(REGEXREPLACE(REGEXEXTRACT(S72, ""^([^.]*)\.""), ""^([^,]*), (.*)"", ""$2 $1"")),
        PROPER(REGEXEXTRACT(S72, ""^([^.]*)\.""))
   )))))))))&amp;"")"",
IF(REGEXMATCH(S72, ""Spotify|spotify""), 
   ""Spotify (""&amp;
   IF(R"&amp;"EGEXMATCH(S72, ""ESTRANHO SORRISO""), ""Estranho Sorriso"",
   PROPER(REGEXEXTRACT(S72, ""^([^.]*)\.""))
   )&amp;"")"",
IF(REGEXMATCH(S72, ""Vimeo|vimeo""), 
   ""Vimeo (""&amp;
   IF(REGEXMATCH(S72, ""Passa Palavra""), ""Passa Palavra"",
   PROPER(REGEXEXTRACT"&amp;"(S72, ""^([^.]*)\.""))
   )&amp;"")"",
IF(REGEXMATCH(S72, ""Blogspot""), 
   ""Blogspot (""&amp;
   IF(REGEXMATCH(S72, ""rede2deoutubro""), ""Rede 02 de Outubro"",
   PROPER(REGEXEXTRACT(S72, ""^([^.]*)\.""))
   )&amp;"")"",
IF(REGEXMATCH(S72, ""Facebook""), 
   """&amp;"Facebook (""&amp;
   IF(REGEXMATCH(S72, ""Mídia Ninja""), ""Mídia Ninja"",
   PROPER(REGEXEXTRACT(S72, ""^([^.]*)\.""))
   )&amp;"")"",
IF(REGEXMATCH(S72, ""Instagram""), 
   ""Instagram (""&amp;
   IF(REGEXMATCH(S72, ""Memórias Carandiru""), ""Memórias Carandiru"","&amp;"
   PROPER(REGEXEXTRACT(S72, ""^([^.]*)\.""))
   )&amp;"")"",
IF(REGEXMATCH(S72, ""Folha de S\. Paulo|FOLHA DE S\. PAULO""), ""Folha de S. Paulo"",
IF(REGEXMATCH(S72, ""O Estado de S\. Paulo|ESTADAO""), ""O Estado de S. Paulo"",
IF(REGEXMATCH(S72, ""salasecr"&amp;"eta""), ""Wordpress (Sala Secreta)"",
IF(REGEXMATCH(S72, ""Wikipedia|Wikipédia|WIKIPÉDIA""), ""Wikipedia"",
IF(REGEXMATCH(S72, ""VEJA|Veja""), ""Veja Abril"",
IF(REGEXMATCH(S343, ""Rede Globo|REDE GLOBO""), ""Rede Globo"",
IF(REGEXMATCH(S343, ""G1|globo\."&amp;"com""), ""G1"",
IF(REGEXMATCH(S72, ""Deutsche Welle|DW\.com""), ""Deutsche Welle"",
IF(REGEXMATCH(S72, ""CIDH|Comissão Interamericana""), ""Comissão Interamericana de Direitos Humanos (CIDH)"",
IF(REGEXMATCH(S72, ""Pastoral Carcerária""), ""Pastoral Carce"&amp;"rária"",
IF(REGEXMATCH(S72, ""Esquerda Web""), ""Esquerda Web"",
IF(REGEXMATCH(S72, ""ONU|Organização das Nações Unidas""), ""ONU Brasil"",
IF(REGEXMATCH(S72, ""Quilombo Invisível""), ""Quilombo Invisível"",
IF(REGEXMATCH(S72, ""ALESP|Assembleia Legislati"&amp;"va""), ""ALESP"",
IF(REGEXMATCH(S72, ""Revista Opera""), ""Revista Opera"",
IF(REGEXMATCH(S72, ""SP Escola de Teatro""), ""SP Escola de Teatro"",
IF(REGEXMATCH(S72, ""EMC|Espaço Memória Carandiru""), ""EMC Espaço Memória Carandiru"",
IF(REGEXMATCH(S72, "&amp;"""^RAMOS, Nuno|Nuno Ramos""), ""Nuno Ramos"",
IF(REGEXMATCH(S72, ""^VELOSO, Caetano|Caetano Veloso""), ""YouTube (Caetano Veloso)"",
IF(REGEXMATCH(S72, ""^FATOS REAIS""), ""YouTube (Fatos Reais - Topic)"",
IF(REGEXMATCH(S72, ""^SALA SECRETA""), ""Wordpres"&amp;"s (Sala Secreta)"",
PROPER(REGEXEXTRACT(S72, ""^([^.]*)\.""))
))))))))))))))))))))))))))))))))))))))))))))))))))))))))"),"ONU Brasil")</f>
        <v>ONU Brasil</v>
      </c>
      <c r="N72" s="11" t="s">
        <v>47</v>
      </c>
      <c r="O72" s="11" t="s">
        <v>149</v>
      </c>
      <c r="P72" s="51">
        <v>45853.0</v>
      </c>
      <c r="Q72" s="11" t="s">
        <v>154</v>
      </c>
      <c r="R72" s="70" t="str">
        <f t="shared" si="8"/>
        <v>Aqui</v>
      </c>
      <c r="S72" s="75" t="s">
        <v>618</v>
      </c>
    </row>
    <row r="73">
      <c r="A73" s="11">
        <v>71.0</v>
      </c>
      <c r="B73" s="11" t="s">
        <v>566</v>
      </c>
      <c r="C73" s="12" t="str">
        <f>IFERROR(__xludf.DUMMYFUNCTION("IF(B73="""","""",IF(OR(
  REGEXMATCH(B73,""Performance|Instalação|Álbum|Música|Poema|Livro|Filme|Documentário|Recitação|Espetáculo|Peça|Intervenção|Desfile|Fotografia|Exposição|Charge|Grafite|Leitura pública|Fabricação de cachaça artesanal""),
  REGEXMATC"&amp;"H(B73,""dança|teatral|artístico|musical|artística"")
),""Manifestação artístico-cultural"",
IF(OR(
  REGEXMATCH(B73,""Crônica|Série|Reportagem|Podcast|Audiotour|Entrevista|Vídeo|Rádio""),
  REGEXMATCH(B73,""midiática"")
),""Produção midiática"","""")))
"),"Manifestação artístico-cultural")</f>
        <v>Manifestação artístico-cultural</v>
      </c>
      <c r="D73" s="13" t="str">
        <f>IFERROR(__xludf.DUMMYFUNCTION("IF(B73="""","""",IF(OR(
  REGEXMATCH(B73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REGEXMATCH(B73,""público|Imediato|artística|teatral|memória"")
),""Público Imediato"",
IF(REGEXMATCH(B73,""Música|Álbum|Filme|Documentário|Série|Podcast|"&amp;"Rádio|Audiotour|Entrevista|Reportagem|Crônica|Relatório|Abaixo-assinado|Manifesto|Petição|Poema|Livro|Fotografia|Curta|Live|Webinário|Charge|Leitura pública|Vídeo""),
""Público Mediado"","""")))
"),"Público Mediado")</f>
        <v>Público Mediado</v>
      </c>
      <c r="E73" s="13" t="str">
        <f>IFERROR(__xludf.DUMMYFUNCTION("IF(B73="""","""",IF(OR(
  REGEXMATCH(B73,""Live|Webinário|Virtual""),
  REGEXMATCH(B73,""online"")
),""Virtual"",
IF(REGEXMATCH(B73,""Música|Álbum|Filme|Documentário|Série|Podcast|Rádio|Audiotour|Episódio|Reportagem|Curta|Charge|Livro|Vídeo|Entrevista""),"&amp;"
""Midiático"",
IF(REGEXMATCH(B73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3" s="183">
        <v>40932.0</v>
      </c>
      <c r="G73" s="15">
        <f t="shared" si="1"/>
        <v>2012</v>
      </c>
      <c r="H73" s="11" t="s">
        <v>619</v>
      </c>
      <c r="I73" s="16" t="s">
        <v>358</v>
      </c>
      <c r="J73" s="17" t="s">
        <v>620</v>
      </c>
      <c r="K73" s="16" t="s">
        <v>83</v>
      </c>
      <c r="L73" s="18" t="s">
        <v>329</v>
      </c>
      <c r="M73" s="15" t="str">
        <f>IFERROR(__xludf.DUMMYFUNCTION("IF(REGEXMATCH(S73, ""Companhia das Letras""), ""Companhia das Letras"",
IF(REGEXMATCH(S73, ""Labortexto Editorial""), ""Labortexto Editorial"",
IF(REGEXMATCH(S73, ""Geração Editorial""), ""Geração Editorial"",
IF(REGEXMATCH(S73, ""Editora Imprensa Oficial"&amp;"|Imprensa Oficial""), ""Editora Imprensa Oficial"",
IF(REGEXMATCH(S73, ""Folha Online""), ""Folha Online"",
IF(REGEXMATCH(S73, ""FGV DIREITO SP|FGV Direito SP""), ""FGV DIREITO SP"",
IF(REGEXMATCH(S73, ""massacrecarandiru\.org\.br""), ""Memória Massacre C"&amp;"arandiru"",
IF(REGEXMATCH(S73, ""Itaú Cultural""), ""YouTube (Itaú Cultural)"",
IF(REGEXMATCH(S73, ""Passa Palavra""), ""Vimeo (Passa Palavra)"",
IF(REGEXMATCH(S73, ""rede2deoutubro\.blogspot""), ""Blogspot (Rede 02 de Outubro)"",
IF(REGEXMATCH(S73, ""Red"&amp;"e TVT""), ""YouTube (Rede TVT)"",
IF(REGEXMATCH(S73, ""Esquerda Diário""), ""Esquerda Diário"",
IF(REGEXMATCH(S73, ""GZH""), ""GZH"",
IF(REGEXMATCH(S73, ""TVPUC""), ""TVPUC"",
IF(REGEXMATCH(S73, ""Mídia Ninja.*Facebook""), ""Facebook (Mídia Ninja)"",
IF(R"&amp;"EGEXMATCH(S73, ""Memórias Carandiru.*Instagram""), ""Instagram (Memórias Carandiru)"",
IF(REGEXMATCH(S73, ""Frente pelo Desencarceramento SP""), ""YouTube (Frente Pelo Desencarceramento SP)"",
IF(REGEXMATCH(S73, ""TV ABA""), ""YouTube (TV ABA)"",
IF(REGEX"&amp;"MATCH(S73, ""TV SENADO""), ""YouTube (TV Senado)"",
IF(REGEXMATCH(S73, ""Google Arts &amp; Culture""), ""Google Arts &amp; Culture (Memória Massacre Carandiru)"",
IF(REGEXMATCH(S73, ""Anistia Internacional|ANISTIA INTERNACIONAL""), ""Anistia Internacional"",
IF(R"&amp;"EGEXMATCH(S73, ""47\.mostra|47a Mostra""), ""47a Mostra Internacional de Cinema em São Paulo"",
IF(REGEXMATCH(S73, ""Canal USP""), ""YouTube (Canal USP)"",
IF(AND(
  REGEXMATCH(S73, ""(?i)(teses?\.usp\.br|dissertacoes?\.usp\.br|repositorio\.usp\.br)""),
 "&amp;" NOT(REGEXMATCH(S73, ""Canal USP""))
), ""Biblioteca Digital de Teses e Dissertações da USP"",
IF(REGEXMATCH(S73, ""SINTRAJUSC""), ""SINTRAJUSC"",
IF(REGEXMATCH(S73, ""Agência Brasil|Agencia Brasil""), ""Agência Brasil"",
IF(REGEXMATCH(S73, ""Brasil de Fa"&amp;"to""), ""Brasil de Fato"",
IF(REGEXMATCH(S73, ""Ponte Jornalismo|pontejornalismo""), ""Ponte Jornalismo"",
IF(REGEXMATCH(S73, ""letras\.mus\.br|Letras,""), ""Letras"",
IF(REGEXMATCH(S73, ""YouTube|youtube""), 
   ""YouTube (""&amp;
   IF(REGEXMATCH(S73, ""It"&amp;"aú Cultural""), ""Itaú Cultural"",
   IF(REGEXMATCH(S73, ""Rede TVT""), ""Rede TVT"",
   IF(REGEXMATCH(S73, ""Frente pelo Desencarceramento SP""), ""Frente Pelo Desencarceramento SP"",
   IF(REGEXMATCH(S73, ""TV ABA""), ""TV ABA"",
   IF(REGEXMATCH(S73, "&amp;"""TV SENADO""), ""TV Senado"",
   IF(REGEXMATCH(S73, ""Canal USP""), ""Canal USP"",
   IF(REGEXMATCH(S73, ""Douer, Zack|Zack Douer""), ""Douer Zack"",
   IF(REGEXMATCH(S73, ""PRISIONEIRO 84\.901|PRISIONEIRO 84""), ""Prisioneiro 84.901"",
   IF(REGEXMATCH("&amp;"S73, ""^[^,]*, ""), 
        PROPER(REGEXREPLACE(REGEXEXTRACT(S73, ""^([^.]*)\.""), ""^([^,]*), (.*)"", ""$2 $1"")),
        PROPER(REGEXEXTRACT(S73, ""^([^.]*)\.""))
   )))))))))&amp;"")"",
IF(REGEXMATCH(S73, ""Spotify|spotify""), 
   ""Spotify (""&amp;
   IF(R"&amp;"EGEXMATCH(S73, ""ESTRANHO SORRISO""), ""Estranho Sorriso"",
   PROPER(REGEXEXTRACT(S73, ""^([^.]*)\.""))
   )&amp;"")"",
IF(REGEXMATCH(S73, ""Vimeo|vimeo""), 
   ""Vimeo (""&amp;
   IF(REGEXMATCH(S73, ""Passa Palavra""), ""Passa Palavra"",
   PROPER(REGEXEXTRACT"&amp;"(S73, ""^([^.]*)\.""))
   )&amp;"")"",
IF(REGEXMATCH(S73, ""Blogspot""), 
   ""Blogspot (""&amp;
   IF(REGEXMATCH(S73, ""rede2deoutubro""), ""Rede 02 de Outubro"",
   PROPER(REGEXEXTRACT(S73, ""^([^.]*)\.""))
   )&amp;"")"",
IF(REGEXMATCH(S73, ""Facebook""), 
   """&amp;"Facebook (""&amp;
   IF(REGEXMATCH(S73, ""Mídia Ninja""), ""Mídia Ninja"",
   PROPER(REGEXEXTRACT(S73, ""^([^.]*)\.""))
   )&amp;"")"",
IF(REGEXMATCH(S73, ""Instagram""), 
   ""Instagram (""&amp;
   IF(REGEXMATCH(S73, ""Memórias Carandiru""), ""Memórias Carandiru"","&amp;"
   PROPER(REGEXEXTRACT(S73, ""^([^.]*)\.""))
   )&amp;"")"",
IF(REGEXMATCH(S73, ""Folha de S\. Paulo|FOLHA DE S\. PAULO""), ""Folha de S. Paulo"",
IF(REGEXMATCH(S73, ""O Estado de S\. Paulo|ESTADAO""), ""O Estado de S. Paulo"",
IF(REGEXMATCH(S73, ""salasecr"&amp;"eta""), ""Wordpress (Sala Secreta)"",
IF(REGEXMATCH(S73, ""Wikipedia|Wikipédia|WIKIPÉDIA""), ""Wikipedia"",
IF(REGEXMATCH(S73, ""VEJA|Veja""), ""Veja Abril"",
IF(REGEXMATCH(S344, ""Rede Globo|REDE GLOBO""), ""Rede Globo"",
IF(REGEXMATCH(S344, ""G1|globo\."&amp;"com""), ""G1"",
IF(REGEXMATCH(S73, ""Deutsche Welle|DW\.com""), ""Deutsche Welle"",
IF(REGEXMATCH(S73, ""CIDH|Comissão Interamericana""), ""Comissão Interamericana de Direitos Humanos (CIDH)"",
IF(REGEXMATCH(S73, ""Pastoral Carcerária""), ""Pastoral Carce"&amp;"rária"",
IF(REGEXMATCH(S73, ""Esquerda Web""), ""Esquerda Web"",
IF(REGEXMATCH(S73, ""ONU|Organização das Nações Unidas""), ""ONU Brasil"",
IF(REGEXMATCH(S73, ""Quilombo Invisível""), ""Quilombo Invisível"",
IF(REGEXMATCH(S73, ""ALESP|Assembleia Legislati"&amp;"va""), ""ALESP"",
IF(REGEXMATCH(S73, ""Revista Opera""), ""Revista Opera"",
IF(REGEXMATCH(S73, ""SP Escola de Teatro""), ""SP Escola de Teatro"",
IF(REGEXMATCH(S73, ""EMC|Espaço Memória Carandiru""), ""EMC Espaço Memória Carandiru"",
IF(REGEXMATCH(S73, "&amp;"""^RAMOS, Nuno|Nuno Ramos""), ""Nuno Ramos"",
IF(REGEXMATCH(S73, ""^VELOSO, Caetano|Caetano Veloso""), ""YouTube (Caetano Veloso)"",
IF(REGEXMATCH(S73, ""^FATOS REAIS""), ""YouTube (Fatos Reais - Topic)"",
IF(REGEXMATCH(S73, ""^SALA SECRETA""), ""Wordpres"&amp;"s (Sala Secreta)"",
PROPER(REGEXEXTRACT(S73, ""^([^.]*)\.""))
))))))))))))))))))))))))))))))))))))))))))))))))))))))))"),"YouTube (Cinescadão)")</f>
        <v>YouTube (Cinescadão)</v>
      </c>
      <c r="N73" s="11" t="s">
        <v>47</v>
      </c>
      <c r="O73" s="11" t="s">
        <v>149</v>
      </c>
      <c r="P73" s="51">
        <v>45855.0</v>
      </c>
      <c r="Q73" s="11" t="s">
        <v>154</v>
      </c>
      <c r="R73" s="70" t="str">
        <f t="shared" si="8"/>
        <v>Aqui</v>
      </c>
      <c r="S73" s="75" t="s">
        <v>621</v>
      </c>
    </row>
    <row r="74">
      <c r="A74" s="11">
        <v>72.0</v>
      </c>
      <c r="B74" s="11" t="s">
        <v>622</v>
      </c>
      <c r="C74" s="12" t="str">
        <f>IFERROR(__xludf.DUMMYFUNCTION("IF(B74="""","""",IF(OR(
  REGEXMATCH(B74,""Performance|Instalação|Álbum|Música|Poema|Livro|Filme|Documentário|Recitação|Espetáculo|Peça|Intervenção|Desfile|Fotografia|Exposição|Charge|Grafite|Leitura pública|Fabricação de cachaça artesanal""),
  REGEXMATC"&amp;"H(B74,""dança|teatral|artístico|musical|artística"")
),""Manifestação artístico-cultural"",
IF(OR(
  REGEXMATCH(B74,""Crônica|Série|Reportagem|Podcast|Audiotour|Entrevista|Vídeo|Rádio""),
  REGEXMATCH(B74,""midiática"")
),""Produção midiática"","""")))
"),"Manifestação artístico-cultural")</f>
        <v>Manifestação artístico-cultural</v>
      </c>
      <c r="D74" s="13" t="str">
        <f>IFERROR(__xludf.DUMMYFUNCTION("IF(B74="""","""",IF(OR(
  REGEXMATCH(B74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REGEXMATCH(B74,""público|Imediato|artística|teatral|memória"")
),""Público Imediato"",
IF(REGEXMATCH(B74,""Música|Álbum|Filme|Documentário|Série|Podcast|"&amp;"Rádio|Audiotour|Entrevista|Reportagem|Crônica|Relatório|Abaixo-assinado|Manifesto|Petição|Poema|Livro|Fotografia|Curta|Live|Webinário|Charge|Leitura pública|Vídeo""),
""Público Mediado"","""")))
"),"Público Mediado")</f>
        <v>Público Mediado</v>
      </c>
      <c r="E74" s="13" t="str">
        <f>IFERROR(__xludf.DUMMYFUNCTION("IF(B74="""","""",IF(OR(
  REGEXMATCH(B74,""Live|Webinário|Virtual""),
  REGEXMATCH(B74,""online"")
),""Virtual"",
IF(REGEXMATCH(B74,""Música|Álbum|Filme|Documentário|Série|Podcast|Rádio|Audiotour|Episódio|Reportagem|Curta|Charge|Livro|Vídeo|Entrevista""),"&amp;"
""Midiático"",
IF(REGEXMATCH(B74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4" s="183">
        <v>40974.0</v>
      </c>
      <c r="G74" s="15">
        <f t="shared" si="1"/>
        <v>2012</v>
      </c>
      <c r="H74" s="11" t="s">
        <v>623</v>
      </c>
      <c r="I74" s="16" t="s">
        <v>87</v>
      </c>
      <c r="J74" s="17" t="s">
        <v>624</v>
      </c>
      <c r="K74" s="16" t="s">
        <v>103</v>
      </c>
      <c r="L74" s="18" t="s">
        <v>489</v>
      </c>
      <c r="M74" s="15" t="str">
        <f>IFERROR(__xludf.DUMMYFUNCTION("IF(REGEXMATCH(S74, ""Companhia das Letras""), ""Companhia das Letras"",
IF(REGEXMATCH(S74, ""Labortexto Editorial""), ""Labortexto Editorial"",
IF(REGEXMATCH(S74, ""Geração Editorial""), ""Geração Editorial"",
IF(REGEXMATCH(S74, ""Editora Imprensa Oficial"&amp;"|Imprensa Oficial""), ""Editora Imprensa Oficial"",
IF(REGEXMATCH(S74, ""Folha Online""), ""Folha Online"",
IF(REGEXMATCH(S74, ""FGV DIREITO SP|FGV Direito SP""), ""FGV DIREITO SP"",
IF(REGEXMATCH(S74, ""massacrecarandiru\.org\.br""), ""Memória Massacre C"&amp;"arandiru"",
IF(REGEXMATCH(S74, ""Itaú Cultural""), ""YouTube (Itaú Cultural)"",
IF(REGEXMATCH(S74, ""Passa Palavra""), ""Vimeo (Passa Palavra)"",
IF(REGEXMATCH(S74, ""rede2deoutubro\.blogspot""), ""Blogspot (Rede 02 de Outubro)"",
IF(REGEXMATCH(S74, ""Red"&amp;"e TVT""), ""YouTube (Rede TVT)"",
IF(REGEXMATCH(S74, ""Esquerda Diário""), ""Esquerda Diário"",
IF(REGEXMATCH(S74, ""GZH""), ""GZH"",
IF(REGEXMATCH(S74, ""TVPUC""), ""TVPUC"",
IF(REGEXMATCH(S74, ""Mídia Ninja.*Facebook""), ""Facebook (Mídia Ninja)"",
IF(R"&amp;"EGEXMATCH(S74, ""Memórias Carandiru.*Instagram""), ""Instagram (Memórias Carandiru)"",
IF(REGEXMATCH(S74, ""Frente pelo Desencarceramento SP""), ""YouTube (Frente Pelo Desencarceramento SP)"",
IF(REGEXMATCH(S74, ""TV ABA""), ""YouTube (TV ABA)"",
IF(REGEX"&amp;"MATCH(S74, ""TV SENADO""), ""YouTube (TV Senado)"",
IF(REGEXMATCH(S74, ""Google Arts &amp; Culture""), ""Google Arts &amp; Culture (Memória Massacre Carandiru)"",
IF(REGEXMATCH(S74, ""Anistia Internacional|ANISTIA INTERNACIONAL""), ""Anistia Internacional"",
IF(R"&amp;"EGEXMATCH(S74, ""47\.mostra|47a Mostra""), ""47a Mostra Internacional de Cinema em São Paulo"",
IF(REGEXMATCH(S74, ""Canal USP""), ""YouTube (Canal USP)"",
IF(AND(
  REGEXMATCH(S74, ""(?i)(teses?\.usp\.br|dissertacoes?\.usp\.br|repositorio\.usp\.br)""),
 "&amp;" NOT(REGEXMATCH(S74, ""Canal USP""))
), ""Biblioteca Digital de Teses e Dissertações da USP"",
IF(REGEXMATCH(S74, ""SINTRAJUSC""), ""SINTRAJUSC"",
IF(REGEXMATCH(S74, ""Agência Brasil|Agencia Brasil""), ""Agência Brasil"",
IF(REGEXMATCH(S74, ""Brasil de Fa"&amp;"to""), ""Brasil de Fato"",
IF(REGEXMATCH(S74, ""Ponte Jornalismo|pontejornalismo""), ""Ponte Jornalismo"",
IF(REGEXMATCH(S74, ""letras\.mus\.br|Letras,""), ""Letras"",
IF(REGEXMATCH(S74, ""YouTube|youtube""), 
   ""YouTube (""&amp;
   IF(REGEXMATCH(S74, ""It"&amp;"aú Cultural""), ""Itaú Cultural"",
   IF(REGEXMATCH(S74, ""Rede TVT""), ""Rede TVT"",
   IF(REGEXMATCH(S74, ""Frente pelo Desencarceramento SP""), ""Frente Pelo Desencarceramento SP"",
   IF(REGEXMATCH(S74, ""TV ABA""), ""TV ABA"",
   IF(REGEXMATCH(S74, "&amp;"""TV SENADO""), ""TV Senado"",
   IF(REGEXMATCH(S74, ""Canal USP""), ""Canal USP"",
   IF(REGEXMATCH(S74, ""Douer, Zack|Zack Douer""), ""Douer Zack"",
   IF(REGEXMATCH(S74, ""PRISIONEIRO 84\.901|PRISIONEIRO 84""), ""Prisioneiro 84.901"",
   IF(REGEXMATCH("&amp;"S74, ""^[^,]*, ""), 
        PROPER(REGEXREPLACE(REGEXEXTRACT(S74, ""^([^.]*)\.""), ""^([^,]*), (.*)"", ""$2 $1"")),
        PROPER(REGEXEXTRACT(S74, ""^([^.]*)\.""))
   )))))))))&amp;"")"",
IF(REGEXMATCH(S74, ""Spotify|spotify""), 
   ""Spotify (""&amp;
   IF(R"&amp;"EGEXMATCH(S74, ""ESTRANHO SORRISO""), ""Estranho Sorriso"",
   PROPER(REGEXEXTRACT(S74, ""^([^.]*)\.""))
   )&amp;"")"",
IF(REGEXMATCH(S74, ""Vimeo|vimeo""), 
   ""Vimeo (""&amp;
   IF(REGEXMATCH(S74, ""Passa Palavra""), ""Passa Palavra"",
   PROPER(REGEXEXTRACT"&amp;"(S74, ""^([^.]*)\.""))
   )&amp;"")"",
IF(REGEXMATCH(S74, ""Blogspot""), 
   ""Blogspot (""&amp;
   IF(REGEXMATCH(S74, ""rede2deoutubro""), ""Rede 02 de Outubro"",
   PROPER(REGEXEXTRACT(S74, ""^([^.]*)\.""))
   )&amp;"")"",
IF(REGEXMATCH(S74, ""Facebook""), 
   """&amp;"Facebook (""&amp;
   IF(REGEXMATCH(S74, ""Mídia Ninja""), ""Mídia Ninja"",
   PROPER(REGEXEXTRACT(S74, ""^([^.]*)\.""))
   )&amp;"")"",
IF(REGEXMATCH(S74, ""Instagram""), 
   ""Instagram (""&amp;
   IF(REGEXMATCH(S74, ""Memórias Carandiru""), ""Memórias Carandiru"","&amp;"
   PROPER(REGEXEXTRACT(S74, ""^([^.]*)\.""))
   )&amp;"")"",
IF(REGEXMATCH(S74, ""Folha de S\. Paulo|FOLHA DE S\. PAULO""), ""Folha de S. Paulo"",
IF(REGEXMATCH(S74, ""O Estado de S\. Paulo|ESTADAO""), ""O Estado de S. Paulo"",
IF(REGEXMATCH(S74, ""salasecr"&amp;"eta""), ""Wordpress (Sala Secreta)"",
IF(REGEXMATCH(S74, ""Wikipedia|Wikipédia|WIKIPÉDIA""), ""Wikipedia"",
IF(REGEXMATCH(S74, ""VEJA|Veja""), ""Veja Abril"",
IF(REGEXMATCH(S345, ""Rede Globo|REDE GLOBO""), ""Rede Globo"",
IF(REGEXMATCH(S345, ""G1|globo\."&amp;"com""), ""G1"",
IF(REGEXMATCH(S74, ""Deutsche Welle|DW\.com""), ""Deutsche Welle"",
IF(REGEXMATCH(S74, ""CIDH|Comissão Interamericana""), ""Comissão Interamericana de Direitos Humanos (CIDH)"",
IF(REGEXMATCH(S74, ""Pastoral Carcerária""), ""Pastoral Carce"&amp;"rária"",
IF(REGEXMATCH(S74, ""Esquerda Web""), ""Esquerda Web"",
IF(REGEXMATCH(S74, ""ONU|Organização das Nações Unidas""), ""ONU Brasil"",
IF(REGEXMATCH(S74, ""Quilombo Invisível""), ""Quilombo Invisível"",
IF(REGEXMATCH(S74, ""ALESP|Assembleia Legislati"&amp;"va""), ""ALESP"",
IF(REGEXMATCH(S74, ""Revista Opera""), ""Revista Opera"",
IF(REGEXMATCH(S74, ""SP Escola de Teatro""), ""SP Escola de Teatro"",
IF(REGEXMATCH(S74, ""EMC|Espaço Memória Carandiru""), ""EMC Espaço Memória Carandiru"",
IF(REGEXMATCH(S74, "&amp;"""^RAMOS, Nuno|Nuno Ramos""), ""Nuno Ramos"",
IF(REGEXMATCH(S74, ""^VELOSO, Caetano|Caetano Veloso""), ""YouTube (Caetano Veloso)"",
IF(REGEXMATCH(S74, ""^FATOS REAIS""), ""YouTube (Fatos Reais - Topic)"",
IF(REGEXMATCH(S74, ""^SALA SECRETA""), ""Wordpres"&amp;"s (Sala Secreta)"",
PROPER(REGEXEXTRACT(S74, ""^([^.]*)\.""))
))))))))))))))))))))))))))))))))))))))))))))))))))))))))"),"FGV DIREITO SP")</f>
        <v>FGV DIREITO SP</v>
      </c>
      <c r="N74" s="11" t="s">
        <v>47</v>
      </c>
      <c r="O74" s="11" t="s">
        <v>221</v>
      </c>
      <c r="P74" s="51">
        <v>45856.0</v>
      </c>
      <c r="Q74" s="11" t="s">
        <v>154</v>
      </c>
      <c r="R74" s="70" t="str">
        <f t="shared" si="8"/>
        <v>Aqui</v>
      </c>
      <c r="S74" s="75" t="s">
        <v>625</v>
      </c>
    </row>
    <row r="75">
      <c r="A75" s="11">
        <v>73.0</v>
      </c>
      <c r="B75" s="11" t="s">
        <v>626</v>
      </c>
      <c r="C75" s="12" t="str">
        <f>IFERROR(__xludf.DUMMYFUNCTION("IF(B75="""","""",IF(OR(
  REGEXMATCH(B75,""Performance|Instalação|Álbum|Música|Poema|Livro|Filme|Documentário|Recitação|Espetáculo|Peça|Intervenção|Desfile|Fotografia|Exposição|Charge|Grafite|Leitura pública|Fabricação de cachaça artesanal""),
  REGEXMATC"&amp;"H(B75,""dança|teatral|artístico|musical|artística"")
),""Manifestação artístico-cultural"",
IF(OR(
  REGEXMATCH(B75,""Crônica|Série|Reportagem|Podcast|Audiotour|Entrevista|Vídeo|Rádio""),
  REGEXMATCH(B75,""midiática"")
),""Produção midiática"","""")))
"),"Manifestação artístico-cultural")</f>
        <v>Manifestação artístico-cultural</v>
      </c>
      <c r="D75" s="13" t="str">
        <f>IFERROR(__xludf.DUMMYFUNCTION("IF(B75="""","""",IF(OR(
  REGEXMATCH(B75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REGEXMATCH(B75,""público|Imediato|artística|teatral|memória"")
),""Público Imediato"",
IF(REGEXMATCH(B75,""Música|Álbum|Filme|Documentário|Série|Podcast|"&amp;"Rádio|Audiotour|Entrevista|Reportagem|Crônica|Relatório|Abaixo-assinado|Manifesto|Petição|Poema|Livro|Fotografia|Curta|Live|Webinário|Charge|Leitura pública|Vídeo""),
""Público Mediado"","""")))
"),"Público Imediato")</f>
        <v>Público Imediato</v>
      </c>
      <c r="E75" s="13" t="str">
        <f>IFERROR(__xludf.DUMMYFUNCTION("IF(B75="""","""",IF(OR(
  REGEXMATCH(B75,""Live|Webinário|Virtual""),
  REGEXMATCH(B75,""online"")
),""Virtual"",
IF(REGEXMATCH(B75,""Música|Álbum|Filme|Documentário|Série|Podcast|Rádio|Audiotour|Episódio|Reportagem|Curta|Charge|Livro|Vídeo|Entrevista""),"&amp;"
""Midiático"",
IF(REGEXMATCH(B75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5" s="183">
        <v>40978.0</v>
      </c>
      <c r="G75" s="15">
        <f t="shared" si="1"/>
        <v>2012</v>
      </c>
      <c r="H75" s="11" t="s">
        <v>627</v>
      </c>
      <c r="I75" s="16" t="s">
        <v>628</v>
      </c>
      <c r="J75" s="17" t="s">
        <v>629</v>
      </c>
      <c r="K75" s="16" t="s">
        <v>233</v>
      </c>
      <c r="L75" s="18" t="s">
        <v>489</v>
      </c>
      <c r="M75" s="15" t="str">
        <f>IFERROR(__xludf.DUMMYFUNCTION("IF(REGEXMATCH(S75, ""Companhia das Letras""), ""Companhia das Letras"",
IF(REGEXMATCH(S75, ""Labortexto Editorial""), ""Labortexto Editorial"",
IF(REGEXMATCH(S75, ""Geração Editorial""), ""Geração Editorial"",
IF(REGEXMATCH(S75, ""Editora Imprensa Oficial"&amp;"|Imprensa Oficial""), ""Editora Imprensa Oficial"",
IF(REGEXMATCH(S75, ""Folha Online""), ""Folha Online"",
IF(REGEXMATCH(S75, ""FGV DIREITO SP|FGV Direito SP""), ""FGV DIREITO SP"",
IF(REGEXMATCH(S75, ""massacrecarandiru\.org\.br""), ""Memória Massacre C"&amp;"arandiru"",
IF(REGEXMATCH(S75, ""Itaú Cultural""), ""YouTube (Itaú Cultural)"",
IF(REGEXMATCH(S75, ""Passa Palavra""), ""Vimeo (Passa Palavra)"",
IF(REGEXMATCH(S75, ""rede2deoutubro\.blogspot""), ""Blogspot (Rede 02 de Outubro)"",
IF(REGEXMATCH(S75, ""Red"&amp;"e TVT""), ""YouTube (Rede TVT)"",
IF(REGEXMATCH(S75, ""Esquerda Diário""), ""Esquerda Diário"",
IF(REGEXMATCH(S75, ""GZH""), ""GZH"",
IF(REGEXMATCH(S75, ""TVPUC""), ""TVPUC"",
IF(REGEXMATCH(S75, ""Mídia Ninja.*Facebook""), ""Facebook (Mídia Ninja)"",
IF(R"&amp;"EGEXMATCH(S75, ""Memórias Carandiru.*Instagram""), ""Instagram (Memórias Carandiru)"",
IF(REGEXMATCH(S75, ""Frente pelo Desencarceramento SP""), ""YouTube (Frente Pelo Desencarceramento SP)"",
IF(REGEXMATCH(S75, ""TV ABA""), ""YouTube (TV ABA)"",
IF(REGEX"&amp;"MATCH(S75, ""TV SENADO""), ""YouTube (TV Senado)"",
IF(REGEXMATCH(S75, ""Google Arts &amp; Culture""), ""Google Arts &amp; Culture (Memória Massacre Carandiru)"",
IF(REGEXMATCH(S75, ""Anistia Internacional|ANISTIA INTERNACIONAL""), ""Anistia Internacional"",
IF(R"&amp;"EGEXMATCH(S75, ""47\.mostra|47a Mostra""), ""47a Mostra Internacional de Cinema em São Paulo"",
IF(REGEXMATCH(S75, ""Canal USP""), ""YouTube (Canal USP)"",
IF(AND(
  REGEXMATCH(S75, ""(?i)(teses?\.usp\.br|dissertacoes?\.usp\.br|repositorio\.usp\.br)""),
 "&amp;" NOT(REGEXMATCH(S75, ""Canal USP""))
), ""Biblioteca Digital de Teses e Dissertações da USP"",
IF(REGEXMATCH(S75, ""SINTRAJUSC""), ""SINTRAJUSC"",
IF(REGEXMATCH(S75, ""Agência Brasil|Agencia Brasil""), ""Agência Brasil"",
IF(REGEXMATCH(S75, ""Brasil de Fa"&amp;"to""), ""Brasil de Fato"",
IF(REGEXMATCH(S75, ""Ponte Jornalismo|pontejornalismo""), ""Ponte Jornalismo"",
IF(REGEXMATCH(S75, ""letras\.mus\.br|Letras,""), ""Letras"",
IF(REGEXMATCH(S75, ""YouTube|youtube""), 
   ""YouTube (""&amp;
   IF(REGEXMATCH(S75, ""It"&amp;"aú Cultural""), ""Itaú Cultural"",
   IF(REGEXMATCH(S75, ""Rede TVT""), ""Rede TVT"",
   IF(REGEXMATCH(S75, ""Frente pelo Desencarceramento SP""), ""Frente Pelo Desencarceramento SP"",
   IF(REGEXMATCH(S75, ""TV ABA""), ""TV ABA"",
   IF(REGEXMATCH(S75, "&amp;"""TV SENADO""), ""TV Senado"",
   IF(REGEXMATCH(S75, ""Canal USP""), ""Canal USP"",
   IF(REGEXMATCH(S75, ""Douer, Zack|Zack Douer""), ""Douer Zack"",
   IF(REGEXMATCH(S75, ""PRISIONEIRO 84\.901|PRISIONEIRO 84""), ""Prisioneiro 84.901"",
   IF(REGEXMATCH("&amp;"S75, ""^[^,]*, ""), 
        PROPER(REGEXREPLACE(REGEXEXTRACT(S75, ""^([^.]*)\.""), ""^([^,]*), (.*)"", ""$2 $1"")),
        PROPER(REGEXEXTRACT(S75, ""^([^.]*)\.""))
   )))))))))&amp;"")"",
IF(REGEXMATCH(S75, ""Spotify|spotify""), 
   ""Spotify (""&amp;
   IF(R"&amp;"EGEXMATCH(S75, ""ESTRANHO SORRISO""), ""Estranho Sorriso"",
   PROPER(REGEXEXTRACT(S75, ""^([^.]*)\.""))
   )&amp;"")"",
IF(REGEXMATCH(S75, ""Vimeo|vimeo""), 
   ""Vimeo (""&amp;
   IF(REGEXMATCH(S75, ""Passa Palavra""), ""Passa Palavra"",
   PROPER(REGEXEXTRACT"&amp;"(S75, ""^([^.]*)\.""))
   )&amp;"")"",
IF(REGEXMATCH(S75, ""Blogspot""), 
   ""Blogspot (""&amp;
   IF(REGEXMATCH(S75, ""rede2deoutubro""), ""Rede 02 de Outubro"",
   PROPER(REGEXEXTRACT(S75, ""^([^.]*)\.""))
   )&amp;"")"",
IF(REGEXMATCH(S75, ""Facebook""), 
   """&amp;"Facebook (""&amp;
   IF(REGEXMATCH(S75, ""Mídia Ninja""), ""Mídia Ninja"",
   PROPER(REGEXEXTRACT(S75, ""^([^.]*)\.""))
   )&amp;"")"",
IF(REGEXMATCH(S75, ""Instagram""), 
   ""Instagram (""&amp;
   IF(REGEXMATCH(S75, ""Memórias Carandiru""), ""Memórias Carandiru"","&amp;"
   PROPER(REGEXEXTRACT(S75, ""^([^.]*)\.""))
   )&amp;"")"",
IF(REGEXMATCH(S75, ""Folha de S\. Paulo|FOLHA DE S\. PAULO""), ""Folha de S. Paulo"",
IF(REGEXMATCH(S75, ""O Estado de S\. Paulo|ESTADAO""), ""O Estado de S. Paulo"",
IF(REGEXMATCH(S75, ""salasecr"&amp;"eta""), ""Wordpress (Sala Secreta)"",
IF(REGEXMATCH(S75, ""Wikipedia|Wikipédia|WIKIPÉDIA""), ""Wikipedia"",
IF(REGEXMATCH(S75, ""VEJA|Veja""), ""Veja Abril"",
IF(REGEXMATCH(S346, ""Rede Globo|REDE GLOBO""), ""Rede Globo"",
IF(REGEXMATCH(S346, ""G1|globo\."&amp;"com""), ""G1"",
IF(REGEXMATCH(S75, ""Deutsche Welle|DW\.com""), ""Deutsche Welle"",
IF(REGEXMATCH(S75, ""CIDH|Comissão Interamericana""), ""Comissão Interamericana de Direitos Humanos (CIDH)"",
IF(REGEXMATCH(S75, ""Pastoral Carcerária""), ""Pastoral Carce"&amp;"rária"",
IF(REGEXMATCH(S75, ""Esquerda Web""), ""Esquerda Web"",
IF(REGEXMATCH(S75, ""ONU|Organização das Nações Unidas""), ""ONU Brasil"",
IF(REGEXMATCH(S75, ""Quilombo Invisível""), ""Quilombo Invisível"",
IF(REGEXMATCH(S75, ""ALESP|Assembleia Legislati"&amp;"va""), ""ALESP"",
IF(REGEXMATCH(S75, ""Revista Opera""), ""Revista Opera"",
IF(REGEXMATCH(S75, ""SP Escola de Teatro""), ""SP Escola de Teatro"",
IF(REGEXMATCH(S75, ""EMC|Espaço Memória Carandiru""), ""EMC Espaço Memória Carandiru"",
IF(REGEXMATCH(S75, "&amp;"""^RAMOS, Nuno|Nuno Ramos""), ""Nuno Ramos"",
IF(REGEXMATCH(S75, ""^VELOSO, Caetano|Caetano Veloso""), ""YouTube (Caetano Veloso)"",
IF(REGEXMATCH(S75, ""^FATOS REAIS""), ""YouTube (Fatos Reais - Topic)"",
IF(REGEXMATCH(S75, ""^SALA SECRETA""), ""Wordpres"&amp;"s (Sala Secreta)"",
PROPER(REGEXEXTRACT(S75, ""^([^.]*)\.""))
))))))))))))))))))))))))))))))))))))))))))))))))))))))))"),"Blogspot (Revista Contemporartes)")</f>
        <v>Blogspot (Revista Contemporartes)</v>
      </c>
      <c r="N75" s="11" t="s">
        <v>47</v>
      </c>
      <c r="O75" s="11" t="s">
        <v>149</v>
      </c>
      <c r="P75" s="51">
        <v>45856.0</v>
      </c>
      <c r="Q75" s="11" t="s">
        <v>154</v>
      </c>
      <c r="R75" s="70" t="str">
        <f t="shared" si="8"/>
        <v>Aqui</v>
      </c>
      <c r="S75" s="75" t="s">
        <v>630</v>
      </c>
    </row>
    <row r="76">
      <c r="A76" s="11">
        <v>74.0</v>
      </c>
      <c r="B76" s="11" t="s">
        <v>566</v>
      </c>
      <c r="C76" s="12" t="str">
        <f>IFERROR(__xludf.DUMMYFUNCTION("IF(B76="""","""",IF(OR(
  REGEXMATCH(B76,""Performance|Instalação|Álbum|Música|Poema|Livro|Filme|Documentário|Recitação|Espetáculo|Peça|Intervenção|Desfile|Fotografia|Exposição|Charge|Grafite|Leitura pública|Fabricação de cachaça artesanal""),
  REGEXMATC"&amp;"H(B76,""dança|teatral|artístico|musical|artística"")
),""Manifestação artístico-cultural"",
IF(OR(
  REGEXMATCH(B76,""Crônica|Série|Reportagem|Podcast|Audiotour|Entrevista|Vídeo|Rádio""),
  REGEXMATCH(B76,""midiática"")
),""Produção midiática"","""")))
"),"Manifestação artístico-cultural")</f>
        <v>Manifestação artístico-cultural</v>
      </c>
      <c r="D76" s="13" t="str">
        <f>IFERROR(__xludf.DUMMYFUNCTION("IF(B76="""","""",IF(OR(
  REGEXMATCH(B76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REGEXMATCH(B76,""público|Imediato|artística|teatral|memória"")
),""Público Imediato"",
IF(REGEXMATCH(B76,""Música|Álbum|Filme|Documentário|Série|Podcast|"&amp;"Rádio|Audiotour|Entrevista|Reportagem|Crônica|Relatório|Abaixo-assinado|Manifesto|Petição|Poema|Livro|Fotografia|Curta|Live|Webinário|Charge|Leitura pública|Vídeo""),
""Público Mediado"","""")))
"),"Público Mediado")</f>
        <v>Público Mediado</v>
      </c>
      <c r="E76" s="13" t="str">
        <f>IFERROR(__xludf.DUMMYFUNCTION("IF(B76="""","""",IF(OR(
  REGEXMATCH(B76,""Live|Webinário|Virtual""),
  REGEXMATCH(B76,""online"")
),""Virtual"",
IF(REGEXMATCH(B76,""Música|Álbum|Filme|Documentário|Série|Podcast|Rádio|Audiotour|Episódio|Reportagem|Curta|Charge|Livro|Vídeo|Entrevista""),"&amp;"
""Midiático"",
IF(REGEXMATCH(B76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6" s="186">
        <v>41004.0</v>
      </c>
      <c r="G76" s="15">
        <f t="shared" si="1"/>
        <v>2012</v>
      </c>
      <c r="H76" s="181" t="s">
        <v>347</v>
      </c>
      <c r="I76" s="16" t="s">
        <v>631</v>
      </c>
      <c r="J76" s="17" t="s">
        <v>632</v>
      </c>
      <c r="K76" s="16" t="s">
        <v>83</v>
      </c>
      <c r="L76" s="18" t="s">
        <v>329</v>
      </c>
      <c r="M76" s="15" t="str">
        <f>IFERROR(__xludf.DUMMYFUNCTION("IF(REGEXMATCH(S76, ""Companhia das Letras""), ""Companhia das Letras"",
IF(REGEXMATCH(S76, ""Labortexto Editorial""), ""Labortexto Editorial"",
IF(REGEXMATCH(S76, ""Geração Editorial""), ""Geração Editorial"",
IF(REGEXMATCH(S76, ""Editora Imprensa Oficial"&amp;"|Imprensa Oficial""), ""Editora Imprensa Oficial"",
IF(REGEXMATCH(S76, ""Folha Online""), ""Folha Online"",
IF(REGEXMATCH(S76, ""FGV DIREITO SP|FGV Direito SP""), ""FGV DIREITO SP"",
IF(REGEXMATCH(S76, ""massacrecarandiru\.org\.br""), ""Memória Massacre C"&amp;"arandiru"",
IF(REGEXMATCH(S76, ""Itaú Cultural""), ""YouTube (Itaú Cultural)"",
IF(REGEXMATCH(S76, ""Passa Palavra""), ""Vimeo (Passa Palavra)"",
IF(REGEXMATCH(S76, ""rede2deoutubro\.blogspot""), ""Blogspot (Rede 02 de Outubro)"",
IF(REGEXMATCH(S76, ""Red"&amp;"e TVT""), ""YouTube (Rede TVT)"",
IF(REGEXMATCH(S76, ""Esquerda Diário""), ""Esquerda Diário"",
IF(REGEXMATCH(S76, ""GZH""), ""GZH"",
IF(REGEXMATCH(S76, ""TVPUC""), ""TVPUC"",
IF(REGEXMATCH(S76, ""Mídia Ninja.*Facebook""), ""Facebook (Mídia Ninja)"",
IF(R"&amp;"EGEXMATCH(S76, ""Memórias Carandiru.*Instagram""), ""Instagram (Memórias Carandiru)"",
IF(REGEXMATCH(S76, ""Frente pelo Desencarceramento SP""), ""YouTube (Frente Pelo Desencarceramento SP)"",
IF(REGEXMATCH(S76, ""TV ABA""), ""YouTube (TV ABA)"",
IF(REGEX"&amp;"MATCH(S76, ""TV SENADO""), ""YouTube (TV Senado)"",
IF(REGEXMATCH(S76, ""Google Arts &amp; Culture""), ""Google Arts &amp; Culture (Memória Massacre Carandiru)"",
IF(REGEXMATCH(S76, ""Anistia Internacional|ANISTIA INTERNACIONAL""), ""Anistia Internacional"",
IF(R"&amp;"EGEXMATCH(S76, ""47\.mostra|47a Mostra""), ""47a Mostra Internacional de Cinema em São Paulo"",
IF(REGEXMATCH(S76, ""Canal USP""), ""YouTube (Canal USP)"",
IF(AND(
  REGEXMATCH(S76, ""(?i)(teses?\.usp\.br|dissertacoes?\.usp\.br|repositorio\.usp\.br)""),
 "&amp;" NOT(REGEXMATCH(S76, ""Canal USP""))
), ""Biblioteca Digital de Teses e Dissertações da USP"",
IF(REGEXMATCH(S76, ""SINTRAJUSC""), ""SINTRAJUSC"",
IF(REGEXMATCH(S76, ""Agência Brasil|Agencia Brasil""), ""Agência Brasil"",
IF(REGEXMATCH(S76, ""Brasil de Fa"&amp;"to""), ""Brasil de Fato"",
IF(REGEXMATCH(S76, ""Ponte Jornalismo|pontejornalismo""), ""Ponte Jornalismo"",
IF(REGEXMATCH(S76, ""letras\.mus\.br|Letras,""), ""Letras"",
IF(REGEXMATCH(S76, ""YouTube|youtube""), 
   ""YouTube (""&amp;
   IF(REGEXMATCH(S76, ""It"&amp;"aú Cultural""), ""Itaú Cultural"",
   IF(REGEXMATCH(S76, ""Rede TVT""), ""Rede TVT"",
   IF(REGEXMATCH(S76, ""Frente pelo Desencarceramento SP""), ""Frente Pelo Desencarceramento SP"",
   IF(REGEXMATCH(S76, ""TV ABA""), ""TV ABA"",
   IF(REGEXMATCH(S76, "&amp;"""TV SENADO""), ""TV Senado"",
   IF(REGEXMATCH(S76, ""Canal USP""), ""Canal USP"",
   IF(REGEXMATCH(S76, ""Douer, Zack|Zack Douer""), ""Douer Zack"",
   IF(REGEXMATCH(S76, ""PRISIONEIRO 84\.901|PRISIONEIRO 84""), ""Prisioneiro 84.901"",
   IF(REGEXMATCH("&amp;"S76, ""^[^,]*, ""), 
        PROPER(REGEXREPLACE(REGEXEXTRACT(S76, ""^([^.]*)\.""), ""^([^,]*), (.*)"", ""$2 $1"")),
        PROPER(REGEXEXTRACT(S76, ""^([^.]*)\.""))
   )))))))))&amp;"")"",
IF(REGEXMATCH(S76, ""Spotify|spotify""), 
   ""Spotify (""&amp;
   IF(R"&amp;"EGEXMATCH(S76, ""ESTRANHO SORRISO""), ""Estranho Sorriso"",
   PROPER(REGEXEXTRACT(S76, ""^([^.]*)\.""))
   )&amp;"")"",
IF(REGEXMATCH(S76, ""Vimeo|vimeo""), 
   ""Vimeo (""&amp;
   IF(REGEXMATCH(S76, ""Passa Palavra""), ""Passa Palavra"",
   PROPER(REGEXEXTRACT"&amp;"(S76, ""^([^.]*)\.""))
   )&amp;"")"",
IF(REGEXMATCH(S76, ""Blogspot""), 
   ""Blogspot (""&amp;
   IF(REGEXMATCH(S76, ""rede2deoutubro""), ""Rede 02 de Outubro"",
   PROPER(REGEXEXTRACT(S76, ""^([^.]*)\.""))
   )&amp;"")"",
IF(REGEXMATCH(S76, ""Facebook""), 
   """&amp;"Facebook (""&amp;
   IF(REGEXMATCH(S76, ""Mídia Ninja""), ""Mídia Ninja"",
   PROPER(REGEXEXTRACT(S76, ""^([^.]*)\.""))
   )&amp;"")"",
IF(REGEXMATCH(S76, ""Instagram""), 
   ""Instagram (""&amp;
   IF(REGEXMATCH(S76, ""Memórias Carandiru""), ""Memórias Carandiru"","&amp;"
   PROPER(REGEXEXTRACT(S76, ""^([^.]*)\.""))
   )&amp;"")"",
IF(REGEXMATCH(S76, ""Folha de S\. Paulo|FOLHA DE S\. PAULO""), ""Folha de S. Paulo"",
IF(REGEXMATCH(S76, ""O Estado de S\. Paulo|ESTADAO""), ""O Estado de S. Paulo"",
IF(REGEXMATCH(S76, ""salasecr"&amp;"eta""), ""Wordpress (Sala Secreta)"",
IF(REGEXMATCH(S76, ""Wikipedia|Wikipédia|WIKIPÉDIA""), ""Wikipedia"",
IF(REGEXMATCH(S76, ""VEJA|Veja""), ""Veja Abril"",
IF(REGEXMATCH(S347, ""Rede Globo|REDE GLOBO""), ""Rede Globo"",
IF(REGEXMATCH(S347, ""G1|globo\."&amp;"com""), ""G1"",
IF(REGEXMATCH(S76, ""Deutsche Welle|DW\.com""), ""Deutsche Welle"",
IF(REGEXMATCH(S76, ""CIDH|Comissão Interamericana""), ""Comissão Interamericana de Direitos Humanos (CIDH)"",
IF(REGEXMATCH(S76, ""Pastoral Carcerária""), ""Pastoral Carce"&amp;"rária"",
IF(REGEXMATCH(S76, ""Esquerda Web""), ""Esquerda Web"",
IF(REGEXMATCH(S76, ""ONU|Organização das Nações Unidas""), ""ONU Brasil"",
IF(REGEXMATCH(S76, ""Quilombo Invisível""), ""Quilombo Invisível"",
IF(REGEXMATCH(S76, ""ALESP|Assembleia Legislati"&amp;"va""), ""ALESP"",
IF(REGEXMATCH(S76, ""Revista Opera""), ""Revista Opera"",
IF(REGEXMATCH(S76, ""SP Escola de Teatro""), ""SP Escola de Teatro"",
IF(REGEXMATCH(S76, ""EMC|Espaço Memória Carandiru""), ""EMC Espaço Memória Carandiru"",
IF(REGEXMATCH(S76, "&amp;"""^RAMOS, Nuno|Nuno Ramos""), ""Nuno Ramos"",
IF(REGEXMATCH(S76, ""^VELOSO, Caetano|Caetano Veloso""), ""YouTube (Caetano Veloso)"",
IF(REGEXMATCH(S76, ""^FATOS REAIS""), ""YouTube (Fatos Reais - Topic)"",
IF(REGEXMATCH(S76, ""^SALA SECRETA""), ""Wordpres"&amp;"s (Sala Secreta)"",
PROPER(REGEXEXTRACT(S76, ""^([^.]*)\.""))
))))))))))))))))))))))))))))))))))))))))))))))))))))))))"),"Vimeo (Passa Palavra)")</f>
        <v>Vimeo (Passa Palavra)</v>
      </c>
      <c r="N76" s="11" t="s">
        <v>47</v>
      </c>
      <c r="O76" s="11" t="s">
        <v>149</v>
      </c>
      <c r="P76" s="51">
        <v>45855.0</v>
      </c>
      <c r="Q76" s="11" t="s">
        <v>154</v>
      </c>
      <c r="R76" s="70" t="str">
        <f t="shared" si="8"/>
        <v>Aqui</v>
      </c>
      <c r="S76" s="75" t="s">
        <v>633</v>
      </c>
    </row>
    <row r="77">
      <c r="A77" s="11">
        <v>75.0</v>
      </c>
      <c r="B77" s="11" t="str">
        <f>IFERROR(__xludf.DUMMYFUNCTION("REGEXEXTRACT(S77, ""\[(.*?)\]"")"),"Reportagem")</f>
        <v>Reportagem</v>
      </c>
      <c r="C77" s="12" t="str">
        <f>IFERROR(__xludf.DUMMYFUNCTION("IF(B77="""","""",IF(OR(
  REGEXMATCH(B77,""Performance|Instalação|Álbum|Música|Poema|Livro|Filme|Documentário|Recitação|Espetáculo|Peça|Intervenção|Desfile|Fotografia|Exposição|Charge|Grafite|Leitura pública|Fabricação de cachaça artesanal""),
  REGEXMATC"&amp;"H(B77,""dança|teatral|artístico|musical|artística"")
),""Manifestação artístico-cultural"",
IF(OR(
  REGEXMATCH(B77,""Crônica|Série|Reportagem|Podcast|Audiotour|Entrevista|Vídeo|Rádio""),
  REGEXMATCH(B77,""midiática"")
),""Produção midiática"","""")))
"),"Produção midiática")</f>
        <v>Produção midiática</v>
      </c>
      <c r="D77" s="13" t="str">
        <f>IFERROR(__xludf.DUMMYFUNCTION("IF(B77="""","""",IF(OR(
  REGEXMATCH(B77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REGEXMATCH(B77,""público|Imediato|artística|teatral|memória"")
),""Público Imediato"",
IF(REGEXMATCH(B77,""Música|Álbum|Filme|Documentário|Série|Podcast|"&amp;"Rádio|Audiotour|Entrevista|Reportagem|Crônica|Relatório|Abaixo-assinado|Manifesto|Petição|Poema|Livro|Fotografia|Curta|Live|Webinário|Charge|Leitura pública|Vídeo""),
""Público Mediado"","""")))
"),"Público Mediado")</f>
        <v>Público Mediado</v>
      </c>
      <c r="E77" s="13" t="str">
        <f>IFERROR(__xludf.DUMMYFUNCTION("IF(B77="""","""",IF(OR(
  REGEXMATCH(B77,""Live|Webinário|Virtual""),
  REGEXMATCH(B77,""online"")
),""Virtual"",
IF(REGEXMATCH(B77,""Música|Álbum|Filme|Documentário|Série|Podcast|Rádio|Audiotour|Episódio|Reportagem|Curta|Charge|Livro|Vídeo|Entrevista""),"&amp;"
""Midiático"",
IF(REGEXMATCH(B77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7" s="201">
        <f>IFERROR(__xludf.DUMMYFUNCTION("DATE(
  RIGHT(REGEXEXTRACT(S77,""(\d{1,2}\s\w{3}\.\s\d{4})""),4),
  SWITCH(
    REGEXEXTRACT(REGEXEXTRACT(S77,""(\d{1,2}\s\w{3}\.\s\d{4})""),""[a-z]+""),
    ""jan"",1,""fev"",2,""mar"",3,""abr"",4,""mai"",5,""jun"",6,
    ""jul"",7,""ago"",8,""set"",9,"""&amp;"out"",10,""nov"",11,""dez"",12
  ),
  LEFT(REGEXEXTRACT(S77,""(\d{1,2}\s\w{3}\.\s\d{4})""),2)
)"),41198.0)</f>
        <v>41198</v>
      </c>
      <c r="G77" s="15">
        <f t="shared" si="1"/>
        <v>2012</v>
      </c>
      <c r="H77" s="14" t="s">
        <v>23</v>
      </c>
      <c r="I77" s="175" t="s">
        <v>634</v>
      </c>
      <c r="J77" s="202" t="str">
        <f>IFERROR(__xludf.DUMMYFUNCTION("REGEXEXTRACT(S77, ""\.\s(.*?)(?:\.|–)"")"),"Documento da Semana: 20 anos do Carandiru ")</f>
        <v>Documento da Semana: 20 anos do Carandiru </v>
      </c>
      <c r="K77" s="16" t="s">
        <v>83</v>
      </c>
      <c r="L77" s="18" t="s">
        <v>329</v>
      </c>
      <c r="M77" s="15" t="str">
        <f>IFERROR(__xludf.DUMMYFUNCTION("IF(REGEXMATCH(S77, ""Companhia das Letras""), ""Companhia das Letras"",
IF(REGEXMATCH(S77, ""Labortexto Editorial""), ""Labortexto Editorial"",
IF(REGEXMATCH(S77, ""Geração Editorial""), ""Geração Editorial"",
IF(REGEXMATCH(S77, ""Editora Imprensa Oficial"&amp;"|Imprensa Oficial""), ""Editora Imprensa Oficial"",
IF(REGEXMATCH(S77, ""Folha Online""), ""Folha Online"",
IF(REGEXMATCH(S77, ""FGV DIREITO SP|FGV Direito SP""), ""FGV DIREITO SP"",
IF(REGEXMATCH(S77, ""massacrecarandiru\.org\.br""), ""Memória Massacre C"&amp;"arandiru"",
IF(REGEXMATCH(S77, ""Itaú Cultural""), ""YouTube (Itaú Cultural)"",
IF(REGEXMATCH(S77, ""Passa Palavra""), ""Vimeo (Passa Palavra)"",
IF(REGEXMATCH(S77, ""rede2deoutubro\.blogspot""), ""Blogspot (Rede 02 de Outubro)"",
IF(REGEXMATCH(S77, ""Red"&amp;"e TVT""), ""YouTube (Rede TVT)"",
IF(REGEXMATCH(S77, ""Esquerda Diário""), ""Esquerda Diário"",
IF(REGEXMATCH(S77, ""GZH""), ""GZH"",
IF(REGEXMATCH(S77, ""TVPUC""), ""TVPUC"",
IF(REGEXMATCH(S77, ""Mídia Ninja.*Facebook""), ""Facebook (Mídia Ninja)"",
IF(R"&amp;"EGEXMATCH(S77, ""Memórias Carandiru.*Instagram""), ""Instagram (Memórias Carandiru)"",
IF(REGEXMATCH(S77, ""Frente pelo Desencarceramento SP""), ""YouTube (Frente Pelo Desencarceramento SP)"",
IF(REGEXMATCH(S77, ""TV ABA""), ""YouTube (TV ABA)"",
IF(REGEX"&amp;"MATCH(S77, ""TV SENADO""), ""YouTube (TV Senado)"",
IF(REGEXMATCH(S77, ""Google Arts &amp; Culture""), ""Google Arts &amp; Culture (Memória Massacre Carandiru)"",
IF(REGEXMATCH(S77, ""Anistia Internacional|ANISTIA INTERNACIONAL""), ""Anistia Internacional"",
IF(R"&amp;"EGEXMATCH(S77, ""47\.mostra|47a Mostra""), ""47a Mostra Internacional de Cinema em São Paulo"",
IF(REGEXMATCH(S77, ""Canal USP""), ""YouTube (Canal USP)"",
IF(AND(
  REGEXMATCH(S77, ""(?i)(teses?\.usp\.br|dissertacoes?\.usp\.br|repositorio\.usp\.br)""),
 "&amp;" NOT(REGEXMATCH(S77, ""Canal USP""))
), ""Biblioteca Digital de Teses e Dissertações da USP"",
IF(REGEXMATCH(S77, ""SINTRAJUSC""), ""SINTRAJUSC"",
IF(REGEXMATCH(S77, ""Agência Brasil|Agencia Brasil""), ""Agência Brasil"",
IF(REGEXMATCH(S77, ""Brasil de Fa"&amp;"to""), ""Brasil de Fato"",
IF(REGEXMATCH(S77, ""Ponte Jornalismo|pontejornalismo""), ""Ponte Jornalismo"",
IF(REGEXMATCH(S77, ""letras\.mus\.br|Letras,""), ""Letras"",
IF(REGEXMATCH(S77, ""YouTube|youtube""), 
   ""YouTube (""&amp;
   IF(REGEXMATCH(S77, ""It"&amp;"aú Cultural""), ""Itaú Cultural"",
   IF(REGEXMATCH(S77, ""Rede TVT""), ""Rede TVT"",
   IF(REGEXMATCH(S77, ""Frente pelo Desencarceramento SP""), ""Frente Pelo Desencarceramento SP"",
   IF(REGEXMATCH(S77, ""TV ABA""), ""TV ABA"",
   IF(REGEXMATCH(S77, "&amp;"""TV SENADO""), ""TV Senado"",
   IF(REGEXMATCH(S77, ""Canal USP""), ""Canal USP"",
   IF(REGEXMATCH(S77, ""Douer, Zack|Zack Douer""), ""Douer Zack"",
   IF(REGEXMATCH(S77, ""PRISIONEIRO 84\.901|PRISIONEIRO 84""), ""Prisioneiro 84.901"",
   IF(REGEXMATCH("&amp;"S77, ""^[^,]*, ""), 
        PROPER(REGEXREPLACE(REGEXEXTRACT(S77, ""^([^.]*)\.""), ""^([^,]*), (.*)"", ""$2 $1"")),
        PROPER(REGEXEXTRACT(S77, ""^([^.]*)\.""))
   )))))))))&amp;"")"",
IF(REGEXMATCH(S77, ""Spotify|spotify""), 
   ""Spotify (""&amp;
   IF(R"&amp;"EGEXMATCH(S77, ""ESTRANHO SORRISO""), ""Estranho Sorriso"",
   PROPER(REGEXEXTRACT(S77, ""^([^.]*)\.""))
   )&amp;"")"",
IF(REGEXMATCH(S77, ""Vimeo|vimeo""), 
   ""Vimeo (""&amp;
   IF(REGEXMATCH(S77, ""Passa Palavra""), ""Passa Palavra"",
   PROPER(REGEXEXTRACT"&amp;"(S77, ""^([^.]*)\.""))
   )&amp;"")"",
IF(REGEXMATCH(S77, ""Blogspot""), 
   ""Blogspot (""&amp;
   IF(REGEXMATCH(S77, ""rede2deoutubro""), ""Rede 02 de Outubro"",
   PROPER(REGEXEXTRACT(S77, ""^([^.]*)\.""))
   )&amp;"")"",
IF(REGEXMATCH(S77, ""Facebook""), 
   """&amp;"Facebook (""&amp;
   IF(REGEXMATCH(S77, ""Mídia Ninja""), ""Mídia Ninja"",
   PROPER(REGEXEXTRACT(S77, ""^([^.]*)\.""))
   )&amp;"")"",
IF(REGEXMATCH(S77, ""Instagram""), 
   ""Instagram (""&amp;
   IF(REGEXMATCH(S77, ""Memórias Carandiru""), ""Memórias Carandiru"","&amp;"
   PROPER(REGEXEXTRACT(S77, ""^([^.]*)\.""))
   )&amp;"")"",
IF(REGEXMATCH(S77, ""Folha de S\. Paulo|FOLHA DE S\. PAULO""), ""Folha de S. Paulo"",
IF(REGEXMATCH(S77, ""O Estado de S\. Paulo|ESTADAO""), ""O Estado de S. Paulo"",
IF(REGEXMATCH(S77, ""salasecr"&amp;"eta""), ""Wordpress (Sala Secreta)"",
IF(REGEXMATCH(S77, ""Wikipedia|Wikipédia|WIKIPÉDIA""), ""Wikipedia"",
IF(REGEXMATCH(S77, ""VEJA|Veja""), ""Veja Abril"",
IF(REGEXMATCH(S348, ""Rede Globo|REDE GLOBO""), ""Rede Globo"",
IF(REGEXMATCH(S348, ""G1|globo\."&amp;"com""), ""G1"",
IF(REGEXMATCH(S77, ""Deutsche Welle|DW\.com""), ""Deutsche Welle"",
IF(REGEXMATCH(S77, ""CIDH|Comissão Interamericana""), ""Comissão Interamericana de Direitos Humanos (CIDH)"",
IF(REGEXMATCH(S77, ""Pastoral Carcerária""), ""Pastoral Carce"&amp;"rária"",
IF(REGEXMATCH(S77, ""Esquerda Web""), ""Esquerda Web"",
IF(REGEXMATCH(S77, ""ONU|Organização das Nações Unidas""), ""ONU Brasil"",
IF(REGEXMATCH(S77, ""Quilombo Invisível""), ""Quilombo Invisível"",
IF(REGEXMATCH(S77, ""ALESP|Assembleia Legislati"&amp;"va""), ""ALESP"",
IF(REGEXMATCH(S77, ""Revista Opera""), ""Revista Opera"",
IF(REGEXMATCH(S77, ""SP Escola de Teatro""), ""SP Escola de Teatro"",
IF(REGEXMATCH(S77, ""EMC|Espaço Memória Carandiru""), ""EMC Espaço Memória Carandiru"",
IF(REGEXMATCH(S77, "&amp;"""^RAMOS, Nuno|Nuno Ramos""), ""Nuno Ramos"",
IF(REGEXMATCH(S77, ""^VELOSO, Caetano|Caetano Veloso""), ""YouTube (Caetano Veloso)"",
IF(REGEXMATCH(S77, ""^FATOS REAIS""), ""YouTube (Fatos Reais - Topic)"",
IF(REGEXMATCH(S77, ""^SALA SECRETA""), ""Wordpres"&amp;"s (Sala Secreta)"",
PROPER(REGEXEXTRACT(S77, ""^([^.]*)\.""))
))))))))))))))))))))))))))))))))))))))))))))))))))))))))"),"YouTube (Vitor Roepke)")</f>
        <v>YouTube (Vitor Roepke)</v>
      </c>
      <c r="N77" s="11" t="s">
        <v>47</v>
      </c>
      <c r="O77" s="14" t="s">
        <v>592</v>
      </c>
      <c r="P77" s="186">
        <v>45940.0</v>
      </c>
      <c r="Q77" s="11" t="s">
        <v>154</v>
      </c>
      <c r="R77" s="70" t="str">
        <f t="shared" si="8"/>
        <v>Aqui</v>
      </c>
      <c r="S77" s="75" t="s">
        <v>635</v>
      </c>
    </row>
    <row r="78">
      <c r="A78" s="11">
        <v>76.0</v>
      </c>
      <c r="B78" s="11" t="str">
        <f>IFERROR(__xludf.DUMMYFUNCTION("REGEXEXTRACT(S78, ""\[(.*?)\]"")"),"Curta-metragem")</f>
        <v>Curta-metragem</v>
      </c>
      <c r="C78" s="12" t="str">
        <f>IFERROR(__xludf.DUMMYFUNCTION("IF(B78="""","""",IF(OR(
  REGEXMATCH(B78,""Performance|Instalação|Álbum|Música|Poema|Livro|Filme|Documentário|Recitação|Espetáculo|Peça|Intervenção|Desfile|Fotografia|Exposição|Charge|Grafite|Leitura pública|Fabricação de cachaça artesanal""),
  REGEXMATC"&amp;"H(B78,""dança|teatral|artístico|musical|artística"")
),""Manifestação artístico-cultural"",
IF(OR(
  REGEXMATCH(B78,""Crônica|Série|Reportagem|Podcast|Audiotour|Entrevista|Vídeo|Rádio""),
  REGEXMATCH(B78,""midiática"")
),""Produção midiática"","""")))
"),"")</f>
        <v/>
      </c>
      <c r="D78" s="13" t="str">
        <f>IFERROR(__xludf.DUMMYFUNCTION("IF(B78="""","""",IF(OR(
  REGEXMATCH(B78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REGEXMATCH(B78,""público|Imediato|artística|teatral|memória"")
),""Público Imediato"",
IF(REGEXMATCH(B78,""Música|Álbum|Filme|Documentário|Série|Podcast|"&amp;"Rádio|Audiotour|Entrevista|Reportagem|Crônica|Relatório|Abaixo-assinado|Manifesto|Petição|Poema|Livro|Fotografia|Curta|Live|Webinário|Charge|Leitura pública|Vídeo""),
""Público Mediado"","""")))
"),"Público Mediado")</f>
        <v>Público Mediado</v>
      </c>
      <c r="E78" s="13" t="str">
        <f>IFERROR(__xludf.DUMMYFUNCTION("IF(B78="""","""",IF(OR(
  REGEXMATCH(B78,""Live|Webinário|Virtual""),
  REGEXMATCH(B78,""online"")
),""Virtual"",
IF(REGEXMATCH(B78,""Música|Álbum|Filme|Documentário|Série|Podcast|Rádio|Audiotour|Episódio|Reportagem|Curta|Charge|Livro|Vídeo|Entrevista""),"&amp;"
""Midiático"",
IF(REGEXMATCH(B78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8" s="201">
        <f>IFERROR(__xludf.DUMMYFUNCTION("DATE(
  RIGHT(REGEXEXTRACT(S78,""(\d{1,2}\s\w{3}\.\s\d{4})""),4),
  SWITCH(
    REGEXEXTRACT(REGEXEXTRACT(S78,""(\d{1,2}\s\w{3}\.\s\d{4})""),""[a-z]+""),
    ""jan"",1,""fev"",2,""mar"",3,""abr"",4,""mai"",5,""jun"",6,
    ""jul"",7,""ago"",8,""set"",9,"""&amp;"out"",10,""nov"",11,""dez"",12
  ),
  LEFT(REGEXEXTRACT(S78,""(\d{1,2}\s\w{3}\.\s\d{4})""),2)
)"),41184.0)</f>
        <v>41184</v>
      </c>
      <c r="G78" s="15">
        <f t="shared" si="1"/>
        <v>2012</v>
      </c>
      <c r="H78" s="14" t="s">
        <v>23</v>
      </c>
      <c r="I78" s="175" t="s">
        <v>636</v>
      </c>
      <c r="J78" s="202" t="str">
        <f>IFERROR(__xludf.DUMMYFUNCTION("REGEXEXTRACT(S78, ""\.\s(.*?)(?:\.|–)"")"),"Massacre do Carandiru ")</f>
        <v>Massacre do Carandiru </v>
      </c>
      <c r="K78" s="16" t="s">
        <v>83</v>
      </c>
      <c r="L78" s="18" t="s">
        <v>329</v>
      </c>
      <c r="M78" s="15" t="str">
        <f>IFERROR(__xludf.DUMMYFUNCTION("IF(REGEXMATCH(S78, ""Companhia das Letras""), ""Companhia das Letras"",
IF(REGEXMATCH(S78, ""Labortexto Editorial""), ""Labortexto Editorial"",
IF(REGEXMATCH(S78, ""Geração Editorial""), ""Geração Editorial"",
IF(REGEXMATCH(S78, ""Editora Imprensa Oficial"&amp;"|Imprensa Oficial""), ""Editora Imprensa Oficial"",
IF(REGEXMATCH(S78, ""Folha Online""), ""Folha Online"",
IF(REGEXMATCH(S78, ""FGV DIREITO SP|FGV Direito SP""), ""FGV DIREITO SP"",
IF(REGEXMATCH(S78, ""massacrecarandiru\.org\.br""), ""Memória Massacre C"&amp;"arandiru"",
IF(REGEXMATCH(S78, ""Itaú Cultural""), ""YouTube (Itaú Cultural)"",
IF(REGEXMATCH(S78, ""Passa Palavra""), ""Vimeo (Passa Palavra)"",
IF(REGEXMATCH(S78, ""rede2deoutubro\.blogspot""), ""Blogspot (Rede 02 de Outubro)"",
IF(REGEXMATCH(S78, ""Red"&amp;"e TVT""), ""YouTube (Rede TVT)"",
IF(REGEXMATCH(S78, ""Esquerda Diário""), ""Esquerda Diário"",
IF(REGEXMATCH(S78, ""GZH""), ""GZH"",
IF(REGEXMATCH(S78, ""TVPUC""), ""TVPUC"",
IF(REGEXMATCH(S78, ""Mídia Ninja.*Facebook""), ""Facebook (Mídia Ninja)"",
IF(R"&amp;"EGEXMATCH(S78, ""Memórias Carandiru.*Instagram""), ""Instagram (Memórias Carandiru)"",
IF(REGEXMATCH(S78, ""Frente pelo Desencarceramento SP""), ""YouTube (Frente Pelo Desencarceramento SP)"",
IF(REGEXMATCH(S78, ""TV ABA""), ""YouTube (TV ABA)"",
IF(REGEX"&amp;"MATCH(S78, ""TV SENADO""), ""YouTube (TV Senado)"",
IF(REGEXMATCH(S78, ""Google Arts &amp; Culture""), ""Google Arts &amp; Culture (Memória Massacre Carandiru)"",
IF(REGEXMATCH(S78, ""Anistia Internacional|ANISTIA INTERNACIONAL""), ""Anistia Internacional"",
IF(R"&amp;"EGEXMATCH(S78, ""47\.mostra|47a Mostra""), ""47a Mostra Internacional de Cinema em São Paulo"",
IF(REGEXMATCH(S78, ""Canal USP""), ""YouTube (Canal USP)"",
IF(AND(
  REGEXMATCH(S78, ""(?i)(teses?\.usp\.br|dissertacoes?\.usp\.br|repositorio\.usp\.br)""),
 "&amp;" NOT(REGEXMATCH(S78, ""Canal USP""))
), ""Biblioteca Digital de Teses e Dissertações da USP"",
IF(REGEXMATCH(S78, ""SINTRAJUSC""), ""SINTRAJUSC"",
IF(REGEXMATCH(S78, ""Agência Brasil|Agencia Brasil""), ""Agência Brasil"",
IF(REGEXMATCH(S78, ""Brasil de Fa"&amp;"to""), ""Brasil de Fato"",
IF(REGEXMATCH(S78, ""Ponte Jornalismo|pontejornalismo""), ""Ponte Jornalismo"",
IF(REGEXMATCH(S78, ""letras\.mus\.br|Letras,""), ""Letras"",
IF(REGEXMATCH(S78, ""YouTube|youtube""), 
   ""YouTube (""&amp;
   IF(REGEXMATCH(S78, ""It"&amp;"aú Cultural""), ""Itaú Cultural"",
   IF(REGEXMATCH(S78, ""Rede TVT""), ""Rede TVT"",
   IF(REGEXMATCH(S78, ""Frente pelo Desencarceramento SP""), ""Frente Pelo Desencarceramento SP"",
   IF(REGEXMATCH(S78, ""TV ABA""), ""TV ABA"",
   IF(REGEXMATCH(S78, "&amp;"""TV SENADO""), ""TV Senado"",
   IF(REGEXMATCH(S78, ""Canal USP""), ""Canal USP"",
   IF(REGEXMATCH(S78, ""Douer, Zack|Zack Douer""), ""Douer Zack"",
   IF(REGEXMATCH(S78, ""PRISIONEIRO 84\.901|PRISIONEIRO 84""), ""Prisioneiro 84.901"",
   IF(REGEXMATCH("&amp;"S78, ""^[^,]*, ""), 
        PROPER(REGEXREPLACE(REGEXEXTRACT(S78, ""^([^.]*)\.""), ""^([^,]*), (.*)"", ""$2 $1"")),
        PROPER(REGEXEXTRACT(S78, ""^([^.]*)\.""))
   )))))))))&amp;"")"",
IF(REGEXMATCH(S78, ""Spotify|spotify""), 
   ""Spotify (""&amp;
   IF(R"&amp;"EGEXMATCH(S78, ""ESTRANHO SORRISO""), ""Estranho Sorriso"",
   PROPER(REGEXEXTRACT(S78, ""^([^.]*)\.""))
   )&amp;"")"",
IF(REGEXMATCH(S78, ""Vimeo|vimeo""), 
   ""Vimeo (""&amp;
   IF(REGEXMATCH(S78, ""Passa Palavra""), ""Passa Palavra"",
   PROPER(REGEXEXTRACT"&amp;"(S78, ""^([^.]*)\.""))
   )&amp;"")"",
IF(REGEXMATCH(S78, ""Blogspot""), 
   ""Blogspot (""&amp;
   IF(REGEXMATCH(S78, ""rede2deoutubro""), ""Rede 02 de Outubro"",
   PROPER(REGEXEXTRACT(S78, ""^([^.]*)\.""))
   )&amp;"")"",
IF(REGEXMATCH(S78, ""Facebook""), 
   """&amp;"Facebook (""&amp;
   IF(REGEXMATCH(S78, ""Mídia Ninja""), ""Mídia Ninja"",
   PROPER(REGEXEXTRACT(S78, ""^([^.]*)\.""))
   )&amp;"")"",
IF(REGEXMATCH(S78, ""Instagram""), 
   ""Instagram (""&amp;
   IF(REGEXMATCH(S78, ""Memórias Carandiru""), ""Memórias Carandiru"","&amp;"
   PROPER(REGEXEXTRACT(S78, ""^([^.]*)\.""))
   )&amp;"")"",
IF(REGEXMATCH(S78, ""Folha de S\. Paulo|FOLHA DE S\. PAULO""), ""Folha de S. Paulo"",
IF(REGEXMATCH(S78, ""O Estado de S\. Paulo|ESTADAO""), ""O Estado de S. Paulo"",
IF(REGEXMATCH(S78, ""salasecr"&amp;"eta""), ""Wordpress (Sala Secreta)"",
IF(REGEXMATCH(S78, ""Wikipedia|Wikipédia|WIKIPÉDIA""), ""Wikipedia"",
IF(REGEXMATCH(S78, ""VEJA|Veja""), ""Veja Abril"",
IF(REGEXMATCH(S349, ""Rede Globo|REDE GLOBO""), ""Rede Globo"",
IF(REGEXMATCH(S349, ""G1|globo\."&amp;"com""), ""G1"",
IF(REGEXMATCH(S78, ""Deutsche Welle|DW\.com""), ""Deutsche Welle"",
IF(REGEXMATCH(S78, ""CIDH|Comissão Interamericana""), ""Comissão Interamericana de Direitos Humanos (CIDH)"",
IF(REGEXMATCH(S78, ""Pastoral Carcerária""), ""Pastoral Carce"&amp;"rária"",
IF(REGEXMATCH(S78, ""Esquerda Web""), ""Esquerda Web"",
IF(REGEXMATCH(S78, ""ONU|Organização das Nações Unidas""), ""ONU Brasil"",
IF(REGEXMATCH(S78, ""Quilombo Invisível""), ""Quilombo Invisível"",
IF(REGEXMATCH(S78, ""ALESP|Assembleia Legislati"&amp;"va""), ""ALESP"",
IF(REGEXMATCH(S78, ""Revista Opera""), ""Revista Opera"",
IF(REGEXMATCH(S78, ""SP Escola de Teatro""), ""SP Escola de Teatro"",
IF(REGEXMATCH(S78, ""EMC|Espaço Memória Carandiru""), ""EMC Espaço Memória Carandiru"",
IF(REGEXMATCH(S78, "&amp;"""^RAMOS, Nuno|Nuno Ramos""), ""Nuno Ramos"",
IF(REGEXMATCH(S78, ""^VELOSO, Caetano|Caetano Veloso""), ""YouTube (Caetano Veloso)"",
IF(REGEXMATCH(S78, ""^FATOS REAIS""), ""YouTube (Fatos Reais - Topic)"",
IF(REGEXMATCH(S78, ""^SALA SECRETA""), ""Wordpres"&amp;"s (Sala Secreta)"",
PROPER(REGEXEXTRACT(S78, ""^([^.]*)\.""))
))))))))))))))))))))))))))))))))))))))))))))))))))))))))"),"YouTube (Filipe Franco)")</f>
        <v>YouTube (Filipe Franco)</v>
      </c>
      <c r="N78" s="11" t="s">
        <v>47</v>
      </c>
      <c r="O78" s="14" t="s">
        <v>592</v>
      </c>
      <c r="P78" s="186">
        <v>45940.0</v>
      </c>
      <c r="Q78" s="11" t="s">
        <v>154</v>
      </c>
      <c r="R78" s="70" t="str">
        <f t="shared" si="8"/>
        <v>Aqui</v>
      </c>
      <c r="S78" s="172" t="s">
        <v>637</v>
      </c>
    </row>
    <row r="79">
      <c r="A79" s="11">
        <v>77.0</v>
      </c>
      <c r="B79" s="11" t="str">
        <f>IFERROR(__xludf.DUMMYFUNCTION("REGEXEXTRACT(S79, ""\[(.*?)\]"")"),"Documentário")</f>
        <v>Documentário</v>
      </c>
      <c r="C79" s="12" t="str">
        <f>IFERROR(__xludf.DUMMYFUNCTION("IF(B79="""","""",IF(OR(
  REGEXMATCH(B79,""Performance|Instalação|Álbum|Música|Poema|Livro|Filme|Documentário|Recitação|Espetáculo|Peça|Intervenção|Desfile|Fotografia|Exposição|Charge|Grafite|Leitura pública|Fabricação de cachaça artesanal""),
  REGEXMATC"&amp;"H(B79,""dança|teatral|artístico|musical|artística"")
),""Manifestação artístico-cultural"",
IF(OR(
  REGEXMATCH(B79,""Crônica|Série|Reportagem|Podcast|Audiotour|Entrevista|Vídeo|Rádio""),
  REGEXMATCH(B79,""midiática"")
),""Produção midiática"","""")))
"),"Manifestação artístico-cultural")</f>
        <v>Manifestação artístico-cultural</v>
      </c>
      <c r="D79" s="13" t="str">
        <f>IFERROR(__xludf.DUMMYFUNCTION("IF(B79="""","""",IF(OR(
  REGEXMATCH(B79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REGEXMATCH(B79,""público|Imediato|artística|teatral|memória"")
),""Público Imediato"",
IF(REGEXMATCH(B79,""Música|Álbum|Filme|Documentário|Série|Podcast|"&amp;"Rádio|Audiotour|Entrevista|Reportagem|Crônica|Relatório|Abaixo-assinado|Manifesto|Petição|Poema|Livro|Fotografia|Curta|Live|Webinário|Charge|Leitura pública|Vídeo""),
""Público Mediado"","""")))
"),"Público Mediado")</f>
        <v>Público Mediado</v>
      </c>
      <c r="E79" s="13" t="str">
        <f>IFERROR(__xludf.DUMMYFUNCTION("IF(B79="""","""",IF(OR(
  REGEXMATCH(B79,""Live|Webinário|Virtual""),
  REGEXMATCH(B79,""online"")
),""Virtual"",
IF(REGEXMATCH(B79,""Música|Álbum|Filme|Documentário|Série|Podcast|Rádio|Audiotour|Episódio|Reportagem|Curta|Charge|Livro|Vídeo|Entrevista""),"&amp;"
""Midiático"",
IF(REGEXMATCH(B79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9" s="201">
        <v>40935.0</v>
      </c>
      <c r="G79" s="15">
        <f t="shared" si="1"/>
        <v>2012</v>
      </c>
      <c r="H79" s="14" t="s">
        <v>23</v>
      </c>
      <c r="I79" s="16" t="s">
        <v>638</v>
      </c>
      <c r="J79" s="202" t="str">
        <f>IFERROR(__xludf.DUMMYFUNCTION("REGEXEXTRACT(S79, ""\.\s(.*?)(?:\.|–)"")"),"Carandirú Masacre: InformeForeneLatina")</f>
        <v>Carandirú Masacre: InformeForeneLatina</v>
      </c>
      <c r="K79" s="16" t="s">
        <v>83</v>
      </c>
      <c r="L79" s="18" t="s">
        <v>329</v>
      </c>
      <c r="M79" s="15" t="str">
        <f>IFERROR(__xludf.DUMMYFUNCTION("IF(REGEXMATCH(S79, ""Companhia das Letras""), ""Companhia das Letras"",
IF(REGEXMATCH(S79, ""Labortexto Editorial""), ""Labortexto Editorial"",
IF(REGEXMATCH(S79, ""Geração Editorial""), ""Geração Editorial"",
IF(REGEXMATCH(S79, ""Editora Imprensa Oficial"&amp;"|Imprensa Oficial""), ""Editora Imprensa Oficial"",
IF(REGEXMATCH(S79, ""Folha Online""), ""Folha Online"",
IF(REGEXMATCH(S79, ""FGV DIREITO SP|FGV Direito SP""), ""FGV DIREITO SP"",
IF(REGEXMATCH(S79, ""massacrecarandiru\.org\.br""), ""Memória Massacre C"&amp;"arandiru"",
IF(REGEXMATCH(S79, ""Itaú Cultural""), ""YouTube (Itaú Cultural)"",
IF(REGEXMATCH(S79, ""Passa Palavra""), ""Vimeo (Passa Palavra)"",
IF(REGEXMATCH(S79, ""rede2deoutubro\.blogspot""), ""Blogspot (Rede 02 de Outubro)"",
IF(REGEXMATCH(S79, ""Red"&amp;"e TVT""), ""YouTube (Rede TVT)"",
IF(REGEXMATCH(S79, ""Esquerda Diário""), ""Esquerda Diário"",
IF(REGEXMATCH(S79, ""GZH""), ""GZH"",
IF(REGEXMATCH(S79, ""TVPUC""), ""TVPUC"",
IF(REGEXMATCH(S79, ""Mídia Ninja.*Facebook""), ""Facebook (Mídia Ninja)"",
IF(R"&amp;"EGEXMATCH(S79, ""Memórias Carandiru.*Instagram""), ""Instagram (Memórias Carandiru)"",
IF(REGEXMATCH(S79, ""Frente pelo Desencarceramento SP""), ""YouTube (Frente Pelo Desencarceramento SP)"",
IF(REGEXMATCH(S79, ""TV ABA""), ""YouTube (TV ABA)"",
IF(REGEX"&amp;"MATCH(S79, ""TV SENADO""), ""YouTube (TV Senado)"",
IF(REGEXMATCH(S79, ""Google Arts &amp; Culture""), ""Google Arts &amp; Culture (Memória Massacre Carandiru)"",
IF(REGEXMATCH(S79, ""Anistia Internacional|ANISTIA INTERNACIONAL""), ""Anistia Internacional"",
IF(R"&amp;"EGEXMATCH(S79, ""47\.mostra|47a Mostra""), ""47a Mostra Internacional de Cinema em São Paulo"",
IF(REGEXMATCH(S79, ""Canal USP""), ""YouTube (Canal USP)"",
IF(AND(
  REGEXMATCH(S79, ""(?i)(teses?\.usp\.br|dissertacoes?\.usp\.br|repositorio\.usp\.br)""),
 "&amp;" NOT(REGEXMATCH(S79, ""Canal USP""))
), ""Biblioteca Digital de Teses e Dissertações da USP"",
IF(REGEXMATCH(S79, ""SINTRAJUSC""), ""SINTRAJUSC"",
IF(REGEXMATCH(S79, ""Agência Brasil|Agencia Brasil""), ""Agência Brasil"",
IF(REGEXMATCH(S79, ""Brasil de Fa"&amp;"to""), ""Brasil de Fato"",
IF(REGEXMATCH(S79, ""Ponte Jornalismo|pontejornalismo""), ""Ponte Jornalismo"",
IF(REGEXMATCH(S79, ""letras\.mus\.br|Letras,""), ""Letras"",
IF(REGEXMATCH(S79, ""YouTube|youtube""), 
   ""YouTube (""&amp;
   IF(REGEXMATCH(S79, ""It"&amp;"aú Cultural""), ""Itaú Cultural"",
   IF(REGEXMATCH(S79, ""Rede TVT""), ""Rede TVT"",
   IF(REGEXMATCH(S79, ""Frente pelo Desencarceramento SP""), ""Frente Pelo Desencarceramento SP"",
   IF(REGEXMATCH(S79, ""TV ABA""), ""TV ABA"",
   IF(REGEXMATCH(S79, "&amp;"""TV SENADO""), ""TV Senado"",
   IF(REGEXMATCH(S79, ""Canal USP""), ""Canal USP"",
   IF(REGEXMATCH(S79, ""Douer, Zack|Zack Douer""), ""Douer Zack"",
   IF(REGEXMATCH(S79, ""PRISIONEIRO 84\.901|PRISIONEIRO 84""), ""Prisioneiro 84.901"",
   IF(REGEXMATCH("&amp;"S79, ""^[^,]*, ""), 
        PROPER(REGEXREPLACE(REGEXEXTRACT(S79, ""^([^.]*)\.""), ""^([^,]*), (.*)"", ""$2 $1"")),
        PROPER(REGEXEXTRACT(S79, ""^([^.]*)\.""))
   )))))))))&amp;"")"",
IF(REGEXMATCH(S79, ""Spotify|spotify""), 
   ""Spotify (""&amp;
   IF(R"&amp;"EGEXMATCH(S79, ""ESTRANHO SORRISO""), ""Estranho Sorriso"",
   PROPER(REGEXEXTRACT(S79, ""^([^.]*)\.""))
   )&amp;"")"",
IF(REGEXMATCH(S79, ""Vimeo|vimeo""), 
   ""Vimeo (""&amp;
   IF(REGEXMATCH(S79, ""Passa Palavra""), ""Passa Palavra"",
   PROPER(REGEXEXTRACT"&amp;"(S79, ""^([^.]*)\.""))
   )&amp;"")"",
IF(REGEXMATCH(S79, ""Blogspot""), 
   ""Blogspot (""&amp;
   IF(REGEXMATCH(S79, ""rede2deoutubro""), ""Rede 02 de Outubro"",
   PROPER(REGEXEXTRACT(S79, ""^([^.]*)\.""))
   )&amp;"")"",
IF(REGEXMATCH(S79, ""Facebook""), 
   """&amp;"Facebook (""&amp;
   IF(REGEXMATCH(S79, ""Mídia Ninja""), ""Mídia Ninja"",
   PROPER(REGEXEXTRACT(S79, ""^([^.]*)\.""))
   )&amp;"")"",
IF(REGEXMATCH(S79, ""Instagram""), 
   ""Instagram (""&amp;
   IF(REGEXMATCH(S79, ""Memórias Carandiru""), ""Memórias Carandiru"","&amp;"
   PROPER(REGEXEXTRACT(S79, ""^([^.]*)\.""))
   )&amp;"")"",
IF(REGEXMATCH(S79, ""Folha de S\. Paulo|FOLHA DE S\. PAULO""), ""Folha de S. Paulo"",
IF(REGEXMATCH(S79, ""O Estado de S\. Paulo|ESTADAO""), ""O Estado de S. Paulo"",
IF(REGEXMATCH(S79, ""salasecr"&amp;"eta""), ""Wordpress (Sala Secreta)"",
IF(REGEXMATCH(S79, ""Wikipedia|Wikipédia|WIKIPÉDIA""), ""Wikipedia"",
IF(REGEXMATCH(S79, ""VEJA|Veja""), ""Veja Abril"",
IF(REGEXMATCH(S350, ""Rede Globo|REDE GLOBO""), ""Rede Globo"",
IF(REGEXMATCH(S350, ""G1|globo\."&amp;"com""), ""G1"",
IF(REGEXMATCH(S79, ""Deutsche Welle|DW\.com""), ""Deutsche Welle"",
IF(REGEXMATCH(S79, ""CIDH|Comissão Interamericana""), ""Comissão Interamericana de Direitos Humanos (CIDH)"",
IF(REGEXMATCH(S79, ""Pastoral Carcerária""), ""Pastoral Carce"&amp;"rária"",
IF(REGEXMATCH(S79, ""Esquerda Web""), ""Esquerda Web"",
IF(REGEXMATCH(S79, ""ONU|Organização das Nações Unidas""), ""ONU Brasil"",
IF(REGEXMATCH(S79, ""Quilombo Invisível""), ""Quilombo Invisível"",
IF(REGEXMATCH(S79, ""ALESP|Assembleia Legislati"&amp;"va""), ""ALESP"",
IF(REGEXMATCH(S79, ""Revista Opera""), ""Revista Opera"",
IF(REGEXMATCH(S79, ""SP Escola de Teatro""), ""SP Escola de Teatro"",
IF(REGEXMATCH(S79, ""EMC|Espaço Memória Carandiru""), ""EMC Espaço Memória Carandiru"",
IF(REGEXMATCH(S79, "&amp;"""^RAMOS, Nuno|Nuno Ramos""), ""Nuno Ramos"",
IF(REGEXMATCH(S79, ""^VELOSO, Caetano|Caetano Veloso""), ""YouTube (Caetano Veloso)"",
IF(REGEXMATCH(S79, ""^FATOS REAIS""), ""YouTube (Fatos Reais - Topic)"",
IF(REGEXMATCH(S79, ""^SALA SECRETA""), ""Wordpres"&amp;"s (Sala Secreta)"",
PROPER(REGEXEXTRACT(S79, ""^([^.]*)\.""))
))))))))))))))))))))))))))))))))))))))))))))))))))))))))"),"YouTube (Forense Latina)")</f>
        <v>YouTube (Forense Latina)</v>
      </c>
      <c r="N79" s="11" t="s">
        <v>47</v>
      </c>
      <c r="O79" s="14" t="s">
        <v>592</v>
      </c>
      <c r="P79" s="186">
        <v>45940.0</v>
      </c>
      <c r="Q79" s="11" t="s">
        <v>154</v>
      </c>
      <c r="R79" s="70" t="str">
        <f t="shared" si="8"/>
        <v>Aqui</v>
      </c>
      <c r="S79" s="172" t="s">
        <v>639</v>
      </c>
    </row>
    <row r="80">
      <c r="A80" s="11">
        <v>78.0</v>
      </c>
      <c r="B80" s="11" t="s">
        <v>640</v>
      </c>
      <c r="C80" s="12" t="str">
        <f>IFERROR(__xludf.DUMMYFUNCTION("IF(B80="""","""",IF(OR(
  REGEXMATCH(B80,""Performance|Instalação|Álbum|Música|Poema|Livro|Filme|Documentário|Recitação|Espetáculo|Peça|Intervenção|Desfile|Fotografia|Exposição|Charge|Grafite|Leitura pública|Fabricação de cachaça artesanal""),
  REGEXMATC"&amp;"H(B80,""dança|teatral|artístico|musical|artística"")
),""Manifestação artístico-cultural"",
IF(OR(
  REGEXMATCH(B80,""Crônica|Série|Reportagem|Podcast|Audiotour|Entrevista|Vídeo|Rádio""),
  REGEXMATCH(B80,""midiática"")
),""Produção midiática"","""")))
"),"Manifestação artístico-cultural")</f>
        <v>Manifestação artístico-cultural</v>
      </c>
      <c r="D80" s="13" t="str">
        <f>IFERROR(__xludf.DUMMYFUNCTION("IF(B80="""","""",IF(OR(
  REGEXMATCH(B80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REGEXMATCH(B80,""público|Imediato|artística|teatral|memória"")
),""Público Imediato"",
IF(REGEXMATCH(B80,""Música|Álbum|Filme|Documentário|Série|Podcast|"&amp;"Rádio|Audiotour|Entrevista|Reportagem|Crônica|Relatório|Abaixo-assinado|Manifesto|Petição|Poema|Livro|Fotografia|Curta|Live|Webinário|Charge|Leitura pública|Vídeo""),
""Público Mediado"","""")))
"),"Público Imediato")</f>
        <v>Público Imediato</v>
      </c>
      <c r="E80" s="13" t="str">
        <f>IFERROR(__xludf.DUMMYFUNCTION("IF(B80="""","""",IF(OR(
  REGEXMATCH(B80,""Live|Webinário|Virtual""),
  REGEXMATCH(B80,""online"")
),""Virtual"",
IF(REGEXMATCH(B80,""Música|Álbum|Filme|Documentário|Série|Podcast|Rádio|Audiotour|Episódio|Reportagem|Curta|Charge|Livro|Vídeo|Entrevista""),"&amp;"
""Midiático"",
IF(REGEXMATCH(B80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0" s="14">
        <v>2012.0</v>
      </c>
      <c r="G80" s="15">
        <f t="shared" si="1"/>
        <v>2012</v>
      </c>
      <c r="H80" s="14" t="s">
        <v>23</v>
      </c>
      <c r="I80" s="16" t="s">
        <v>87</v>
      </c>
      <c r="J80" s="202" t="str">
        <f>IFERROR(__xludf.DUMMYFUNCTION("REGEXEXTRACT(S80, ""\.\s(.*?)(?:\.|–)"")"),"Fotografia registrada na Bienal de 2012")</f>
        <v>Fotografia registrada na Bienal de 2012</v>
      </c>
      <c r="K80" s="16" t="s">
        <v>91</v>
      </c>
      <c r="L80" s="18" t="s">
        <v>94</v>
      </c>
      <c r="M80" s="15" t="str">
        <f>IFERROR(__xludf.DUMMYFUNCTION("IF(REGEXMATCH(S80, ""Companhia das Letras""), ""Companhia das Letras"",
IF(REGEXMATCH(S80, ""Labortexto Editorial""), ""Labortexto Editorial"",
IF(REGEXMATCH(S80, ""Geração Editorial""), ""Geração Editorial"",
IF(REGEXMATCH(S80, ""Editora Imprensa Oficial"&amp;"|Imprensa Oficial""), ""Editora Imprensa Oficial"",
IF(REGEXMATCH(S80, ""Folha Online""), ""Folha Online"",
IF(REGEXMATCH(S80, ""FGV DIREITO SP|FGV Direito SP""), ""FGV DIREITO SP"",
IF(REGEXMATCH(S80, ""massacrecarandiru\.org\.br""), ""Memória Massacre C"&amp;"arandiru"",
IF(REGEXMATCH(S80, ""Itaú Cultural""), ""YouTube (Itaú Cultural)"",
IF(REGEXMATCH(S80, ""Passa Palavra""), ""Vimeo (Passa Palavra)"",
IF(REGEXMATCH(S80, ""rede2deoutubro\.blogspot""), ""Blogspot (Rede 02 de Outubro)"",
IF(REGEXMATCH(S80, ""Red"&amp;"e TVT""), ""YouTube (Rede TVT)"",
IF(REGEXMATCH(S80, ""Esquerda Diário""), ""Esquerda Diário"",
IF(REGEXMATCH(S80, ""GZH""), ""GZH"",
IF(REGEXMATCH(S80, ""TVPUC""), ""TVPUC"",
IF(REGEXMATCH(S80, ""Mídia Ninja.*Facebook""), ""Facebook (Mídia Ninja)"",
IF(R"&amp;"EGEXMATCH(S80, ""Memórias Carandiru.*Instagram""), ""Instagram (Memórias Carandiru)"",
IF(REGEXMATCH(S80, ""Frente pelo Desencarceramento SP""), ""YouTube (Frente Pelo Desencarceramento SP)"",
IF(REGEXMATCH(S80, ""TV ABA""), ""YouTube (TV ABA)"",
IF(REGEX"&amp;"MATCH(S80, ""TV SENADO""), ""YouTube (TV Senado)"",
IF(REGEXMATCH(S80, ""Google Arts &amp; Culture""), ""Google Arts &amp; Culture (Memória Massacre Carandiru)"",
IF(REGEXMATCH(S80, ""Anistia Internacional|ANISTIA INTERNACIONAL""), ""Anistia Internacional"",
IF(R"&amp;"EGEXMATCH(S80, ""47\.mostra|47a Mostra""), ""47a Mostra Internacional de Cinema em São Paulo"",
IF(REGEXMATCH(S80, ""Canal USP""), ""YouTube (Canal USP)"",
IF(AND(
  REGEXMATCH(S80, ""(?i)(teses?\.usp\.br|dissertacoes?\.usp\.br|repositorio\.usp\.br)""),
 "&amp;" NOT(REGEXMATCH(S80, ""Canal USP""))
), ""Biblioteca Digital de Teses e Dissertações da USP"",
IF(REGEXMATCH(S80, ""SINTRAJUSC""), ""SINTRAJUSC"",
IF(REGEXMATCH(S80, ""Agência Brasil|Agencia Brasil""), ""Agência Brasil"",
IF(REGEXMATCH(S80, ""Brasil de Fa"&amp;"to""), ""Brasil de Fato"",
IF(REGEXMATCH(S80, ""Ponte Jornalismo|pontejornalismo""), ""Ponte Jornalismo"",
IF(REGEXMATCH(S80, ""letras\.mus\.br|Letras,""), ""Letras"",
IF(REGEXMATCH(S80, ""YouTube|youtube""), 
   ""YouTube (""&amp;
   IF(REGEXMATCH(S80, ""It"&amp;"aú Cultural""), ""Itaú Cultural"",
   IF(REGEXMATCH(S80, ""Rede TVT""), ""Rede TVT"",
   IF(REGEXMATCH(S80, ""Frente pelo Desencarceramento SP""), ""Frente Pelo Desencarceramento SP"",
   IF(REGEXMATCH(S80, ""TV ABA""), ""TV ABA"",
   IF(REGEXMATCH(S80, "&amp;"""TV SENADO""), ""TV Senado"",
   IF(REGEXMATCH(S80, ""Canal USP""), ""Canal USP"",
   IF(REGEXMATCH(S80, ""Douer, Zack|Zack Douer""), ""Douer Zack"",
   IF(REGEXMATCH(S80, ""PRISIONEIRO 84\.901|PRISIONEIRO 84""), ""Prisioneiro 84.901"",
   IF(REGEXMATCH("&amp;"S80, ""^[^,]*, ""), 
        PROPER(REGEXREPLACE(REGEXEXTRACT(S80, ""^([^.]*)\.""), ""^([^,]*), (.*)"", ""$2 $1"")),
        PROPER(REGEXEXTRACT(S80, ""^([^.]*)\.""))
   )))))))))&amp;"")"",
IF(REGEXMATCH(S80, ""Spotify|spotify""), 
   ""Spotify (""&amp;
   IF(R"&amp;"EGEXMATCH(S80, ""ESTRANHO SORRISO""), ""Estranho Sorriso"",
   PROPER(REGEXEXTRACT(S80, ""^([^.]*)\.""))
   )&amp;"")"",
IF(REGEXMATCH(S80, ""Vimeo|vimeo""), 
   ""Vimeo (""&amp;
   IF(REGEXMATCH(S80, ""Passa Palavra""), ""Passa Palavra"",
   PROPER(REGEXEXTRACT"&amp;"(S80, ""^([^.]*)\.""))
   )&amp;"")"",
IF(REGEXMATCH(S80, ""Blogspot""), 
   ""Blogspot (""&amp;
   IF(REGEXMATCH(S80, ""rede2deoutubro""), ""Rede 02 de Outubro"",
   PROPER(REGEXEXTRACT(S80, ""^([^.]*)\.""))
   )&amp;"")"",
IF(REGEXMATCH(S80, ""Facebook""), 
   """&amp;"Facebook (""&amp;
   IF(REGEXMATCH(S80, ""Mídia Ninja""), ""Mídia Ninja"",
   PROPER(REGEXEXTRACT(S80, ""^([^.]*)\.""))
   )&amp;"")"",
IF(REGEXMATCH(S80, ""Instagram""), 
   ""Instagram (""&amp;
   IF(REGEXMATCH(S80, ""Memórias Carandiru""), ""Memórias Carandiru"","&amp;"
   PROPER(REGEXEXTRACT(S80, ""^([^.]*)\.""))
   )&amp;"")"",
IF(REGEXMATCH(S80, ""Folha de S\. Paulo|FOLHA DE S\. PAULO""), ""Folha de S. Paulo"",
IF(REGEXMATCH(S80, ""O Estado de S\. Paulo|ESTADAO""), ""O Estado de S. Paulo"",
IF(REGEXMATCH(S80, ""salasecr"&amp;"eta""), ""Wordpress (Sala Secreta)"",
IF(REGEXMATCH(S80, ""Wikipedia|Wikipédia|WIKIPÉDIA""), ""Wikipedia"",
IF(REGEXMATCH(S80, ""VEJA|Veja""), ""Veja Abril"",
IF(REGEXMATCH(S351, ""Rede Globo|REDE GLOBO""), ""Rede Globo"",
IF(REGEXMATCH(S351, ""G1|globo\."&amp;"com""), ""G1"",
IF(REGEXMATCH(S80, ""Deutsche Welle|DW\.com""), ""Deutsche Welle"",
IF(REGEXMATCH(S80, ""CIDH|Comissão Interamericana""), ""Comissão Interamericana de Direitos Humanos (CIDH)"",
IF(REGEXMATCH(S80, ""Pastoral Carcerária""), ""Pastoral Carce"&amp;"rária"",
IF(REGEXMATCH(S80, ""Esquerda Web""), ""Esquerda Web"",
IF(REGEXMATCH(S80, ""ONU|Organização das Nações Unidas""), ""ONU Brasil"",
IF(REGEXMATCH(S80, ""Quilombo Invisível""), ""Quilombo Invisível"",
IF(REGEXMATCH(S80, ""ALESP|Assembleia Legislati"&amp;"va""), ""ALESP"",
IF(REGEXMATCH(S80, ""Revista Opera""), ""Revista Opera"",
IF(REGEXMATCH(S80, ""SP Escola de Teatro""), ""SP Escola de Teatro"",
IF(REGEXMATCH(S80, ""EMC|Espaço Memória Carandiru""), ""EMC Espaço Memória Carandiru"",
IF(REGEXMATCH(S80, "&amp;"""^RAMOS, Nuno|Nuno Ramos""), ""Nuno Ramos"",
IF(REGEXMATCH(S80, ""^VELOSO, Caetano|Caetano Veloso""), ""YouTube (Caetano Veloso)"",
IF(REGEXMATCH(S80, ""^FATOS REAIS""), ""YouTube (Fatos Reais - Topic)"",
IF(REGEXMATCH(S80, ""^SALA SECRETA""), ""Wordpres"&amp;"s (Sala Secreta)"",
PROPER(REGEXEXTRACT(S80, ""^([^.]*)\.""))
))))))))))))))))))))))))))))))))))))))))))))))))))))))))"),"FGV DIREITO SP")</f>
        <v>FGV DIREITO SP</v>
      </c>
      <c r="N80" s="11" t="s">
        <v>47</v>
      </c>
      <c r="O80" s="14" t="s">
        <v>592</v>
      </c>
      <c r="P80" s="186">
        <v>45940.0</v>
      </c>
      <c r="Q80" s="11" t="s">
        <v>154</v>
      </c>
      <c r="R80" s="70" t="str">
        <f t="shared" si="8"/>
        <v>Aqui</v>
      </c>
      <c r="S80" s="172" t="s">
        <v>641</v>
      </c>
    </row>
    <row r="81">
      <c r="A81" s="11">
        <v>79.0</v>
      </c>
      <c r="B81" s="11" t="s">
        <v>485</v>
      </c>
      <c r="C81" s="12" t="str">
        <f>IFERROR(__xludf.DUMMYFUNCTION("IF(B81="""","""",IF(OR(
  REGEXMATCH(B81,""Performance|Instalação|Álbum|Música|Poema|Livro|Filme|Documentário|Recitação|Espetáculo|Peça|Intervenção|Desfile|Fotografia|Exposição|Charge|Grafite|Leitura pública|Fabricação de cachaça artesanal""),
  REGEXMATC"&amp;"H(B81,""dança|teatral|artístico|musical|artística"")
),""Manifestação artístico-cultural"",
IF(OR(
  REGEXMATCH(B81,""Crônica|Série|Reportagem|Podcast|Audiotour|Entrevista|Vídeo|Rádio""),
  REGEXMATCH(B81,""midiática"")
),""Produção midiática"","""")))
"),"Manifestação artístico-cultural")</f>
        <v>Manifestação artístico-cultural</v>
      </c>
      <c r="D81" s="13" t="str">
        <f>IFERROR(__xludf.DUMMYFUNCTION("IF(B81="""","""",IF(OR(
  REGEXMATCH(B81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REGEXMATCH(B81,""público|Imediato|artística|teatral|memória"")
),""Público Imediato"",
IF(REGEXMATCH(B81,""Música|Álbum|Filme|Documentário|Série|Podcast|"&amp;"Rádio|Audiotour|Entrevista|Reportagem|Crônica|Relatório|Abaixo-assinado|Manifesto|Petição|Poema|Livro|Fotografia|Curta|Live|Webinário|Charge|Leitura pública|Vídeo""),
""Público Mediado"","""")))
"),"Público Imediato")</f>
        <v>Público Imediato</v>
      </c>
      <c r="E81" s="13" t="str">
        <f>IFERROR(__xludf.DUMMYFUNCTION("IF(B81="""","""",IF(OR(
  REGEXMATCH(B81,""Live|Webinário|Virtual""),
  REGEXMATCH(B81,""online"")
),""Virtual"",
IF(REGEXMATCH(B81,""Música|Álbum|Filme|Documentário|Série|Podcast|Rádio|Audiotour|Episódio|Reportagem|Curta|Charge|Livro|Vídeo|Entrevista""),"&amp;"
""Midiático"",
IF(REGEXMATCH(B81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1" s="14">
        <v>2012.0</v>
      </c>
      <c r="G81" s="15">
        <f t="shared" si="1"/>
        <v>2012</v>
      </c>
      <c r="H81" s="14" t="s">
        <v>23</v>
      </c>
      <c r="I81" s="16" t="s">
        <v>87</v>
      </c>
      <c r="J81" s="202" t="str">
        <f>IFERROR(__xludf.DUMMYFUNCTION("REGEXEXTRACT(S81, ""\.\s(.*?)(?:\.|–)"")"),"Fotografia registrada na Bienal de 2012")</f>
        <v>Fotografia registrada na Bienal de 2012</v>
      </c>
      <c r="K81" s="16" t="s">
        <v>91</v>
      </c>
      <c r="L81" s="18" t="s">
        <v>94</v>
      </c>
      <c r="M81" s="15" t="str">
        <f>IFERROR(__xludf.DUMMYFUNCTION("IF(REGEXMATCH(S81, ""Companhia das Letras""), ""Companhia das Letras"",
IF(REGEXMATCH(S81, ""Labortexto Editorial""), ""Labortexto Editorial"",
IF(REGEXMATCH(S81, ""Geração Editorial""), ""Geração Editorial"",
IF(REGEXMATCH(S81, ""Editora Imprensa Oficial"&amp;"|Imprensa Oficial""), ""Editora Imprensa Oficial"",
IF(REGEXMATCH(S81, ""Folha Online""), ""Folha Online"",
IF(REGEXMATCH(S81, ""FGV DIREITO SP|FGV Direito SP""), ""FGV DIREITO SP"",
IF(REGEXMATCH(S81, ""massacrecarandiru\.org\.br""), ""Memória Massacre C"&amp;"arandiru"",
IF(REGEXMATCH(S81, ""Itaú Cultural""), ""YouTube (Itaú Cultural)"",
IF(REGEXMATCH(S81, ""Passa Palavra""), ""Vimeo (Passa Palavra)"",
IF(REGEXMATCH(S81, ""rede2deoutubro\.blogspot""), ""Blogspot (Rede 02 de Outubro)"",
IF(REGEXMATCH(S81, ""Red"&amp;"e TVT""), ""YouTube (Rede TVT)"",
IF(REGEXMATCH(S81, ""Esquerda Diário""), ""Esquerda Diário"",
IF(REGEXMATCH(S81, ""GZH""), ""GZH"",
IF(REGEXMATCH(S81, ""TVPUC""), ""TVPUC"",
IF(REGEXMATCH(S81, ""Mídia Ninja.*Facebook""), ""Facebook (Mídia Ninja)"",
IF(R"&amp;"EGEXMATCH(S81, ""Memórias Carandiru.*Instagram""), ""Instagram (Memórias Carandiru)"",
IF(REGEXMATCH(S81, ""Frente pelo Desencarceramento SP""), ""YouTube (Frente Pelo Desencarceramento SP)"",
IF(REGEXMATCH(S81, ""TV ABA""), ""YouTube (TV ABA)"",
IF(REGEX"&amp;"MATCH(S81, ""TV SENADO""), ""YouTube (TV Senado)"",
IF(REGEXMATCH(S81, ""Google Arts &amp; Culture""), ""Google Arts &amp; Culture (Memória Massacre Carandiru)"",
IF(REGEXMATCH(S81, ""Anistia Internacional|ANISTIA INTERNACIONAL""), ""Anistia Internacional"",
IF(R"&amp;"EGEXMATCH(S81, ""47\.mostra|47a Mostra""), ""47a Mostra Internacional de Cinema em São Paulo"",
IF(REGEXMATCH(S81, ""Canal USP""), ""YouTube (Canal USP)"",
IF(AND(
  REGEXMATCH(S81, ""(?i)(teses?\.usp\.br|dissertacoes?\.usp\.br|repositorio\.usp\.br)""),
 "&amp;" NOT(REGEXMATCH(S81, ""Canal USP""))
), ""Biblioteca Digital de Teses e Dissertações da USP"",
IF(REGEXMATCH(S81, ""SINTRAJUSC""), ""SINTRAJUSC"",
IF(REGEXMATCH(S81, ""Agência Brasil|Agencia Brasil""), ""Agência Brasil"",
IF(REGEXMATCH(S81, ""Brasil de Fa"&amp;"to""), ""Brasil de Fato"",
IF(REGEXMATCH(S81, ""Ponte Jornalismo|pontejornalismo""), ""Ponte Jornalismo"",
IF(REGEXMATCH(S81, ""letras\.mus\.br|Letras,""), ""Letras"",
IF(REGEXMATCH(S81, ""YouTube|youtube""), 
   ""YouTube (""&amp;
   IF(REGEXMATCH(S81, ""It"&amp;"aú Cultural""), ""Itaú Cultural"",
   IF(REGEXMATCH(S81, ""Rede TVT""), ""Rede TVT"",
   IF(REGEXMATCH(S81, ""Frente pelo Desencarceramento SP""), ""Frente Pelo Desencarceramento SP"",
   IF(REGEXMATCH(S81, ""TV ABA""), ""TV ABA"",
   IF(REGEXMATCH(S81, "&amp;"""TV SENADO""), ""TV Senado"",
   IF(REGEXMATCH(S81, ""Canal USP""), ""Canal USP"",
   IF(REGEXMATCH(S81, ""Douer, Zack|Zack Douer""), ""Douer Zack"",
   IF(REGEXMATCH(S81, ""PRISIONEIRO 84\.901|PRISIONEIRO 84""), ""Prisioneiro 84.901"",
   IF(REGEXMATCH("&amp;"S81, ""^[^,]*, ""), 
        PROPER(REGEXREPLACE(REGEXEXTRACT(S81, ""^([^.]*)\.""), ""^([^,]*), (.*)"", ""$2 $1"")),
        PROPER(REGEXEXTRACT(S81, ""^([^.]*)\.""))
   )))))))))&amp;"")"",
IF(REGEXMATCH(S81, ""Spotify|spotify""), 
   ""Spotify (""&amp;
   IF(R"&amp;"EGEXMATCH(S81, ""ESTRANHO SORRISO""), ""Estranho Sorriso"",
   PROPER(REGEXEXTRACT(S81, ""^([^.]*)\.""))
   )&amp;"")"",
IF(REGEXMATCH(S81, ""Vimeo|vimeo""), 
   ""Vimeo (""&amp;
   IF(REGEXMATCH(S81, ""Passa Palavra""), ""Passa Palavra"",
   PROPER(REGEXEXTRACT"&amp;"(S81, ""^([^.]*)\.""))
   )&amp;"")"",
IF(REGEXMATCH(S81, ""Blogspot""), 
   ""Blogspot (""&amp;
   IF(REGEXMATCH(S81, ""rede2deoutubro""), ""Rede 02 de Outubro"",
   PROPER(REGEXEXTRACT(S81, ""^([^.]*)\.""))
   )&amp;"")"",
IF(REGEXMATCH(S81, ""Facebook""), 
   """&amp;"Facebook (""&amp;
   IF(REGEXMATCH(S81, ""Mídia Ninja""), ""Mídia Ninja"",
   PROPER(REGEXEXTRACT(S81, ""^([^.]*)\.""))
   )&amp;"")"",
IF(REGEXMATCH(S81, ""Instagram""), 
   ""Instagram (""&amp;
   IF(REGEXMATCH(S81, ""Memórias Carandiru""), ""Memórias Carandiru"","&amp;"
   PROPER(REGEXEXTRACT(S81, ""^([^.]*)\.""))
   )&amp;"")"",
IF(REGEXMATCH(S81, ""Folha de S\. Paulo|FOLHA DE S\. PAULO""), ""Folha de S. Paulo"",
IF(REGEXMATCH(S81, ""O Estado de S\. Paulo|ESTADAO""), ""O Estado de S. Paulo"",
IF(REGEXMATCH(S81, ""salasecr"&amp;"eta""), ""Wordpress (Sala Secreta)"",
IF(REGEXMATCH(S81, ""Wikipedia|Wikipédia|WIKIPÉDIA""), ""Wikipedia"",
IF(REGEXMATCH(S81, ""VEJA|Veja""), ""Veja Abril"",
IF(REGEXMATCH(S352, ""Rede Globo|REDE GLOBO""), ""Rede Globo"",
IF(REGEXMATCH(S352, ""G1|globo\."&amp;"com""), ""G1"",
IF(REGEXMATCH(S81, ""Deutsche Welle|DW\.com""), ""Deutsche Welle"",
IF(REGEXMATCH(S81, ""CIDH|Comissão Interamericana""), ""Comissão Interamericana de Direitos Humanos (CIDH)"",
IF(REGEXMATCH(S81, ""Pastoral Carcerária""), ""Pastoral Carce"&amp;"rária"",
IF(REGEXMATCH(S81, ""Esquerda Web""), ""Esquerda Web"",
IF(REGEXMATCH(S81, ""ONU|Organização das Nações Unidas""), ""ONU Brasil"",
IF(REGEXMATCH(S81, ""Quilombo Invisível""), ""Quilombo Invisível"",
IF(REGEXMATCH(S81, ""ALESP|Assembleia Legislati"&amp;"va""), ""ALESP"",
IF(REGEXMATCH(S81, ""Revista Opera""), ""Revista Opera"",
IF(REGEXMATCH(S81, ""SP Escola de Teatro""), ""SP Escola de Teatro"",
IF(REGEXMATCH(S81, ""EMC|Espaço Memória Carandiru""), ""EMC Espaço Memória Carandiru"",
IF(REGEXMATCH(S81, "&amp;"""^RAMOS, Nuno|Nuno Ramos""), ""Nuno Ramos"",
IF(REGEXMATCH(S81, ""^VELOSO, Caetano|Caetano Veloso""), ""YouTube (Caetano Veloso)"",
IF(REGEXMATCH(S81, ""^FATOS REAIS""), ""YouTube (Fatos Reais - Topic)"",
IF(REGEXMATCH(S81, ""^SALA SECRETA""), ""Wordpres"&amp;"s (Sala Secreta)"",
PROPER(REGEXEXTRACT(S81, ""^([^.]*)\.""))
))))))))))))))))))))))))))))))))))))))))))))))))))))))))"),"FGV DIREITO SP")</f>
        <v>FGV DIREITO SP</v>
      </c>
      <c r="N81" s="11" t="s">
        <v>47</v>
      </c>
      <c r="O81" s="14" t="s">
        <v>592</v>
      </c>
      <c r="P81" s="186">
        <v>45940.0</v>
      </c>
      <c r="Q81" s="11" t="s">
        <v>154</v>
      </c>
      <c r="R81" s="70" t="str">
        <f t="shared" si="8"/>
        <v>Aqui</v>
      </c>
      <c r="S81" s="172" t="s">
        <v>642</v>
      </c>
    </row>
    <row r="82">
      <c r="A82" s="11">
        <v>80.0</v>
      </c>
      <c r="B82" s="11" t="s">
        <v>485</v>
      </c>
      <c r="C82" s="12" t="str">
        <f>IFERROR(__xludf.DUMMYFUNCTION("IF(B82="""","""",IF(OR(
  REGEXMATCH(B82,""Performance|Instalação|Álbum|Música|Poema|Livro|Filme|Documentário|Recitação|Espetáculo|Peça|Intervenção|Desfile|Fotografia|Exposição|Charge|Grafite|Leitura pública|Fabricação de cachaça artesanal""),
  REGEXMATC"&amp;"H(B82,""dança|teatral|artístico|musical|artística"")
),""Manifestação artístico-cultural"",
IF(OR(
  REGEXMATCH(B82,""Crônica|Série|Reportagem|Podcast|Audiotour|Entrevista|Vídeo|Rádio""),
  REGEXMATCH(B82,""midiática"")
),""Produção midiática"","""")))
"),"Manifestação artístico-cultural")</f>
        <v>Manifestação artístico-cultural</v>
      </c>
      <c r="D82" s="13" t="str">
        <f>IFERROR(__xludf.DUMMYFUNCTION("IF(B82="""","""",IF(OR(
  REGEXMATCH(B82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REGEXMATCH(B82,""público|Imediato|artística|teatral|memória"")
),""Público Imediato"",
IF(REGEXMATCH(B82,""Música|Álbum|Filme|Documentário|Série|Podcast|"&amp;"Rádio|Audiotour|Entrevista|Reportagem|Crônica|Relatório|Abaixo-assinado|Manifesto|Petição|Poema|Livro|Fotografia|Curta|Live|Webinário|Charge|Leitura pública|Vídeo""),
""Público Mediado"","""")))
"),"Público Imediato")</f>
        <v>Público Imediato</v>
      </c>
      <c r="E82" s="13" t="str">
        <f>IFERROR(__xludf.DUMMYFUNCTION("IF(B82="""","""",IF(OR(
  REGEXMATCH(B82,""Live|Webinário|Virtual""),
  REGEXMATCH(B82,""online"")
),""Virtual"",
IF(REGEXMATCH(B82,""Música|Álbum|Filme|Documentário|Série|Podcast|Rádio|Audiotour|Episódio|Reportagem|Curta|Charge|Livro|Vídeo|Entrevista""),"&amp;"
""Midiático"",
IF(REGEXMATCH(B82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2" s="14">
        <v>2012.0</v>
      </c>
      <c r="G82" s="15">
        <f t="shared" si="1"/>
        <v>2012</v>
      </c>
      <c r="H82" s="14" t="s">
        <v>23</v>
      </c>
      <c r="I82" s="16" t="s">
        <v>87</v>
      </c>
      <c r="J82" s="202" t="str">
        <f>IFERROR(__xludf.DUMMYFUNCTION("REGEXEXTRACT(S82, ""\.\s(.*?)(?:\.|–)"")"),"Fotografia da exposição na Bienal de 2012")</f>
        <v>Fotografia da exposição na Bienal de 2012</v>
      </c>
      <c r="K82" s="16" t="s">
        <v>91</v>
      </c>
      <c r="L82" s="18" t="s">
        <v>94</v>
      </c>
      <c r="M82" s="15" t="str">
        <f>IFERROR(__xludf.DUMMYFUNCTION("IF(REGEXMATCH(S82, ""Companhia das Letras""), ""Companhia das Letras"",
IF(REGEXMATCH(S82, ""Labortexto Editorial""), ""Labortexto Editorial"",
IF(REGEXMATCH(S82, ""Geração Editorial""), ""Geração Editorial"",
IF(REGEXMATCH(S82, ""Editora Imprensa Oficial"&amp;"|Imprensa Oficial""), ""Editora Imprensa Oficial"",
IF(REGEXMATCH(S82, ""Folha Online""), ""Folha Online"",
IF(REGEXMATCH(S82, ""FGV DIREITO SP|FGV Direito SP""), ""FGV DIREITO SP"",
IF(REGEXMATCH(S82, ""massacrecarandiru\.org\.br""), ""Memória Massacre C"&amp;"arandiru"",
IF(REGEXMATCH(S82, ""Itaú Cultural""), ""YouTube (Itaú Cultural)"",
IF(REGEXMATCH(S82, ""Passa Palavra""), ""Vimeo (Passa Palavra)"",
IF(REGEXMATCH(S82, ""rede2deoutubro\.blogspot""), ""Blogspot (Rede 02 de Outubro)"",
IF(REGEXMATCH(S82, ""Red"&amp;"e TVT""), ""YouTube (Rede TVT)"",
IF(REGEXMATCH(S82, ""Esquerda Diário""), ""Esquerda Diário"",
IF(REGEXMATCH(S82, ""GZH""), ""GZH"",
IF(REGEXMATCH(S82, ""TVPUC""), ""TVPUC"",
IF(REGEXMATCH(S82, ""Mídia Ninja.*Facebook""), ""Facebook (Mídia Ninja)"",
IF(R"&amp;"EGEXMATCH(S82, ""Memórias Carandiru.*Instagram""), ""Instagram (Memórias Carandiru)"",
IF(REGEXMATCH(S82, ""Frente pelo Desencarceramento SP""), ""YouTube (Frente Pelo Desencarceramento SP)"",
IF(REGEXMATCH(S82, ""TV ABA""), ""YouTube (TV ABA)"",
IF(REGEX"&amp;"MATCH(S82, ""TV SENADO""), ""YouTube (TV Senado)"",
IF(REGEXMATCH(S82, ""Google Arts &amp; Culture""), ""Google Arts &amp; Culture (Memória Massacre Carandiru)"",
IF(REGEXMATCH(S82, ""Anistia Internacional|ANISTIA INTERNACIONAL""), ""Anistia Internacional"",
IF(R"&amp;"EGEXMATCH(S82, ""47\.mostra|47a Mostra""), ""47a Mostra Internacional de Cinema em São Paulo"",
IF(REGEXMATCH(S82, ""Canal USP""), ""YouTube (Canal USP)"",
IF(AND(
  REGEXMATCH(S82, ""(?i)(teses?\.usp\.br|dissertacoes?\.usp\.br|repositorio\.usp\.br)""),
 "&amp;" NOT(REGEXMATCH(S82, ""Canal USP""))
), ""Biblioteca Digital de Teses e Dissertações da USP"",
IF(REGEXMATCH(S82, ""SINTRAJUSC""), ""SINTRAJUSC"",
IF(REGEXMATCH(S82, ""Agência Brasil|Agencia Brasil""), ""Agência Brasil"",
IF(REGEXMATCH(S82, ""Brasil de Fa"&amp;"to""), ""Brasil de Fato"",
IF(REGEXMATCH(S82, ""Ponte Jornalismo|pontejornalismo""), ""Ponte Jornalismo"",
IF(REGEXMATCH(S82, ""letras\.mus\.br|Letras,""), ""Letras"",
IF(REGEXMATCH(S82, ""YouTube|youtube""), 
   ""YouTube (""&amp;
   IF(REGEXMATCH(S82, ""It"&amp;"aú Cultural""), ""Itaú Cultural"",
   IF(REGEXMATCH(S82, ""Rede TVT""), ""Rede TVT"",
   IF(REGEXMATCH(S82, ""Frente pelo Desencarceramento SP""), ""Frente Pelo Desencarceramento SP"",
   IF(REGEXMATCH(S82, ""TV ABA""), ""TV ABA"",
   IF(REGEXMATCH(S82, "&amp;"""TV SENADO""), ""TV Senado"",
   IF(REGEXMATCH(S82, ""Canal USP""), ""Canal USP"",
   IF(REGEXMATCH(S82, ""Douer, Zack|Zack Douer""), ""Douer Zack"",
   IF(REGEXMATCH(S82, ""PRISIONEIRO 84\.901|PRISIONEIRO 84""), ""Prisioneiro 84.901"",
   IF(REGEXMATCH("&amp;"S82, ""^[^,]*, ""), 
        PROPER(REGEXREPLACE(REGEXEXTRACT(S82, ""^([^.]*)\.""), ""^([^,]*), (.*)"", ""$2 $1"")),
        PROPER(REGEXEXTRACT(S82, ""^([^.]*)\.""))
   )))))))))&amp;"")"",
IF(REGEXMATCH(S82, ""Spotify|spotify""), 
   ""Spotify (""&amp;
   IF(R"&amp;"EGEXMATCH(S82, ""ESTRANHO SORRISO""), ""Estranho Sorriso"",
   PROPER(REGEXEXTRACT(S82, ""^([^.]*)\.""))
   )&amp;"")"",
IF(REGEXMATCH(S82, ""Vimeo|vimeo""), 
   ""Vimeo (""&amp;
   IF(REGEXMATCH(S82, ""Passa Palavra""), ""Passa Palavra"",
   PROPER(REGEXEXTRACT"&amp;"(S82, ""^([^.]*)\.""))
   )&amp;"")"",
IF(REGEXMATCH(S82, ""Blogspot""), 
   ""Blogspot (""&amp;
   IF(REGEXMATCH(S82, ""rede2deoutubro""), ""Rede 02 de Outubro"",
   PROPER(REGEXEXTRACT(S82, ""^([^.]*)\.""))
   )&amp;"")"",
IF(REGEXMATCH(S82, ""Facebook""), 
   """&amp;"Facebook (""&amp;
   IF(REGEXMATCH(S82, ""Mídia Ninja""), ""Mídia Ninja"",
   PROPER(REGEXEXTRACT(S82, ""^([^.]*)\.""))
   )&amp;"")"",
IF(REGEXMATCH(S82, ""Instagram""), 
   ""Instagram (""&amp;
   IF(REGEXMATCH(S82, ""Memórias Carandiru""), ""Memórias Carandiru"","&amp;"
   PROPER(REGEXEXTRACT(S82, ""^([^.]*)\.""))
   )&amp;"")"",
IF(REGEXMATCH(S82, ""Folha de S\. Paulo|FOLHA DE S\. PAULO""), ""Folha de S. Paulo"",
IF(REGEXMATCH(S82, ""O Estado de S\. Paulo|ESTADAO""), ""O Estado de S. Paulo"",
IF(REGEXMATCH(S82, ""salasecr"&amp;"eta""), ""Wordpress (Sala Secreta)"",
IF(REGEXMATCH(S82, ""Wikipedia|Wikipédia|WIKIPÉDIA""), ""Wikipedia"",
IF(REGEXMATCH(S82, ""VEJA|Veja""), ""Veja Abril"",
IF(REGEXMATCH(S353, ""Rede Globo|REDE GLOBO""), ""Rede Globo"",
IF(REGEXMATCH(S353, ""G1|globo\."&amp;"com""), ""G1"",
IF(REGEXMATCH(S82, ""Deutsche Welle|DW\.com""), ""Deutsche Welle"",
IF(REGEXMATCH(S82, ""CIDH|Comissão Interamericana""), ""Comissão Interamericana de Direitos Humanos (CIDH)"",
IF(REGEXMATCH(S82, ""Pastoral Carcerária""), ""Pastoral Carce"&amp;"rária"",
IF(REGEXMATCH(S82, ""Esquerda Web""), ""Esquerda Web"",
IF(REGEXMATCH(S82, ""ONU|Organização das Nações Unidas""), ""ONU Brasil"",
IF(REGEXMATCH(S82, ""Quilombo Invisível""), ""Quilombo Invisível"",
IF(REGEXMATCH(S82, ""ALESP|Assembleia Legislati"&amp;"va""), ""ALESP"",
IF(REGEXMATCH(S82, ""Revista Opera""), ""Revista Opera"",
IF(REGEXMATCH(S82, ""SP Escola de Teatro""), ""SP Escola de Teatro"",
IF(REGEXMATCH(S82, ""EMC|Espaço Memória Carandiru""), ""EMC Espaço Memória Carandiru"",
IF(REGEXMATCH(S82, "&amp;"""^RAMOS, Nuno|Nuno Ramos""), ""Nuno Ramos"",
IF(REGEXMATCH(S82, ""^VELOSO, Caetano|Caetano Veloso""), ""YouTube (Caetano Veloso)"",
IF(REGEXMATCH(S82, ""^FATOS REAIS""), ""YouTube (Fatos Reais - Topic)"",
IF(REGEXMATCH(S82, ""^SALA SECRETA""), ""Wordpres"&amp;"s (Sala Secreta)"",
PROPER(REGEXEXTRACT(S82, ""^([^.]*)\.""))
))))))))))))))))))))))))))))))))))))))))))))))))))))))))"),"Memória Massacre Carandiru")</f>
        <v>Memória Massacre Carandiru</v>
      </c>
      <c r="N82" s="11" t="s">
        <v>47</v>
      </c>
      <c r="O82" s="14" t="s">
        <v>592</v>
      </c>
      <c r="P82" s="186">
        <v>45940.0</v>
      </c>
      <c r="Q82" s="11" t="s">
        <v>154</v>
      </c>
      <c r="R82" s="70" t="str">
        <f t="shared" si="8"/>
        <v>Aqui</v>
      </c>
      <c r="S82" s="172" t="s">
        <v>643</v>
      </c>
    </row>
    <row r="83">
      <c r="A83" s="11">
        <v>81.0</v>
      </c>
      <c r="B83" s="11" t="s">
        <v>644</v>
      </c>
      <c r="C83" s="122" t="s">
        <v>165</v>
      </c>
      <c r="D83" s="13" t="str">
        <f>IFERROR(__xludf.DUMMYFUNCTION("IF(B83="""","""",IF(OR(
  REGEXMATCH(B83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REGEXMATCH(B83,""público|Imediato|artística|teatral|memória"")
),""Público Imediato"",
IF(REGEXMATCH(B83,""Música|Álbum|Filme|Documentário|Série|Podcast|"&amp;"Rádio|Audiotour|Entrevista|Reportagem|Crônica|Relatório|Abaixo-assinado|Manifesto|Petição|Poema|Livro|Fotografia|Curta|Live|Webinário|Charge|Leitura pública|Vídeo""),
""Público Mediado"","""")))
"),"Público Imediato")</f>
        <v>Público Imediato</v>
      </c>
      <c r="E83" s="13" t="str">
        <f>IFERROR(__xludf.DUMMYFUNCTION("IF(B83="""","""",IF(OR(
  REGEXMATCH(B83,""Live|Webinário|Virtual""),
  REGEXMATCH(B83,""online"")
),""Virtual"",
IF(REGEXMATCH(B83,""Música|Álbum|Filme|Documentário|Série|Podcast|Rádio|Audiotour|Episódio|Reportagem|Curta|Charge|Livro|Vídeo|Entrevista""),"&amp;"
""Midiático"",
IF(REGEXMATCH(B83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3" s="14">
        <v>2012.0</v>
      </c>
      <c r="G83" s="15">
        <f t="shared" si="1"/>
        <v>2012</v>
      </c>
      <c r="H83" s="14" t="s">
        <v>23</v>
      </c>
      <c r="I83" s="16" t="s">
        <v>645</v>
      </c>
      <c r="J83" s="202" t="str">
        <f>IFERROR(__xludf.DUMMYFUNCTION("REGEXEXTRACT(S83, ""\.\s(.*?)(?:\.|–)"")"),"Fotografia do escracho a Fleury, 20 anos do massacre (1)")</f>
        <v>Fotografia do escracho a Fleury, 20 anos do massacre (1)</v>
      </c>
      <c r="K83" s="16" t="s">
        <v>91</v>
      </c>
      <c r="L83" s="18" t="s">
        <v>94</v>
      </c>
      <c r="M83" s="15" t="str">
        <f>IFERROR(__xludf.DUMMYFUNCTION("IF(REGEXMATCH(S83, ""Companhia das Letras""), ""Companhia das Letras"",
IF(REGEXMATCH(S83, ""Labortexto Editorial""), ""Labortexto Editorial"",
IF(REGEXMATCH(S83, ""Geração Editorial""), ""Geração Editorial"",
IF(REGEXMATCH(S83, ""Editora Imprensa Oficial"&amp;"|Imprensa Oficial""), ""Editora Imprensa Oficial"",
IF(REGEXMATCH(S83, ""Folha Online""), ""Folha Online"",
IF(REGEXMATCH(S83, ""FGV DIREITO SP|FGV Direito SP""), ""FGV DIREITO SP"",
IF(REGEXMATCH(S83, ""massacrecarandiru\.org\.br""), ""Memória Massacre C"&amp;"arandiru"",
IF(REGEXMATCH(S83, ""Itaú Cultural""), ""YouTube (Itaú Cultural)"",
IF(REGEXMATCH(S83, ""Passa Palavra""), ""Vimeo (Passa Palavra)"",
IF(REGEXMATCH(S83, ""rede2deoutubro\.blogspot""), ""Blogspot (Rede 02 de Outubro)"",
IF(REGEXMATCH(S83, ""Red"&amp;"e TVT""), ""YouTube (Rede TVT)"",
IF(REGEXMATCH(S83, ""Esquerda Diário""), ""Esquerda Diário"",
IF(REGEXMATCH(S83, ""GZH""), ""GZH"",
IF(REGEXMATCH(S83, ""TVPUC""), ""TVPUC"",
IF(REGEXMATCH(S83, ""Mídia Ninja.*Facebook""), ""Facebook (Mídia Ninja)"",
IF(R"&amp;"EGEXMATCH(S83, ""Memórias Carandiru.*Instagram""), ""Instagram (Memórias Carandiru)"",
IF(REGEXMATCH(S83, ""Frente pelo Desencarceramento SP""), ""YouTube (Frente Pelo Desencarceramento SP)"",
IF(REGEXMATCH(S83, ""TV ABA""), ""YouTube (TV ABA)"",
IF(REGEX"&amp;"MATCH(S83, ""TV SENADO""), ""YouTube (TV Senado)"",
IF(REGEXMATCH(S83, ""Google Arts &amp; Culture""), ""Google Arts &amp; Culture (Memória Massacre Carandiru)"",
IF(REGEXMATCH(S83, ""Anistia Internacional|ANISTIA INTERNACIONAL""), ""Anistia Internacional"",
IF(R"&amp;"EGEXMATCH(S83, ""47\.mostra|47a Mostra""), ""47a Mostra Internacional de Cinema em São Paulo"",
IF(REGEXMATCH(S83, ""Canal USP""), ""YouTube (Canal USP)"",
IF(AND(
  REGEXMATCH(S83, ""(?i)(teses?\.usp\.br|dissertacoes?\.usp\.br|repositorio\.usp\.br)""),
 "&amp;" NOT(REGEXMATCH(S83, ""Canal USP""))
), ""Biblioteca Digital de Teses e Dissertações da USP"",
IF(REGEXMATCH(S83, ""SINTRAJUSC""), ""SINTRAJUSC"",
IF(REGEXMATCH(S83, ""Agência Brasil|Agencia Brasil""), ""Agência Brasil"",
IF(REGEXMATCH(S83, ""Brasil de Fa"&amp;"to""), ""Brasil de Fato"",
IF(REGEXMATCH(S83, ""Ponte Jornalismo|pontejornalismo""), ""Ponte Jornalismo"",
IF(REGEXMATCH(S83, ""letras\.mus\.br|Letras,""), ""Letras"",
IF(REGEXMATCH(S83, ""YouTube|youtube""), 
   ""YouTube (""&amp;
   IF(REGEXMATCH(S83, ""It"&amp;"aú Cultural""), ""Itaú Cultural"",
   IF(REGEXMATCH(S83, ""Rede TVT""), ""Rede TVT"",
   IF(REGEXMATCH(S83, ""Frente pelo Desencarceramento SP""), ""Frente Pelo Desencarceramento SP"",
   IF(REGEXMATCH(S83, ""TV ABA""), ""TV ABA"",
   IF(REGEXMATCH(S83, "&amp;"""TV SENADO""), ""TV Senado"",
   IF(REGEXMATCH(S83, ""Canal USP""), ""Canal USP"",
   IF(REGEXMATCH(S83, ""Douer, Zack|Zack Douer""), ""Douer Zack"",
   IF(REGEXMATCH(S83, ""PRISIONEIRO 84\.901|PRISIONEIRO 84""), ""Prisioneiro 84.901"",
   IF(REGEXMATCH("&amp;"S83, ""^[^,]*, ""), 
        PROPER(REGEXREPLACE(REGEXEXTRACT(S83, ""^([^.]*)\.""), ""^([^,]*), (.*)"", ""$2 $1"")),
        PROPER(REGEXEXTRACT(S83, ""^([^.]*)\.""))
   )))))))))&amp;"")"",
IF(REGEXMATCH(S83, ""Spotify|spotify""), 
   ""Spotify (""&amp;
   IF(R"&amp;"EGEXMATCH(S83, ""ESTRANHO SORRISO""), ""Estranho Sorriso"",
   PROPER(REGEXEXTRACT(S83, ""^([^.]*)\.""))
   )&amp;"")"",
IF(REGEXMATCH(S83, ""Vimeo|vimeo""), 
   ""Vimeo (""&amp;
   IF(REGEXMATCH(S83, ""Passa Palavra""), ""Passa Palavra"",
   PROPER(REGEXEXTRACT"&amp;"(S83, ""^([^.]*)\.""))
   )&amp;"")"",
IF(REGEXMATCH(S83, ""Blogspot""), 
   ""Blogspot (""&amp;
   IF(REGEXMATCH(S83, ""rede2deoutubro""), ""Rede 02 de Outubro"",
   PROPER(REGEXEXTRACT(S83, ""^([^.]*)\.""))
   )&amp;"")"",
IF(REGEXMATCH(S83, ""Facebook""), 
   """&amp;"Facebook (""&amp;
   IF(REGEXMATCH(S83, ""Mídia Ninja""), ""Mídia Ninja"",
   PROPER(REGEXEXTRACT(S83, ""^([^.]*)\.""))
   )&amp;"")"",
IF(REGEXMATCH(S83, ""Instagram""), 
   ""Instagram (""&amp;
   IF(REGEXMATCH(S83, ""Memórias Carandiru""), ""Memórias Carandiru"","&amp;"
   PROPER(REGEXEXTRACT(S83, ""^([^.]*)\.""))
   )&amp;"")"",
IF(REGEXMATCH(S83, ""Folha de S\. Paulo|FOLHA DE S\. PAULO""), ""Folha de S. Paulo"",
IF(REGEXMATCH(S83, ""O Estado de S\. Paulo|ESTADAO""), ""O Estado de S. Paulo"",
IF(REGEXMATCH(S83, ""salasecr"&amp;"eta""), ""Wordpress (Sala Secreta)"",
IF(REGEXMATCH(S83, ""Wikipedia|Wikipédia|WIKIPÉDIA""), ""Wikipedia"",
IF(REGEXMATCH(S83, ""VEJA|Veja""), ""Veja Abril"",
IF(REGEXMATCH(S354, ""Rede Globo|REDE GLOBO""), ""Rede Globo"",
IF(REGEXMATCH(S354, ""G1|globo\."&amp;"com""), ""G1"",
IF(REGEXMATCH(S83, ""Deutsche Welle|DW\.com""), ""Deutsche Welle"",
IF(REGEXMATCH(S83, ""CIDH|Comissão Interamericana""), ""Comissão Interamericana de Direitos Humanos (CIDH)"",
IF(REGEXMATCH(S83, ""Pastoral Carcerária""), ""Pastoral Carce"&amp;"rária"",
IF(REGEXMATCH(S83, ""Esquerda Web""), ""Esquerda Web"",
IF(REGEXMATCH(S83, ""ONU|Organização das Nações Unidas""), ""ONU Brasil"",
IF(REGEXMATCH(S83, ""Quilombo Invisível""), ""Quilombo Invisível"",
IF(REGEXMATCH(S83, ""ALESP|Assembleia Legislati"&amp;"va""), ""ALESP"",
IF(REGEXMATCH(S83, ""Revista Opera""), ""Revista Opera"",
IF(REGEXMATCH(S83, ""SP Escola de Teatro""), ""SP Escola de Teatro"",
IF(REGEXMATCH(S83, ""EMC|Espaço Memória Carandiru""), ""EMC Espaço Memória Carandiru"",
IF(REGEXMATCH(S83, "&amp;"""^RAMOS, Nuno|Nuno Ramos""), ""Nuno Ramos"",
IF(REGEXMATCH(S83, ""^VELOSO, Caetano|Caetano Veloso""), ""YouTube (Caetano Veloso)"",
IF(REGEXMATCH(S83, ""^FATOS REAIS""), ""YouTube (Fatos Reais - Topic)"",
IF(REGEXMATCH(S83, ""^SALA SECRETA""), ""Wordpres"&amp;"s (Sala Secreta)"",
PROPER(REGEXEXTRACT(S83, ""^([^.]*)\.""))
))))))))))))))))))))))))))))))))))))))))))))))))))))))))"),"FGV DIREITO SP")</f>
        <v>FGV DIREITO SP</v>
      </c>
      <c r="N83" s="11" t="s">
        <v>47</v>
      </c>
      <c r="O83" s="14" t="s">
        <v>592</v>
      </c>
      <c r="P83" s="186">
        <v>45940.0</v>
      </c>
      <c r="Q83" s="11" t="s">
        <v>154</v>
      </c>
      <c r="R83" s="70" t="str">
        <f t="shared" si="8"/>
        <v>Aqui</v>
      </c>
      <c r="S83" s="172" t="s">
        <v>646</v>
      </c>
    </row>
    <row r="84">
      <c r="A84" s="11">
        <v>82.0</v>
      </c>
      <c r="B84" s="11" t="s">
        <v>644</v>
      </c>
      <c r="C84" s="122" t="s">
        <v>165</v>
      </c>
      <c r="D84" s="13" t="str">
        <f>IFERROR(__xludf.DUMMYFUNCTION("IF(B84="""","""",IF(OR(
  REGEXMATCH(B84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REGEXMATCH(B84,""público|Imediato|artística|teatral|memória"")
),""Público Imediato"",
IF(REGEXMATCH(B84,""Música|Álbum|Filme|Documentário|Série|Podcast|"&amp;"Rádio|Audiotour|Entrevista|Reportagem|Crônica|Relatório|Abaixo-assinado|Manifesto|Petição|Poema|Livro|Fotografia|Curta|Live|Webinário|Charge|Leitura pública|Vídeo""),
""Público Mediado"","""")))
"),"Público Imediato")</f>
        <v>Público Imediato</v>
      </c>
      <c r="E84" s="13" t="str">
        <f>IFERROR(__xludf.DUMMYFUNCTION("IF(B84="""","""",IF(OR(
  REGEXMATCH(B84,""Live|Webinário|Virtual""),
  REGEXMATCH(B84,""online"")
),""Virtual"",
IF(REGEXMATCH(B84,""Música|Álbum|Filme|Documentário|Série|Podcast|Rádio|Audiotour|Episódio|Reportagem|Curta|Charge|Livro|Vídeo|Entrevista""),"&amp;"
""Midiático"",
IF(REGEXMATCH(B84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4" s="14">
        <v>2012.0</v>
      </c>
      <c r="G84" s="15">
        <f t="shared" si="1"/>
        <v>2012</v>
      </c>
      <c r="H84" s="14" t="s">
        <v>23</v>
      </c>
      <c r="I84" s="16" t="s">
        <v>645</v>
      </c>
      <c r="J84" s="202" t="str">
        <f>IFERROR(__xludf.DUMMYFUNCTION("REGEXEXTRACT(S84, ""\.\s(.*?)(?:\.|–)"")"),"Fotografia do escracho a Fleury, 20 anos do massacre (2)")</f>
        <v>Fotografia do escracho a Fleury, 20 anos do massacre (2)</v>
      </c>
      <c r="K84" s="16" t="s">
        <v>91</v>
      </c>
      <c r="L84" s="18" t="s">
        <v>94</v>
      </c>
      <c r="M84" s="15" t="str">
        <f>IFERROR(__xludf.DUMMYFUNCTION("IF(REGEXMATCH(S84, ""Companhia das Letras""), ""Companhia das Letras"",
IF(REGEXMATCH(S84, ""Labortexto Editorial""), ""Labortexto Editorial"",
IF(REGEXMATCH(S84, ""Geração Editorial""), ""Geração Editorial"",
IF(REGEXMATCH(S84, ""Editora Imprensa Oficial"&amp;"|Imprensa Oficial""), ""Editora Imprensa Oficial"",
IF(REGEXMATCH(S84, ""Folha Online""), ""Folha Online"",
IF(REGEXMATCH(S84, ""FGV DIREITO SP|FGV Direito SP""), ""FGV DIREITO SP"",
IF(REGEXMATCH(S84, ""massacrecarandiru\.org\.br""), ""Memória Massacre C"&amp;"arandiru"",
IF(REGEXMATCH(S84, ""Itaú Cultural""), ""YouTube (Itaú Cultural)"",
IF(REGEXMATCH(S84, ""Passa Palavra""), ""Vimeo (Passa Palavra)"",
IF(REGEXMATCH(S84, ""rede2deoutubro\.blogspot""), ""Blogspot (Rede 02 de Outubro)"",
IF(REGEXMATCH(S84, ""Red"&amp;"e TVT""), ""YouTube (Rede TVT)"",
IF(REGEXMATCH(S84, ""Esquerda Diário""), ""Esquerda Diário"",
IF(REGEXMATCH(S84, ""GZH""), ""GZH"",
IF(REGEXMATCH(S84, ""TVPUC""), ""TVPUC"",
IF(REGEXMATCH(S84, ""Mídia Ninja.*Facebook""), ""Facebook (Mídia Ninja)"",
IF(R"&amp;"EGEXMATCH(S84, ""Memórias Carandiru.*Instagram""), ""Instagram (Memórias Carandiru)"",
IF(REGEXMATCH(S84, ""Frente pelo Desencarceramento SP""), ""YouTube (Frente Pelo Desencarceramento SP)"",
IF(REGEXMATCH(S84, ""TV ABA""), ""YouTube (TV ABA)"",
IF(REGEX"&amp;"MATCH(S84, ""TV SENADO""), ""YouTube (TV Senado)"",
IF(REGEXMATCH(S84, ""Google Arts &amp; Culture""), ""Google Arts &amp; Culture (Memória Massacre Carandiru)"",
IF(REGEXMATCH(S84, ""Anistia Internacional|ANISTIA INTERNACIONAL""), ""Anistia Internacional"",
IF(R"&amp;"EGEXMATCH(S84, ""47\.mostra|47a Mostra""), ""47a Mostra Internacional de Cinema em São Paulo"",
IF(REGEXMATCH(S84, ""Canal USP""), ""YouTube (Canal USP)"",
IF(AND(
  REGEXMATCH(S84, ""(?i)(teses?\.usp\.br|dissertacoes?\.usp\.br|repositorio\.usp\.br)""),
 "&amp;" NOT(REGEXMATCH(S84, ""Canal USP""))
), ""Biblioteca Digital de Teses e Dissertações da USP"",
IF(REGEXMATCH(S84, ""SINTRAJUSC""), ""SINTRAJUSC"",
IF(REGEXMATCH(S84, ""Agência Brasil|Agencia Brasil""), ""Agência Brasil"",
IF(REGEXMATCH(S84, ""Brasil de Fa"&amp;"to""), ""Brasil de Fato"",
IF(REGEXMATCH(S84, ""Ponte Jornalismo|pontejornalismo""), ""Ponte Jornalismo"",
IF(REGEXMATCH(S84, ""letras\.mus\.br|Letras,""), ""Letras"",
IF(REGEXMATCH(S84, ""YouTube|youtube""), 
   ""YouTube (""&amp;
   IF(REGEXMATCH(S84, ""It"&amp;"aú Cultural""), ""Itaú Cultural"",
   IF(REGEXMATCH(S84, ""Rede TVT""), ""Rede TVT"",
   IF(REGEXMATCH(S84, ""Frente pelo Desencarceramento SP""), ""Frente Pelo Desencarceramento SP"",
   IF(REGEXMATCH(S84, ""TV ABA""), ""TV ABA"",
   IF(REGEXMATCH(S84, "&amp;"""TV SENADO""), ""TV Senado"",
   IF(REGEXMATCH(S84, ""Canal USP""), ""Canal USP"",
   IF(REGEXMATCH(S84, ""Douer, Zack|Zack Douer""), ""Douer Zack"",
   IF(REGEXMATCH(S84, ""PRISIONEIRO 84\.901|PRISIONEIRO 84""), ""Prisioneiro 84.901"",
   IF(REGEXMATCH("&amp;"S84, ""^[^,]*, ""), 
        PROPER(REGEXREPLACE(REGEXEXTRACT(S84, ""^([^.]*)\.""), ""^([^,]*), (.*)"", ""$2 $1"")),
        PROPER(REGEXEXTRACT(S84, ""^([^.]*)\.""))
   )))))))))&amp;"")"",
IF(REGEXMATCH(S84, ""Spotify|spotify""), 
   ""Spotify (""&amp;
   IF(R"&amp;"EGEXMATCH(S84, ""ESTRANHO SORRISO""), ""Estranho Sorriso"",
   PROPER(REGEXEXTRACT(S84, ""^([^.]*)\.""))
   )&amp;"")"",
IF(REGEXMATCH(S84, ""Vimeo|vimeo""), 
   ""Vimeo (""&amp;
   IF(REGEXMATCH(S84, ""Passa Palavra""), ""Passa Palavra"",
   PROPER(REGEXEXTRACT"&amp;"(S84, ""^([^.]*)\.""))
   )&amp;"")"",
IF(REGEXMATCH(S84, ""Blogspot""), 
   ""Blogspot (""&amp;
   IF(REGEXMATCH(S84, ""rede2deoutubro""), ""Rede 02 de Outubro"",
   PROPER(REGEXEXTRACT(S84, ""^([^.]*)\.""))
   )&amp;"")"",
IF(REGEXMATCH(S84, ""Facebook""), 
   """&amp;"Facebook (""&amp;
   IF(REGEXMATCH(S84, ""Mídia Ninja""), ""Mídia Ninja"",
   PROPER(REGEXEXTRACT(S84, ""^([^.]*)\.""))
   )&amp;"")"",
IF(REGEXMATCH(S84, ""Instagram""), 
   ""Instagram (""&amp;
   IF(REGEXMATCH(S84, ""Memórias Carandiru""), ""Memórias Carandiru"","&amp;"
   PROPER(REGEXEXTRACT(S84, ""^([^.]*)\.""))
   )&amp;"")"",
IF(REGEXMATCH(S84, ""Folha de S\. Paulo|FOLHA DE S\. PAULO""), ""Folha de S. Paulo"",
IF(REGEXMATCH(S84, ""O Estado de S\. Paulo|ESTADAO""), ""O Estado de S. Paulo"",
IF(REGEXMATCH(S84, ""salasecr"&amp;"eta""), ""Wordpress (Sala Secreta)"",
IF(REGEXMATCH(S84, ""Wikipedia|Wikipédia|WIKIPÉDIA""), ""Wikipedia"",
IF(REGEXMATCH(S84, ""VEJA|Veja""), ""Veja Abril"",
IF(REGEXMATCH(S355, ""Rede Globo|REDE GLOBO""), ""Rede Globo"",
IF(REGEXMATCH(S355, ""G1|globo\."&amp;"com""), ""G1"",
IF(REGEXMATCH(S84, ""Deutsche Welle|DW\.com""), ""Deutsche Welle"",
IF(REGEXMATCH(S84, ""CIDH|Comissão Interamericana""), ""Comissão Interamericana de Direitos Humanos (CIDH)"",
IF(REGEXMATCH(S84, ""Pastoral Carcerária""), ""Pastoral Carce"&amp;"rária"",
IF(REGEXMATCH(S84, ""Esquerda Web""), ""Esquerda Web"",
IF(REGEXMATCH(S84, ""ONU|Organização das Nações Unidas""), ""ONU Brasil"",
IF(REGEXMATCH(S84, ""Quilombo Invisível""), ""Quilombo Invisível"",
IF(REGEXMATCH(S84, ""ALESP|Assembleia Legislati"&amp;"va""), ""ALESP"",
IF(REGEXMATCH(S84, ""Revista Opera""), ""Revista Opera"",
IF(REGEXMATCH(S84, ""SP Escola de Teatro""), ""SP Escola de Teatro"",
IF(REGEXMATCH(S84, ""EMC|Espaço Memória Carandiru""), ""EMC Espaço Memória Carandiru"",
IF(REGEXMATCH(S84, "&amp;"""^RAMOS, Nuno|Nuno Ramos""), ""Nuno Ramos"",
IF(REGEXMATCH(S84, ""^VELOSO, Caetano|Caetano Veloso""), ""YouTube (Caetano Veloso)"",
IF(REGEXMATCH(S84, ""^FATOS REAIS""), ""YouTube (Fatos Reais - Topic)"",
IF(REGEXMATCH(S84, ""^SALA SECRETA""), ""Wordpres"&amp;"s (Sala Secreta)"",
PROPER(REGEXEXTRACT(S84, ""^([^.]*)\.""))
))))))))))))))))))))))))))))))))))))))))))))))))))))))))"),"FGV DIREITO SP")</f>
        <v>FGV DIREITO SP</v>
      </c>
      <c r="N84" s="11" t="s">
        <v>47</v>
      </c>
      <c r="O84" s="14" t="s">
        <v>592</v>
      </c>
      <c r="P84" s="186">
        <v>45940.0</v>
      </c>
      <c r="Q84" s="11" t="s">
        <v>154</v>
      </c>
      <c r="R84" s="70" t="str">
        <f t="shared" si="8"/>
        <v>Aqui</v>
      </c>
      <c r="S84" s="172" t="s">
        <v>647</v>
      </c>
    </row>
    <row r="85">
      <c r="A85" s="11">
        <v>83.0</v>
      </c>
      <c r="B85" s="11" t="s">
        <v>228</v>
      </c>
      <c r="C85" s="122" t="s">
        <v>165</v>
      </c>
      <c r="D85" s="13" t="str">
        <f>IFERROR(__xludf.DUMMYFUNCTION("IF(B85="""","""",IF(OR(
  REGEXMATCH(B85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REGEXMATCH(B85,""público|Imediato|artística|teatral|memória"")
),""Público Imediato"",
IF(REGEXMATCH(B85,""Música|Álbum|Filme|Documentário|Série|Podcast|"&amp;"Rádio|Audiotour|Entrevista|Reportagem|Crônica|Relatório|Abaixo-assinado|Manifesto|Petição|Poema|Livro|Fotografia|Curta|Live|Webinário|Charge|Leitura pública|Vídeo""),
""Público Mediado"","""")))
"),"Público Imediato")</f>
        <v>Público Imediato</v>
      </c>
      <c r="E85" s="13" t="str">
        <f>IFERROR(__xludf.DUMMYFUNCTION("IF(B85="""","""",IF(OR(
  REGEXMATCH(B85,""Live|Webinário|Virtual""),
  REGEXMATCH(B85,""online"")
),""Virtual"",
IF(REGEXMATCH(B85,""Música|Álbum|Filme|Documentário|Série|Podcast|Rádio|Audiotour|Episódio|Reportagem|Curta|Charge|Livro|Vídeo|Entrevista""),"&amp;"
""Midiático"",
IF(REGEXMATCH(B85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5" s="14">
        <v>2013.0</v>
      </c>
      <c r="G85" s="15">
        <f t="shared" si="1"/>
        <v>2013</v>
      </c>
      <c r="H85" s="11" t="s">
        <v>648</v>
      </c>
      <c r="I85" s="191" t="s">
        <v>498</v>
      </c>
      <c r="J85" s="17" t="s">
        <v>649</v>
      </c>
      <c r="K85" s="16" t="s">
        <v>91</v>
      </c>
      <c r="L85" s="18" t="s">
        <v>94</v>
      </c>
      <c r="M85" s="15" t="str">
        <f>IFERROR(__xludf.DUMMYFUNCTION("IF(REGEXMATCH(S85, ""Companhia das Letras""), ""Companhia das Letras"",
IF(REGEXMATCH(S85, ""Labortexto Editorial""), ""Labortexto Editorial"",
IF(REGEXMATCH(S85, ""Geração Editorial""), ""Geração Editorial"",
IF(REGEXMATCH(S85, ""Editora Imprensa Oficial"&amp;"|Imprensa Oficial""), ""Editora Imprensa Oficial"",
IF(REGEXMATCH(S85, ""Folha Online""), ""Folha Online"",
IF(REGEXMATCH(S85, ""FGV DIREITO SP|FGV Direito SP""), ""FGV DIREITO SP"",
IF(REGEXMATCH(S85, ""massacrecarandiru\.org\.br""), ""Memória Massacre C"&amp;"arandiru"",
IF(REGEXMATCH(S85, ""Itaú Cultural""), ""YouTube (Itaú Cultural)"",
IF(REGEXMATCH(S85, ""Passa Palavra""), ""Vimeo (Passa Palavra)"",
IF(REGEXMATCH(S85, ""rede2deoutubro\.blogspot""), ""Blogspot (Rede 02 de Outubro)"",
IF(REGEXMATCH(S85, ""Red"&amp;"e TVT""), ""YouTube (Rede TVT)"",
IF(REGEXMATCH(S85, ""Esquerda Diário""), ""Esquerda Diário"",
IF(REGEXMATCH(S85, ""GZH""), ""GZH"",
IF(REGEXMATCH(S85, ""TVPUC""), ""TVPUC"",
IF(REGEXMATCH(S85, ""Mídia Ninja.*Facebook""), ""Facebook (Mídia Ninja)"",
IF(R"&amp;"EGEXMATCH(S85, ""Memórias Carandiru.*Instagram""), ""Instagram (Memórias Carandiru)"",
IF(REGEXMATCH(S85, ""Frente pelo Desencarceramento SP""), ""YouTube (Frente Pelo Desencarceramento SP)"",
IF(REGEXMATCH(S85, ""TV ABA""), ""YouTube (TV ABA)"",
IF(REGEX"&amp;"MATCH(S85, ""TV SENADO""), ""YouTube (TV Senado)"",
IF(REGEXMATCH(S85, ""Google Arts &amp; Culture""), ""Google Arts &amp; Culture (Memória Massacre Carandiru)"",
IF(REGEXMATCH(S85, ""Anistia Internacional|ANISTIA INTERNACIONAL""), ""Anistia Internacional"",
IF(R"&amp;"EGEXMATCH(S85, ""47\.mostra|47a Mostra""), ""47a Mostra Internacional de Cinema em São Paulo"",
IF(REGEXMATCH(S85, ""Canal USP""), ""YouTube (Canal USP)"",
IF(AND(
  REGEXMATCH(S85, ""(?i)(teses?\.usp\.br|dissertacoes?\.usp\.br|repositorio\.usp\.br)""),
 "&amp;" NOT(REGEXMATCH(S85, ""Canal USP""))
), ""Biblioteca Digital de Teses e Dissertações da USP"",
IF(REGEXMATCH(S85, ""SINTRAJUSC""), ""SINTRAJUSC"",
IF(REGEXMATCH(S85, ""Agência Brasil|Agencia Brasil""), ""Agência Brasil"",
IF(REGEXMATCH(S85, ""Brasil de Fa"&amp;"to""), ""Brasil de Fato"",
IF(REGEXMATCH(S85, ""Ponte Jornalismo|pontejornalismo""), ""Ponte Jornalismo"",
IF(REGEXMATCH(S85, ""letras\.mus\.br|Letras,""), ""Letras"",
IF(REGEXMATCH(S85, ""YouTube|youtube""), 
   ""YouTube (""&amp;
   IF(REGEXMATCH(S85, ""It"&amp;"aú Cultural""), ""Itaú Cultural"",
   IF(REGEXMATCH(S85, ""Rede TVT""), ""Rede TVT"",
   IF(REGEXMATCH(S85, ""Frente pelo Desencarceramento SP""), ""Frente Pelo Desencarceramento SP"",
   IF(REGEXMATCH(S85, ""TV ABA""), ""TV ABA"",
   IF(REGEXMATCH(S85, "&amp;"""TV SENADO""), ""TV Senado"",
   IF(REGEXMATCH(S85, ""Canal USP""), ""Canal USP"",
   IF(REGEXMATCH(S85, ""Douer, Zack|Zack Douer""), ""Douer Zack"",
   IF(REGEXMATCH(S85, ""PRISIONEIRO 84\.901|PRISIONEIRO 84""), ""Prisioneiro 84.901"",
   IF(REGEXMATCH("&amp;"S85, ""^[^,]*, ""), 
        PROPER(REGEXREPLACE(REGEXEXTRACT(S85, ""^([^.]*)\.""), ""^([^,]*), (.*)"", ""$2 $1"")),
        PROPER(REGEXEXTRACT(S85, ""^([^.]*)\.""))
   )))))))))&amp;"")"",
IF(REGEXMATCH(S85, ""Spotify|spotify""), 
   ""Spotify (""&amp;
   IF(R"&amp;"EGEXMATCH(S85, ""ESTRANHO SORRISO""), ""Estranho Sorriso"",
   PROPER(REGEXEXTRACT(S85, ""^([^.]*)\.""))
   )&amp;"")"",
IF(REGEXMATCH(S85, ""Vimeo|vimeo""), 
   ""Vimeo (""&amp;
   IF(REGEXMATCH(S85, ""Passa Palavra""), ""Passa Palavra"",
   PROPER(REGEXEXTRACT"&amp;"(S85, ""^([^.]*)\.""))
   )&amp;"")"",
IF(REGEXMATCH(S85, ""Blogspot""), 
   ""Blogspot (""&amp;
   IF(REGEXMATCH(S85, ""rede2deoutubro""), ""Rede 02 de Outubro"",
   PROPER(REGEXEXTRACT(S85, ""^([^.]*)\.""))
   )&amp;"")"",
IF(REGEXMATCH(S85, ""Facebook""), 
   """&amp;"Facebook (""&amp;
   IF(REGEXMATCH(S85, ""Mídia Ninja""), ""Mídia Ninja"",
   PROPER(REGEXEXTRACT(S85, ""^([^.]*)\.""))
   )&amp;"")"",
IF(REGEXMATCH(S85, ""Instagram""), 
   ""Instagram (""&amp;
   IF(REGEXMATCH(S85, ""Memórias Carandiru""), ""Memórias Carandiru"","&amp;"
   PROPER(REGEXEXTRACT(S85, ""^([^.]*)\.""))
   )&amp;"")"",
IF(REGEXMATCH(S85, ""Folha de S\. Paulo|FOLHA DE S\. PAULO""), ""Folha de S. Paulo"",
IF(REGEXMATCH(S85, ""O Estado de S\. Paulo|ESTADAO""), ""O Estado de S. Paulo"",
IF(REGEXMATCH(S85, ""salasecr"&amp;"eta""), ""Wordpress (Sala Secreta)"",
IF(REGEXMATCH(S85, ""Wikipedia|Wikipédia|WIKIPÉDIA""), ""Wikipedia"",
IF(REGEXMATCH(S85, ""VEJA|Veja""), ""Veja Abril"",
IF(REGEXMATCH(S356, ""Rede Globo|REDE GLOBO""), ""Rede Globo"",
IF(REGEXMATCH(S356, ""G1|globo\."&amp;"com""), ""G1"",
IF(REGEXMATCH(S85, ""Deutsche Welle|DW\.com""), ""Deutsche Welle"",
IF(REGEXMATCH(S85, ""CIDH|Comissão Interamericana""), ""Comissão Interamericana de Direitos Humanos (CIDH)"",
IF(REGEXMATCH(S85, ""Pastoral Carcerária""), ""Pastoral Carce"&amp;"rária"",
IF(REGEXMATCH(S85, ""Esquerda Web""), ""Esquerda Web"",
IF(REGEXMATCH(S85, ""ONU|Organização das Nações Unidas""), ""ONU Brasil"",
IF(REGEXMATCH(S85, ""Quilombo Invisível""), ""Quilombo Invisível"",
IF(REGEXMATCH(S85, ""ALESP|Assembleia Legislati"&amp;"va""), ""ALESP"",
IF(REGEXMATCH(S85, ""Revista Opera""), ""Revista Opera"",
IF(REGEXMATCH(S85, ""SP Escola de Teatro""), ""SP Escola de Teatro"",
IF(REGEXMATCH(S85, ""EMC|Espaço Memória Carandiru""), ""EMC Espaço Memória Carandiru"",
IF(REGEXMATCH(S85, "&amp;"""^RAMOS, Nuno|Nuno Ramos""), ""Nuno Ramos"",
IF(REGEXMATCH(S85, ""^VELOSO, Caetano|Caetano Veloso""), ""YouTube (Caetano Veloso)"",
IF(REGEXMATCH(S85, ""^FATOS REAIS""), ""YouTube (Fatos Reais - Topic)"",
IF(REGEXMATCH(S85, ""^SALA SECRETA""), ""Wordpres"&amp;"s (Sala Secreta)"",
PROPER(REGEXEXTRACT(S85, ""^([^.]*)\.""))
))))))))))))))))))))))))))))))))))))))))))))))))))))))))"),"Deutsche Welle")</f>
        <v>Deutsche Welle</v>
      </c>
      <c r="N85" s="11" t="s">
        <v>47</v>
      </c>
      <c r="O85" s="11" t="s">
        <v>221</v>
      </c>
      <c r="P85" s="51">
        <v>45854.0</v>
      </c>
      <c r="Q85" s="11" t="s">
        <v>154</v>
      </c>
      <c r="R85" s="70" t="str">
        <f t="shared" si="8"/>
        <v>Aqui</v>
      </c>
      <c r="S85" s="75" t="s">
        <v>650</v>
      </c>
    </row>
    <row r="86">
      <c r="A86" s="11">
        <v>84.0</v>
      </c>
      <c r="B86" s="11" t="s">
        <v>551</v>
      </c>
      <c r="C86" s="122" t="s">
        <v>165</v>
      </c>
      <c r="D86" s="13" t="str">
        <f>IFERROR(__xludf.DUMMYFUNCTION("IF(B86="""","""",IF(OR(
  REGEXMATCH(B86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REGEXMATCH(B86,""público|Imediato|artística|teatral|memória"")
),""Público Imediato"",
IF(REGEXMATCH(B86,""Música|Álbum|Filme|Documentário|Série|Podcast|"&amp;"Rádio|Audiotour|Entrevista|Reportagem|Crônica|Relatório|Abaixo-assinado|Manifesto|Petição|Poema|Livro|Fotografia|Curta|Live|Webinário|Charge|Leitura pública|Vídeo""),
""Público Mediado"","""")))
"),"Público Imediato")</f>
        <v>Público Imediato</v>
      </c>
      <c r="E86" s="13" t="str">
        <f>IFERROR(__xludf.DUMMYFUNCTION("IF(B86="""","""",IF(OR(
  REGEXMATCH(B86,""Live|Webinário|Virtual""),
  REGEXMATCH(B86,""online"")
),""Virtual"",
IF(REGEXMATCH(B86,""Música|Álbum|Filme|Documentário|Série|Podcast|Rádio|Audiotour|Episódio|Reportagem|Curta|Charge|Livro|Vídeo|Entrevista""),"&amp;"
""Midiático"",
IF(REGEXMATCH(B86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6" s="183">
        <v>41552.0</v>
      </c>
      <c r="G86" s="15">
        <f t="shared" si="1"/>
        <v>2013</v>
      </c>
      <c r="H86" s="11" t="s">
        <v>603</v>
      </c>
      <c r="I86" s="16" t="s">
        <v>631</v>
      </c>
      <c r="J86" s="17" t="s">
        <v>651</v>
      </c>
      <c r="K86" s="16" t="s">
        <v>233</v>
      </c>
      <c r="L86" s="18" t="s">
        <v>489</v>
      </c>
      <c r="M86" s="15" t="str">
        <f>IFERROR(__xludf.DUMMYFUNCTION("IF(REGEXMATCH(S86, ""Companhia das Letras""), ""Companhia das Letras"",
IF(REGEXMATCH(S86, ""Labortexto Editorial""), ""Labortexto Editorial"",
IF(REGEXMATCH(S86, ""Geração Editorial""), ""Geração Editorial"",
IF(REGEXMATCH(S86, ""Editora Imprensa Oficial"&amp;"|Imprensa Oficial""), ""Editora Imprensa Oficial"",
IF(REGEXMATCH(S86, ""Folha Online""), ""Folha Online"",
IF(REGEXMATCH(S86, ""FGV DIREITO SP|FGV Direito SP""), ""FGV DIREITO SP"",
IF(REGEXMATCH(S86, ""massacrecarandiru\.org\.br""), ""Memória Massacre C"&amp;"arandiru"",
IF(REGEXMATCH(S86, ""Itaú Cultural""), ""YouTube (Itaú Cultural)"",
IF(REGEXMATCH(S86, ""Passa Palavra""), ""Vimeo (Passa Palavra)"",
IF(REGEXMATCH(S86, ""rede2deoutubro\.blogspot""), ""Blogspot (Rede 02 de Outubro)"",
IF(REGEXMATCH(S86, ""Red"&amp;"e TVT""), ""YouTube (Rede TVT)"",
IF(REGEXMATCH(S86, ""Esquerda Diário""), ""Esquerda Diário"",
IF(REGEXMATCH(S86, ""GZH""), ""GZH"",
IF(REGEXMATCH(S86, ""TVPUC""), ""TVPUC"",
IF(REGEXMATCH(S86, ""Mídia Ninja.*Facebook""), ""Facebook (Mídia Ninja)"",
IF(R"&amp;"EGEXMATCH(S86, ""Memórias Carandiru.*Instagram""), ""Instagram (Memórias Carandiru)"",
IF(REGEXMATCH(S86, ""Frente pelo Desencarceramento SP""), ""YouTube (Frente Pelo Desencarceramento SP)"",
IF(REGEXMATCH(S86, ""TV ABA""), ""YouTube (TV ABA)"",
IF(REGEX"&amp;"MATCH(S86, ""TV SENADO""), ""YouTube (TV Senado)"",
IF(REGEXMATCH(S86, ""Google Arts &amp; Culture""), ""Google Arts &amp; Culture (Memória Massacre Carandiru)"",
IF(REGEXMATCH(S86, ""Anistia Internacional|ANISTIA INTERNACIONAL""), ""Anistia Internacional"",
IF(R"&amp;"EGEXMATCH(S86, ""47\.mostra|47a Mostra""), ""47a Mostra Internacional de Cinema em São Paulo"",
IF(REGEXMATCH(S86, ""Canal USP""), ""YouTube (Canal USP)"",
IF(AND(
  REGEXMATCH(S86, ""(?i)(teses?\.usp\.br|dissertacoes?\.usp\.br|repositorio\.usp\.br)""),
 "&amp;" NOT(REGEXMATCH(S86, ""Canal USP""))
), ""Biblioteca Digital de Teses e Dissertações da USP"",
IF(REGEXMATCH(S86, ""SINTRAJUSC""), ""SINTRAJUSC"",
IF(REGEXMATCH(S86, ""Agência Brasil|Agencia Brasil""), ""Agência Brasil"",
IF(REGEXMATCH(S86, ""Brasil de Fa"&amp;"to""), ""Brasil de Fato"",
IF(REGEXMATCH(S86, ""Ponte Jornalismo|pontejornalismo""), ""Ponte Jornalismo"",
IF(REGEXMATCH(S86, ""letras\.mus\.br|Letras,""), ""Letras"",
IF(REGEXMATCH(S86, ""YouTube|youtube""), 
   ""YouTube (""&amp;
   IF(REGEXMATCH(S86, ""It"&amp;"aú Cultural""), ""Itaú Cultural"",
   IF(REGEXMATCH(S86, ""Rede TVT""), ""Rede TVT"",
   IF(REGEXMATCH(S86, ""Frente pelo Desencarceramento SP""), ""Frente Pelo Desencarceramento SP"",
   IF(REGEXMATCH(S86, ""TV ABA""), ""TV ABA"",
   IF(REGEXMATCH(S86, "&amp;"""TV SENADO""), ""TV Senado"",
   IF(REGEXMATCH(S86, ""Canal USP""), ""Canal USP"",
   IF(REGEXMATCH(S86, ""Douer, Zack|Zack Douer""), ""Douer Zack"",
   IF(REGEXMATCH(S86, ""PRISIONEIRO 84\.901|PRISIONEIRO 84""), ""Prisioneiro 84.901"",
   IF(REGEXMATCH("&amp;"S86, ""^[^,]*, ""), 
        PROPER(REGEXREPLACE(REGEXEXTRACT(S86, ""^([^.]*)\.""), ""^([^,]*), (.*)"", ""$2 $1"")),
        PROPER(REGEXEXTRACT(S86, ""^([^.]*)\.""))
   )))))))))&amp;"")"",
IF(REGEXMATCH(S86, ""Spotify|spotify""), 
   ""Spotify (""&amp;
   IF(R"&amp;"EGEXMATCH(S86, ""ESTRANHO SORRISO""), ""Estranho Sorriso"",
   PROPER(REGEXEXTRACT(S86, ""^([^.]*)\.""))
   )&amp;"")"",
IF(REGEXMATCH(S86, ""Vimeo|vimeo""), 
   ""Vimeo (""&amp;
   IF(REGEXMATCH(S86, ""Passa Palavra""), ""Passa Palavra"",
   PROPER(REGEXEXTRACT"&amp;"(S86, ""^([^.]*)\.""))
   )&amp;"")"",
IF(REGEXMATCH(S86, ""Blogspot""), 
   ""Blogspot (""&amp;
   IF(REGEXMATCH(S86, ""rede2deoutubro""), ""Rede 02 de Outubro"",
   PROPER(REGEXEXTRACT(S86, ""^([^.]*)\.""))
   )&amp;"")"",
IF(REGEXMATCH(S86, ""Facebook""), 
   """&amp;"Facebook (""&amp;
   IF(REGEXMATCH(S86, ""Mídia Ninja""), ""Mídia Ninja"",
   PROPER(REGEXEXTRACT(S86, ""^([^.]*)\.""))
   )&amp;"")"",
IF(REGEXMATCH(S86, ""Instagram""), 
   ""Instagram (""&amp;
   IF(REGEXMATCH(S86, ""Memórias Carandiru""), ""Memórias Carandiru"","&amp;"
   PROPER(REGEXEXTRACT(S86, ""^([^.]*)\.""))
   )&amp;"")"",
IF(REGEXMATCH(S86, ""Folha de S\. Paulo|FOLHA DE S\. PAULO""), ""Folha de S. Paulo"",
IF(REGEXMATCH(S86, ""O Estado de S\. Paulo|ESTADAO""), ""O Estado de S. Paulo"",
IF(REGEXMATCH(S86, ""salasecr"&amp;"eta""), ""Wordpress (Sala Secreta)"",
IF(REGEXMATCH(S86, ""Wikipedia|Wikipédia|WIKIPÉDIA""), ""Wikipedia"",
IF(REGEXMATCH(S86, ""VEJA|Veja""), ""Veja Abril"",
IF(REGEXMATCH(S357, ""Rede Globo|REDE GLOBO""), ""Rede Globo"",
IF(REGEXMATCH(S357, ""G1|globo\."&amp;"com""), ""G1"",
IF(REGEXMATCH(S86, ""Deutsche Welle|DW\.com""), ""Deutsche Welle"",
IF(REGEXMATCH(S86, ""CIDH|Comissão Interamericana""), ""Comissão Interamericana de Direitos Humanos (CIDH)"",
IF(REGEXMATCH(S86, ""Pastoral Carcerária""), ""Pastoral Carce"&amp;"rária"",
IF(REGEXMATCH(S86, ""Esquerda Web""), ""Esquerda Web"",
IF(REGEXMATCH(S86, ""ONU|Organização das Nações Unidas""), ""ONU Brasil"",
IF(REGEXMATCH(S86, ""Quilombo Invisível""), ""Quilombo Invisível"",
IF(REGEXMATCH(S86, ""ALESP|Assembleia Legislati"&amp;"va""), ""ALESP"",
IF(REGEXMATCH(S86, ""Revista Opera""), ""Revista Opera"",
IF(REGEXMATCH(S86, ""SP Escola de Teatro""), ""SP Escola de Teatro"",
IF(REGEXMATCH(S86, ""EMC|Espaço Memória Carandiru""), ""EMC Espaço Memória Carandiru"",
IF(REGEXMATCH(S86, "&amp;"""^RAMOS, Nuno|Nuno Ramos""), ""Nuno Ramos"",
IF(REGEXMATCH(S86, ""^VELOSO, Caetano|Caetano Veloso""), ""YouTube (Caetano Veloso)"",
IF(REGEXMATCH(S86, ""^FATOS REAIS""), ""YouTube (Fatos Reais - Topic)"",
IF(REGEXMATCH(S86, ""^SALA SECRETA""), ""Wordpres"&amp;"s (Sala Secreta)"",
PROPER(REGEXEXTRACT(S86, ""^([^.]*)\.""))
))))))))))))))))))))))))))))))))))))))))))))))))))))))))"),"Blogspot (Rede 02 de Outubro)")</f>
        <v>Blogspot (Rede 02 de Outubro)</v>
      </c>
      <c r="N86" s="11" t="s">
        <v>47</v>
      </c>
      <c r="O86" s="11" t="s">
        <v>149</v>
      </c>
      <c r="P86" s="51">
        <v>45855.0</v>
      </c>
      <c r="Q86" s="11" t="s">
        <v>154</v>
      </c>
      <c r="R86" s="70" t="str">
        <f t="shared" si="8"/>
        <v>Aqui</v>
      </c>
      <c r="S86" s="75" t="s">
        <v>652</v>
      </c>
    </row>
    <row r="87">
      <c r="A87" s="11">
        <v>85.0</v>
      </c>
      <c r="B87" s="11" t="str">
        <f>IFERROR(__xludf.DUMMYFUNCTION("REGEXEXTRACT(S87, ""\[(.*?)\]"")"),"Fotografia")</f>
        <v>Fotografia</v>
      </c>
      <c r="C87" s="12" t="str">
        <f>IFERROR(__xludf.DUMMYFUNCTION("IF(B87="""","""",IF(OR(
  REGEXMATCH(B87,""Performance|Instalação|Álbum|Música|Poema|Livro|Filme|Documentário|Recitação|Espetáculo|Peça|Intervenção|Desfile|Fotografia|Exposição|Charge|Grafite|Leitura pública|Fabricação de cachaça artesanal""),
  REGEXMATC"&amp;"H(B87,""dança|teatral|artístico|musical|artística"")
),""Manifestação artístico-cultural"",
IF(OR(
  REGEXMATCH(B87,""Crônica|Série|Reportagem|Podcast|Audiotour|Entrevista|Vídeo|Rádio""),
  REGEXMATCH(B87,""midiática"")
),""Produção midiática"","""")))
"),"Manifestação artístico-cultural")</f>
        <v>Manifestação artístico-cultural</v>
      </c>
      <c r="D87" s="13" t="str">
        <f>IFERROR(__xludf.DUMMYFUNCTION("IF(B87="""","""",IF(OR(
  REGEXMATCH(B87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REGEXMATCH(B87,""público|Imediato|artística|teatral|memória"")
),""Público Imediato"",
IF(REGEXMATCH(B87,""Música|Álbum|Filme|Documentário|Série|Podcast|"&amp;"Rádio|Audiotour|Entrevista|Reportagem|Crônica|Relatório|Abaixo-assinado|Manifesto|Petição|Poema|Livro|Fotografia|Curta|Live|Webinário|Charge|Leitura pública|Vídeo""),
""Público Mediado"","""")))
"),"Público Mediado")</f>
        <v>Público Mediado</v>
      </c>
      <c r="E87" s="13" t="str">
        <f>IFERROR(__xludf.DUMMYFUNCTION("IF(B87="""","""",IF(OR(
  REGEXMATCH(B87,""Live|Webinário|Virtual""),
  REGEXMATCH(B87,""online"")
),""Virtual"",
IF(REGEXMATCH(B87,""Música|Álbum|Filme|Documentário|Série|Podcast|Rádio|Audiotour|Episódio|Reportagem|Curta|Charge|Livro|Vídeo|Entrevista""),"&amp;"
""Midiático"",
IF(REGEXMATCH(B87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7" s="14">
        <v>2013.0</v>
      </c>
      <c r="G87" s="15">
        <f t="shared" si="1"/>
        <v>2013</v>
      </c>
      <c r="H87" s="14" t="s">
        <v>23</v>
      </c>
      <c r="I87" s="16" t="s">
        <v>653</v>
      </c>
      <c r="J87" s="202" t="str">
        <f>IFERROR(__xludf.DUMMYFUNCTION("REGEXEXTRACT(S87, ""\.\s(.*?)(?:\.|–)"")"),"Fotografia de manifestação em 2 de outubro de 2013")</f>
        <v>Fotografia de manifestação em 2 de outubro de 2013</v>
      </c>
      <c r="K87" s="16" t="s">
        <v>91</v>
      </c>
      <c r="L87" s="18" t="s">
        <v>94</v>
      </c>
      <c r="M87" s="15" t="str">
        <f>IFERROR(__xludf.DUMMYFUNCTION("IF(REGEXMATCH(S87, ""Companhia das Letras""), ""Companhia das Letras"",
IF(REGEXMATCH(S87, ""Labortexto Editorial""), ""Labortexto Editorial"",
IF(REGEXMATCH(S87, ""Geração Editorial""), ""Geração Editorial"",
IF(REGEXMATCH(S87, ""Editora Imprensa Oficial"&amp;"|Imprensa Oficial""), ""Editora Imprensa Oficial"",
IF(REGEXMATCH(S87, ""Folha Online""), ""Folha Online"",
IF(REGEXMATCH(S87, ""FGV DIREITO SP|FGV Direito SP""), ""FGV DIREITO SP"",
IF(REGEXMATCH(S87, ""massacrecarandiru\.org\.br""), ""Memória Massacre C"&amp;"arandiru"",
IF(REGEXMATCH(S87, ""Itaú Cultural""), ""YouTube (Itaú Cultural)"",
IF(REGEXMATCH(S87, ""Passa Palavra""), ""Vimeo (Passa Palavra)"",
IF(REGEXMATCH(S87, ""rede2deoutubro\.blogspot""), ""Blogspot (Rede 02 de Outubro)"",
IF(REGEXMATCH(S87, ""Red"&amp;"e TVT""), ""YouTube (Rede TVT)"",
IF(REGEXMATCH(S87, ""Esquerda Diário""), ""Esquerda Diário"",
IF(REGEXMATCH(S87, ""GZH""), ""GZH"",
IF(REGEXMATCH(S87, ""TVPUC""), ""TVPUC"",
IF(REGEXMATCH(S87, ""Mídia Ninja.*Facebook""), ""Facebook (Mídia Ninja)"",
IF(R"&amp;"EGEXMATCH(S87, ""Memórias Carandiru.*Instagram""), ""Instagram (Memórias Carandiru)"",
IF(REGEXMATCH(S87, ""Frente pelo Desencarceramento SP""), ""YouTube (Frente Pelo Desencarceramento SP)"",
IF(REGEXMATCH(S87, ""TV ABA""), ""YouTube (TV ABA)"",
IF(REGEX"&amp;"MATCH(S87, ""TV SENADO""), ""YouTube (TV Senado)"",
IF(REGEXMATCH(S87, ""Google Arts &amp; Culture""), ""Google Arts &amp; Culture (Memória Massacre Carandiru)"",
IF(REGEXMATCH(S87, ""Anistia Internacional|ANISTIA INTERNACIONAL""), ""Anistia Internacional"",
IF(R"&amp;"EGEXMATCH(S87, ""47\.mostra|47a Mostra""), ""47a Mostra Internacional de Cinema em São Paulo"",
IF(REGEXMATCH(S87, ""Canal USP""), ""YouTube (Canal USP)"",
IF(AND(
  REGEXMATCH(S87, ""(?i)(teses?\.usp\.br|dissertacoes?\.usp\.br|repositorio\.usp\.br)""),
 "&amp;" NOT(REGEXMATCH(S87, ""Canal USP""))
), ""Biblioteca Digital de Teses e Dissertações da USP"",
IF(REGEXMATCH(S87, ""SINTRAJUSC""), ""SINTRAJUSC"",
IF(REGEXMATCH(S87, ""Agência Brasil|Agencia Brasil""), ""Agência Brasil"",
IF(REGEXMATCH(S87, ""Brasil de Fa"&amp;"to""), ""Brasil de Fato"",
IF(REGEXMATCH(S87, ""Ponte Jornalismo|pontejornalismo""), ""Ponte Jornalismo"",
IF(REGEXMATCH(S87, ""letras\.mus\.br|Letras,""), ""Letras"",
IF(REGEXMATCH(S87, ""YouTube|youtube""), 
   ""YouTube (""&amp;
   IF(REGEXMATCH(S87, ""It"&amp;"aú Cultural""), ""Itaú Cultural"",
   IF(REGEXMATCH(S87, ""Rede TVT""), ""Rede TVT"",
   IF(REGEXMATCH(S87, ""Frente pelo Desencarceramento SP""), ""Frente Pelo Desencarceramento SP"",
   IF(REGEXMATCH(S87, ""TV ABA""), ""TV ABA"",
   IF(REGEXMATCH(S87, "&amp;"""TV SENADO""), ""TV Senado"",
   IF(REGEXMATCH(S87, ""Canal USP""), ""Canal USP"",
   IF(REGEXMATCH(S87, ""Douer, Zack|Zack Douer""), ""Douer Zack"",
   IF(REGEXMATCH(S87, ""PRISIONEIRO 84\.901|PRISIONEIRO 84""), ""Prisioneiro 84.901"",
   IF(REGEXMATCH("&amp;"S87, ""^[^,]*, ""), 
        PROPER(REGEXREPLACE(REGEXEXTRACT(S87, ""^([^.]*)\.""), ""^([^,]*), (.*)"", ""$2 $1"")),
        PROPER(REGEXEXTRACT(S87, ""^([^.]*)\.""))
   )))))))))&amp;"")"",
IF(REGEXMATCH(S87, ""Spotify|spotify""), 
   ""Spotify (""&amp;
   IF(R"&amp;"EGEXMATCH(S87, ""ESTRANHO SORRISO""), ""Estranho Sorriso"",
   PROPER(REGEXEXTRACT(S87, ""^([^.]*)\.""))
   )&amp;"")"",
IF(REGEXMATCH(S87, ""Vimeo|vimeo""), 
   ""Vimeo (""&amp;
   IF(REGEXMATCH(S87, ""Passa Palavra""), ""Passa Palavra"",
   PROPER(REGEXEXTRACT"&amp;"(S87, ""^([^.]*)\.""))
   )&amp;"")"",
IF(REGEXMATCH(S87, ""Blogspot""), 
   ""Blogspot (""&amp;
   IF(REGEXMATCH(S87, ""rede2deoutubro""), ""Rede 02 de Outubro"",
   PROPER(REGEXEXTRACT(S87, ""^([^.]*)\.""))
   )&amp;"")"",
IF(REGEXMATCH(S87, ""Facebook""), 
   """&amp;"Facebook (""&amp;
   IF(REGEXMATCH(S87, ""Mídia Ninja""), ""Mídia Ninja"",
   PROPER(REGEXEXTRACT(S87, ""^([^.]*)\.""))
   )&amp;"")"",
IF(REGEXMATCH(S87, ""Instagram""), 
   ""Instagram (""&amp;
   IF(REGEXMATCH(S87, ""Memórias Carandiru""), ""Memórias Carandiru"","&amp;"
   PROPER(REGEXEXTRACT(S87, ""^([^.]*)\.""))
   )&amp;"")"",
IF(REGEXMATCH(S87, ""Folha de S\. Paulo|FOLHA DE S\. PAULO""), ""Folha de S. Paulo"",
IF(REGEXMATCH(S87, ""O Estado de S\. Paulo|ESTADAO""), ""O Estado de S. Paulo"",
IF(REGEXMATCH(S87, ""salasecr"&amp;"eta""), ""Wordpress (Sala Secreta)"",
IF(REGEXMATCH(S87, ""Wikipedia|Wikipédia|WIKIPÉDIA""), ""Wikipedia"",
IF(REGEXMATCH(S87, ""VEJA|Veja""), ""Veja Abril"",
IF(REGEXMATCH(S358, ""Rede Globo|REDE GLOBO""), ""Rede Globo"",
IF(REGEXMATCH(S358, ""G1|globo\."&amp;"com""), ""G1"",
IF(REGEXMATCH(S87, ""Deutsche Welle|DW\.com""), ""Deutsche Welle"",
IF(REGEXMATCH(S87, ""CIDH|Comissão Interamericana""), ""Comissão Interamericana de Direitos Humanos (CIDH)"",
IF(REGEXMATCH(S87, ""Pastoral Carcerária""), ""Pastoral Carce"&amp;"rária"",
IF(REGEXMATCH(S87, ""Esquerda Web""), ""Esquerda Web"",
IF(REGEXMATCH(S87, ""ONU|Organização das Nações Unidas""), ""ONU Brasil"",
IF(REGEXMATCH(S87, ""Quilombo Invisível""), ""Quilombo Invisível"",
IF(REGEXMATCH(S87, ""ALESP|Assembleia Legislati"&amp;"va""), ""ALESP"",
IF(REGEXMATCH(S87, ""Revista Opera""), ""Revista Opera"",
IF(REGEXMATCH(S87, ""SP Escola de Teatro""), ""SP Escola de Teatro"",
IF(REGEXMATCH(S87, ""EMC|Espaço Memória Carandiru""), ""EMC Espaço Memória Carandiru"",
IF(REGEXMATCH(S87, "&amp;"""^RAMOS, Nuno|Nuno Ramos""), ""Nuno Ramos"",
IF(REGEXMATCH(S87, ""^VELOSO, Caetano|Caetano Veloso""), ""YouTube (Caetano Veloso)"",
IF(REGEXMATCH(S87, ""^FATOS REAIS""), ""YouTube (Fatos Reais - Topic)"",
IF(REGEXMATCH(S87, ""^SALA SECRETA""), ""Wordpres"&amp;"s (Sala Secreta)"",
PROPER(REGEXEXTRACT(S87, ""^([^.]*)\.""))
))))))))))))))))))))))))))))))))))))))))))))))))))))))))"),"FGV DIREITO SP")</f>
        <v>FGV DIREITO SP</v>
      </c>
      <c r="N87" s="11" t="s">
        <v>47</v>
      </c>
      <c r="O87" s="14" t="s">
        <v>592</v>
      </c>
      <c r="P87" s="186">
        <v>45940.0</v>
      </c>
      <c r="Q87" s="11" t="s">
        <v>154</v>
      </c>
      <c r="R87" s="70" t="str">
        <f t="shared" si="8"/>
        <v>Aqui</v>
      </c>
      <c r="S87" s="172" t="s">
        <v>654</v>
      </c>
    </row>
    <row r="88">
      <c r="A88" s="11">
        <v>86.0</v>
      </c>
      <c r="B88" s="11" t="s">
        <v>655</v>
      </c>
      <c r="C88" s="12" t="str">
        <f>IFERROR(__xludf.DUMMYFUNCTION("IF(B88="""","""",IF(OR(
  REGEXMATCH(B88,""Performance|Instalação|Álbum|Música|Poema|Livro|Filme|Documentário|Recitação|Espetáculo|Peça|Intervenção|Desfile|Fotografia|Exposição|Charge|Grafite|Leitura pública|Fabricação de cachaça artesanal""),
  REGEXMATC"&amp;"H(B88,""dança|teatral|artístico|musical|artística"")
),""Manifestação artístico-cultural"",
IF(OR(
  REGEXMATCH(B88,""Crônica|Série|Reportagem|Podcast|Audiotour|Entrevista|Vídeo|Rádio""),
  REGEXMATCH(B88,""midiática"")
),""Produção midiática"","""")))
"),"Manifestação artístico-cultural")</f>
        <v>Manifestação artístico-cultural</v>
      </c>
      <c r="D88" s="13" t="str">
        <f>IFERROR(__xludf.DUMMYFUNCTION("IF(B88="""","""",IF(OR(
  REGEXMATCH(B88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REGEXMATCH(B88,""público|Imediato|artística|teatral|memória"")
),""Público Imediato"",
IF(REGEXMATCH(B88,""Música|Álbum|Filme|Documentário|Série|Podcast|"&amp;"Rádio|Audiotour|Entrevista|Reportagem|Crônica|Relatório|Abaixo-assinado|Manifesto|Petição|Poema|Livro|Fotografia|Curta|Live|Webinário|Charge|Leitura pública|Vídeo""),
""Público Mediado"","""")))
"),"Público Mediado")</f>
        <v>Público Mediado</v>
      </c>
      <c r="E88" s="13" t="str">
        <f>IFERROR(__xludf.DUMMYFUNCTION("IF(B88="""","""",IF(OR(
  REGEXMATCH(B88,""Live|Webinário|Virtual""),
  REGEXMATCH(B88,""online"")
),""Virtual"",
IF(REGEXMATCH(B88,""Música|Álbum|Filme|Documentário|Série|Podcast|Rádio|Audiotour|Episódio|Reportagem|Curta|Charge|Livro|Vídeo|Entrevista""),"&amp;"
""Midiático"",
IF(REGEXMATCH(B88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88" s="11">
        <v>2013.0</v>
      </c>
      <c r="G88" s="15">
        <f t="shared" si="1"/>
        <v>2013</v>
      </c>
      <c r="H88" s="11" t="s">
        <v>23</v>
      </c>
      <c r="I88" s="16" t="s">
        <v>656</v>
      </c>
      <c r="J88" s="17" t="s">
        <v>657</v>
      </c>
      <c r="K88" s="16" t="s">
        <v>103</v>
      </c>
      <c r="L88" s="18" t="s">
        <v>489</v>
      </c>
      <c r="M88" s="15" t="str">
        <f>IFERROR(__xludf.DUMMYFUNCTION("IF(REGEXMATCH(S88, ""Companhia das Letras""), ""Companhia das Letras"",
IF(REGEXMATCH(S88, ""Labortexto Editorial""), ""Labortexto Editorial"",
IF(REGEXMATCH(S88, ""Geração Editorial""), ""Geração Editorial"",
IF(REGEXMATCH(S88, ""Editora Imprensa Oficial"&amp;"|Imprensa Oficial""), ""Editora Imprensa Oficial"",
IF(REGEXMATCH(S88, ""Folha Online""), ""Folha Online"",
IF(REGEXMATCH(S88, ""FGV DIREITO SP|FGV Direito SP""), ""FGV DIREITO SP"",
IF(REGEXMATCH(S88, ""massacrecarandiru\.org\.br""), ""Memória Massacre C"&amp;"arandiru"",
IF(REGEXMATCH(S88, ""Itaú Cultural""), ""YouTube (Itaú Cultural)"",
IF(REGEXMATCH(S88, ""Passa Palavra""), ""Vimeo (Passa Palavra)"",
IF(REGEXMATCH(S88, ""rede2deoutubro\.blogspot""), ""Blogspot (Rede 02 de Outubro)"",
IF(REGEXMATCH(S88, ""Red"&amp;"e TVT""), ""YouTube (Rede TVT)"",
IF(REGEXMATCH(S88, ""Esquerda Diário""), ""Esquerda Diário"",
IF(REGEXMATCH(S88, ""GZH""), ""GZH"",
IF(REGEXMATCH(S88, ""TVPUC""), ""TVPUC"",
IF(REGEXMATCH(S88, ""Mídia Ninja.*Facebook""), ""Facebook (Mídia Ninja)"",
IF(R"&amp;"EGEXMATCH(S88, ""Memórias Carandiru.*Instagram""), ""Instagram (Memórias Carandiru)"",
IF(REGEXMATCH(S88, ""Frente pelo Desencarceramento SP""), ""YouTube (Frente Pelo Desencarceramento SP)"",
IF(REGEXMATCH(S88, ""TV ABA""), ""YouTube (TV ABA)"",
IF(REGEX"&amp;"MATCH(S88, ""TV SENADO""), ""YouTube (TV Senado)"",
IF(REGEXMATCH(S88, ""Google Arts &amp; Culture""), ""Google Arts &amp; Culture (Memória Massacre Carandiru)"",
IF(REGEXMATCH(S88, ""Anistia Internacional|ANISTIA INTERNACIONAL""), ""Anistia Internacional"",
IF(R"&amp;"EGEXMATCH(S88, ""47\.mostra|47a Mostra""), ""47a Mostra Internacional de Cinema em São Paulo"",
IF(REGEXMATCH(S88, ""Canal USP""), ""YouTube (Canal USP)"",
IF(AND(
  REGEXMATCH(S88, ""(?i)(teses?\.usp\.br|dissertacoes?\.usp\.br|repositorio\.usp\.br)""),
 "&amp;" NOT(REGEXMATCH(S88, ""Canal USP""))
), ""Biblioteca Digital de Teses e Dissertações da USP"",
IF(REGEXMATCH(S88, ""SINTRAJUSC""), ""SINTRAJUSC"",
IF(REGEXMATCH(S88, ""Agência Brasil|Agencia Brasil""), ""Agência Brasil"",
IF(REGEXMATCH(S88, ""Brasil de Fa"&amp;"to""), ""Brasil de Fato"",
IF(REGEXMATCH(S88, ""Ponte Jornalismo|pontejornalismo""), ""Ponte Jornalismo"",
IF(REGEXMATCH(S88, ""letras\.mus\.br|Letras,""), ""Letras"",
IF(REGEXMATCH(S88, ""YouTube|youtube""), 
   ""YouTube (""&amp;
   IF(REGEXMATCH(S88, ""It"&amp;"aú Cultural""), ""Itaú Cultural"",
   IF(REGEXMATCH(S88, ""Rede TVT""), ""Rede TVT"",
   IF(REGEXMATCH(S88, ""Frente pelo Desencarceramento SP""), ""Frente Pelo Desencarceramento SP"",
   IF(REGEXMATCH(S88, ""TV ABA""), ""TV ABA"",
   IF(REGEXMATCH(S88, "&amp;"""TV SENADO""), ""TV Senado"",
   IF(REGEXMATCH(S88, ""Canal USP""), ""Canal USP"",
   IF(REGEXMATCH(S88, ""Douer, Zack|Zack Douer""), ""Douer Zack"",
   IF(REGEXMATCH(S88, ""PRISIONEIRO 84\.901|PRISIONEIRO 84""), ""Prisioneiro 84.901"",
   IF(REGEXMATCH("&amp;"S88, ""^[^,]*, ""), 
        PROPER(REGEXREPLACE(REGEXEXTRACT(S88, ""^([^.]*)\.""), ""^([^,]*), (.*)"", ""$2 $1"")),
        PROPER(REGEXEXTRACT(S88, ""^([^.]*)\.""))
   )))))))))&amp;"")"",
IF(REGEXMATCH(S88, ""Spotify|spotify""), 
   ""Spotify (""&amp;
   IF(R"&amp;"EGEXMATCH(S88, ""ESTRANHO SORRISO""), ""Estranho Sorriso"",
   PROPER(REGEXEXTRACT(S88, ""^([^.]*)\.""))
   )&amp;"")"",
IF(REGEXMATCH(S88, ""Vimeo|vimeo""), 
   ""Vimeo (""&amp;
   IF(REGEXMATCH(S88, ""Passa Palavra""), ""Passa Palavra"",
   PROPER(REGEXEXTRACT"&amp;"(S88, ""^([^.]*)\.""))
   )&amp;"")"",
IF(REGEXMATCH(S88, ""Blogspot""), 
   ""Blogspot (""&amp;
   IF(REGEXMATCH(S88, ""rede2deoutubro""), ""Rede 02 de Outubro"",
   PROPER(REGEXEXTRACT(S88, ""^([^.]*)\.""))
   )&amp;"")"",
IF(REGEXMATCH(S88, ""Facebook""), 
   """&amp;"Facebook (""&amp;
   IF(REGEXMATCH(S88, ""Mídia Ninja""), ""Mídia Ninja"",
   PROPER(REGEXEXTRACT(S88, ""^([^.]*)\.""))
   )&amp;"")"",
IF(REGEXMATCH(S88, ""Instagram""), 
   ""Instagram (""&amp;
   IF(REGEXMATCH(S88, ""Memórias Carandiru""), ""Memórias Carandiru"","&amp;"
   PROPER(REGEXEXTRACT(S88, ""^([^.]*)\.""))
   )&amp;"")"",
IF(REGEXMATCH(S88, ""Folha de S\. Paulo|FOLHA DE S\. PAULO""), ""Folha de S. Paulo"",
IF(REGEXMATCH(S88, ""O Estado de S\. Paulo|ESTADAO""), ""O Estado de S. Paulo"",
IF(REGEXMATCH(S88, ""salasecr"&amp;"eta""), ""Wordpress (Sala Secreta)"",
IF(REGEXMATCH(S88, ""Wikipedia|Wikipédia|WIKIPÉDIA""), ""Wikipedia"",
IF(REGEXMATCH(S88, ""VEJA|Veja""), ""Veja Abril"",
IF(REGEXMATCH(S359, ""Rede Globo|REDE GLOBO""), ""Rede Globo"",
IF(REGEXMATCH(S359, ""G1|globo\."&amp;"com""), ""G1"",
IF(REGEXMATCH(S88, ""Deutsche Welle|DW\.com""), ""Deutsche Welle"",
IF(REGEXMATCH(S88, ""CIDH|Comissão Interamericana""), ""Comissão Interamericana de Direitos Humanos (CIDH)"",
IF(REGEXMATCH(S88, ""Pastoral Carcerária""), ""Pastoral Carce"&amp;"rária"",
IF(REGEXMATCH(S88, ""Esquerda Web""), ""Esquerda Web"",
IF(REGEXMATCH(S88, ""ONU|Organização das Nações Unidas""), ""ONU Brasil"",
IF(REGEXMATCH(S88, ""Quilombo Invisível""), ""Quilombo Invisível"",
IF(REGEXMATCH(S88, ""ALESP|Assembleia Legislati"&amp;"va""), ""ALESP"",
IF(REGEXMATCH(S88, ""Revista Opera""), ""Revista Opera"",
IF(REGEXMATCH(S88, ""SP Escola de Teatro""), ""SP Escola de Teatro"",
IF(REGEXMATCH(S88, ""EMC|Espaço Memória Carandiru""), ""EMC Espaço Memória Carandiru"",
IF(REGEXMATCH(S88, "&amp;"""^RAMOS, Nuno|Nuno Ramos""), ""Nuno Ramos"",
IF(REGEXMATCH(S88, ""^VELOSO, Caetano|Caetano Veloso""), ""YouTube (Caetano Veloso)"",
IF(REGEXMATCH(S88, ""^FATOS REAIS""), ""YouTube (Fatos Reais - Topic)"",
IF(REGEXMATCH(S88, ""^SALA SECRETA""), ""Wordpres"&amp;"s (Sala Secreta)"",
PROPER(REGEXEXTRACT(S88, ""^([^.]*)\.""))
))))))))))))))))))))))))))))))))))))))))))))))))))))))))"),"FGV DIREITO SP")</f>
        <v>FGV DIREITO SP</v>
      </c>
      <c r="N88" s="11" t="s">
        <v>47</v>
      </c>
      <c r="O88" s="11" t="s">
        <v>221</v>
      </c>
      <c r="P88" s="51">
        <v>45856.0</v>
      </c>
      <c r="Q88" s="11" t="s">
        <v>154</v>
      </c>
      <c r="R88" s="70" t="str">
        <f t="shared" si="8"/>
        <v>Aqui</v>
      </c>
      <c r="S88" s="75" t="s">
        <v>658</v>
      </c>
    </row>
    <row r="89">
      <c r="A89" s="11">
        <v>87.0</v>
      </c>
      <c r="B89" s="11" t="s">
        <v>333</v>
      </c>
      <c r="C89" s="12" t="str">
        <f>IFERROR(__xludf.DUMMYFUNCTION("IF(B89="""","""",IF(OR(
  REGEXMATCH(B89,""Performance|Instalação|Álbum|Música|Poema|Livro|Filme|Documentário|Recitação|Espetáculo|Peça|Intervenção|Desfile|Fotografia|Exposição|Charge|Grafite|Leitura pública|Fabricação de cachaça artesanal""),
  REGEXMATC"&amp;"H(B89,""dança|teatral|artístico|musical|artística"")
),""Manifestação artístico-cultural"",
IF(OR(
  REGEXMATCH(B89,""Crônica|Série|Reportagem|Podcast|Audiotour|Entrevista|Vídeo|Rádio""),
  REGEXMATCH(B89,""midiática"")
),""Produção midiática"","""")))
"),"Produção midiática")</f>
        <v>Produção midiática</v>
      </c>
      <c r="D89" s="13" t="str">
        <f>IFERROR(__xludf.DUMMYFUNCTION("IF(B89="""","""",IF(OR(
  REGEXMATCH(B89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REGEXMATCH(B89,""público|Imediato|artística|teatral|memória"")
),""Público Imediato"",
IF(REGEXMATCH(B89,""Música|Álbum|Filme|Documentário|Série|Podcast|"&amp;"Rádio|Audiotour|Entrevista|Reportagem|Crônica|Relatório|Abaixo-assinado|Manifesto|Petição|Poema|Livro|Fotografia|Curta|Live|Webinário|Charge|Leitura pública|Vídeo""),
""Público Mediado"","""")))
"),"Público Mediado")</f>
        <v>Público Mediado</v>
      </c>
      <c r="E89" s="13" t="str">
        <f>IFERROR(__xludf.DUMMYFUNCTION("IF(B89="""","""",IF(OR(
  REGEXMATCH(B89,""Live|Webinário|Virtual""),
  REGEXMATCH(B89,""online"")
),""Virtual"",
IF(REGEXMATCH(B89,""Música|Álbum|Filme|Documentário|Série|Podcast|Rádio|Audiotour|Episódio|Reportagem|Curta|Charge|Livro|Vídeo|Entrevista""),"&amp;"
""Midiático"",
IF(REGEXMATCH(B89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89" s="11">
        <v>2013.0</v>
      </c>
      <c r="G89" s="15">
        <f t="shared" si="1"/>
        <v>2013</v>
      </c>
      <c r="H89" s="11" t="s">
        <v>659</v>
      </c>
      <c r="I89" s="16" t="s">
        <v>337</v>
      </c>
      <c r="J89" s="17" t="s">
        <v>660</v>
      </c>
      <c r="K89" s="16" t="s">
        <v>83</v>
      </c>
      <c r="L89" s="18" t="s">
        <v>329</v>
      </c>
      <c r="M89" s="15" t="str">
        <f>IFERROR(__xludf.DUMMYFUNCTION("IF(REGEXMATCH(S89, ""Companhia das Letras""), ""Companhia das Letras"",
IF(REGEXMATCH(S89, ""Labortexto Editorial""), ""Labortexto Editorial"",
IF(REGEXMATCH(S89, ""Geração Editorial""), ""Geração Editorial"",
IF(REGEXMATCH(S89, ""Editora Imprensa Oficial"&amp;"|Imprensa Oficial""), ""Editora Imprensa Oficial"",
IF(REGEXMATCH(S89, ""Folha Online""), ""Folha Online"",
IF(REGEXMATCH(S89, ""FGV DIREITO SP|FGV Direito SP""), ""FGV DIREITO SP"",
IF(REGEXMATCH(S89, ""massacrecarandiru\.org\.br""), ""Memória Massacre C"&amp;"arandiru"",
IF(REGEXMATCH(S89, ""Itaú Cultural""), ""YouTube (Itaú Cultural)"",
IF(REGEXMATCH(S89, ""Passa Palavra""), ""Vimeo (Passa Palavra)"",
IF(REGEXMATCH(S89, ""rede2deoutubro\.blogspot""), ""Blogspot (Rede 02 de Outubro)"",
IF(REGEXMATCH(S89, ""Red"&amp;"e TVT""), ""YouTube (Rede TVT)"",
IF(REGEXMATCH(S89, ""Esquerda Diário""), ""Esquerda Diário"",
IF(REGEXMATCH(S89, ""GZH""), ""GZH"",
IF(REGEXMATCH(S89, ""TVPUC""), ""TVPUC"",
IF(REGEXMATCH(S89, ""Mídia Ninja.*Facebook""), ""Facebook (Mídia Ninja)"",
IF(R"&amp;"EGEXMATCH(S89, ""Memórias Carandiru.*Instagram""), ""Instagram (Memórias Carandiru)"",
IF(REGEXMATCH(S89, ""Frente pelo Desencarceramento SP""), ""YouTube (Frente Pelo Desencarceramento SP)"",
IF(REGEXMATCH(S89, ""TV ABA""), ""YouTube (TV ABA)"",
IF(REGEX"&amp;"MATCH(S89, ""TV SENADO""), ""YouTube (TV Senado)"",
IF(REGEXMATCH(S89, ""Google Arts &amp; Culture""), ""Google Arts &amp; Culture (Memória Massacre Carandiru)"",
IF(REGEXMATCH(S89, ""Anistia Internacional|ANISTIA INTERNACIONAL""), ""Anistia Internacional"",
IF(R"&amp;"EGEXMATCH(S89, ""47\.mostra|47a Mostra""), ""47a Mostra Internacional de Cinema em São Paulo"",
IF(REGEXMATCH(S89, ""Canal USP""), ""YouTube (Canal USP)"",
IF(AND(
  REGEXMATCH(S89, ""(?i)(teses?\.usp\.br|dissertacoes?\.usp\.br|repositorio\.usp\.br)""),
 "&amp;" NOT(REGEXMATCH(S89, ""Canal USP""))
), ""Biblioteca Digital de Teses e Dissertações da USP"",
IF(REGEXMATCH(S89, ""SINTRAJUSC""), ""SINTRAJUSC"",
IF(REGEXMATCH(S89, ""Agência Brasil|Agencia Brasil""), ""Agência Brasil"",
IF(REGEXMATCH(S89, ""Brasil de Fa"&amp;"to""), ""Brasil de Fato"",
IF(REGEXMATCH(S89, ""Ponte Jornalismo|pontejornalismo""), ""Ponte Jornalismo"",
IF(REGEXMATCH(S89, ""letras\.mus\.br|Letras,""), ""Letras"",
IF(REGEXMATCH(S89, ""YouTube|youtube""), 
   ""YouTube (""&amp;
   IF(REGEXMATCH(S89, ""It"&amp;"aú Cultural""), ""Itaú Cultural"",
   IF(REGEXMATCH(S89, ""Rede TVT""), ""Rede TVT"",
   IF(REGEXMATCH(S89, ""Frente pelo Desencarceramento SP""), ""Frente Pelo Desencarceramento SP"",
   IF(REGEXMATCH(S89, ""TV ABA""), ""TV ABA"",
   IF(REGEXMATCH(S89, "&amp;"""TV SENADO""), ""TV Senado"",
   IF(REGEXMATCH(S89, ""Canal USP""), ""Canal USP"",
   IF(REGEXMATCH(S89, ""Douer, Zack|Zack Douer""), ""Douer Zack"",
   IF(REGEXMATCH(S89, ""PRISIONEIRO 84\.901|PRISIONEIRO 84""), ""Prisioneiro 84.901"",
   IF(REGEXMATCH("&amp;"S89, ""^[^,]*, ""), 
        PROPER(REGEXREPLACE(REGEXEXTRACT(S89, ""^([^.]*)\.""), ""^([^,]*), (.*)"", ""$2 $1"")),
        PROPER(REGEXEXTRACT(S89, ""^([^.]*)\.""))
   )))))))))&amp;"")"",
IF(REGEXMATCH(S89, ""Spotify|spotify""), 
   ""Spotify (""&amp;
   IF(R"&amp;"EGEXMATCH(S89, ""ESTRANHO SORRISO""), ""Estranho Sorriso"",
   PROPER(REGEXEXTRACT(S89, ""^([^.]*)\.""))
   )&amp;"")"",
IF(REGEXMATCH(S89, ""Vimeo|vimeo""), 
   ""Vimeo (""&amp;
   IF(REGEXMATCH(S89, ""Passa Palavra""), ""Passa Palavra"",
   PROPER(REGEXEXTRACT"&amp;"(S89, ""^([^.]*)\.""))
   )&amp;"")"",
IF(REGEXMATCH(S89, ""Blogspot""), 
   ""Blogspot (""&amp;
   IF(REGEXMATCH(S89, ""rede2deoutubro""), ""Rede 02 de Outubro"",
   PROPER(REGEXEXTRACT(S89, ""^([^.]*)\.""))
   )&amp;"")"",
IF(REGEXMATCH(S89, ""Facebook""), 
   """&amp;"Facebook (""&amp;
   IF(REGEXMATCH(S89, ""Mídia Ninja""), ""Mídia Ninja"",
   PROPER(REGEXEXTRACT(S89, ""^([^.]*)\.""))
   )&amp;"")"",
IF(REGEXMATCH(S89, ""Instagram""), 
   ""Instagram (""&amp;
   IF(REGEXMATCH(S89, ""Memórias Carandiru""), ""Memórias Carandiru"","&amp;"
   PROPER(REGEXEXTRACT(S89, ""^([^.]*)\.""))
   )&amp;"")"",
IF(REGEXMATCH(S89, ""Folha de S\. Paulo|FOLHA DE S\. PAULO""), ""Folha de S. Paulo"",
IF(REGEXMATCH(S89, ""O Estado de S\. Paulo|ESTADAO""), ""O Estado de S. Paulo"",
IF(REGEXMATCH(S89, ""salasecr"&amp;"eta""), ""Wordpress (Sala Secreta)"",
IF(REGEXMATCH(S89, ""Wikipedia|Wikipédia|WIKIPÉDIA""), ""Wikipedia"",
IF(REGEXMATCH(S89, ""VEJA|Veja""), ""Veja Abril"",
IF(REGEXMATCH(S360, ""Rede Globo|REDE GLOBO""), ""Rede Globo"",
IF(REGEXMATCH(S360, ""G1|globo\."&amp;"com""), ""G1"",
IF(REGEXMATCH(S89, ""Deutsche Welle|DW\.com""), ""Deutsche Welle"",
IF(REGEXMATCH(S89, ""CIDH|Comissão Interamericana""), ""Comissão Interamericana de Direitos Humanos (CIDH)"",
IF(REGEXMATCH(S89, ""Pastoral Carcerária""), ""Pastoral Carce"&amp;"rária"",
IF(REGEXMATCH(S89, ""Esquerda Web""), ""Esquerda Web"",
IF(REGEXMATCH(S89, ""ONU|Organização das Nações Unidas""), ""ONU Brasil"",
IF(REGEXMATCH(S89, ""Quilombo Invisível""), ""Quilombo Invisível"",
IF(REGEXMATCH(S89, ""ALESP|Assembleia Legislati"&amp;"va""), ""ALESP"",
IF(REGEXMATCH(S89, ""Revista Opera""), ""Revista Opera"",
IF(REGEXMATCH(S89, ""SP Escola de Teatro""), ""SP Escola de Teatro"",
IF(REGEXMATCH(S89, ""EMC|Espaço Memória Carandiru""), ""EMC Espaço Memória Carandiru"",
IF(REGEXMATCH(S89, "&amp;"""^RAMOS, Nuno|Nuno Ramos""), ""Nuno Ramos"",
IF(REGEXMATCH(S89, ""^VELOSO, Caetano|Caetano Veloso""), ""YouTube (Caetano Veloso)"",
IF(REGEXMATCH(S89, ""^FATOS REAIS""), ""YouTube (Fatos Reais - Topic)"",
IF(REGEXMATCH(S89, ""^SALA SECRETA""), ""Wordpres"&amp;"s (Sala Secreta)"",
PROPER(REGEXEXTRACT(S89, ""^([^.]*)\.""))
))))))))))))))))))))))))))))))))))))))))))))))))))))))))"),"Rede Globo")</f>
        <v>Rede Globo</v>
      </c>
      <c r="N89" s="11" t="s">
        <v>47</v>
      </c>
      <c r="O89" s="14" t="s">
        <v>661</v>
      </c>
      <c r="P89" s="171">
        <v>45947.0</v>
      </c>
      <c r="Q89" s="11" t="s">
        <v>154</v>
      </c>
      <c r="R89" s="70" t="str">
        <f t="shared" si="8"/>
        <v>Aqui</v>
      </c>
      <c r="S89" s="172" t="s">
        <v>662</v>
      </c>
    </row>
    <row r="90">
      <c r="A90" s="11">
        <v>88.0</v>
      </c>
      <c r="B90" s="11" t="s">
        <v>228</v>
      </c>
      <c r="C90" s="122" t="s">
        <v>165</v>
      </c>
      <c r="D90" s="13" t="str">
        <f>IFERROR(__xludf.DUMMYFUNCTION("IF(B90="""","""",IF(OR(
  REGEXMATCH(B90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REGEXMATCH(B90,""público|Imediato|artística|teatral|memória"")
),""Público Imediato"",
IF(REGEXMATCH(B90,""Música|Álbum|Filme|Documentário|Série|Podcast|"&amp;"Rádio|Audiotour|Entrevista|Reportagem|Crônica|Relatório|Abaixo-assinado|Manifesto|Petição|Poema|Livro|Fotografia|Curta|Live|Webinário|Charge|Leitura pública|Vídeo""),
""Público Mediado"","""")))
"),"Público Imediato")</f>
        <v>Público Imediato</v>
      </c>
      <c r="E90" s="13" t="str">
        <f>IFERROR(__xludf.DUMMYFUNCTION("IF(B90="""","""",IF(OR(
  REGEXMATCH(B90,""Live|Webinário|Virtual""),
  REGEXMATCH(B90,""online"")
),""Virtual"",
IF(REGEXMATCH(B90,""Música|Álbum|Filme|Documentário|Série|Podcast|Rádio|Audiotour|Episódio|Reportagem|Curta|Charge|Livro|Vídeo|Entrevista""),"&amp;"
""Midiático"",
IF(REGEXMATCH(B90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0" s="183">
        <v>41914.0</v>
      </c>
      <c r="G90" s="15">
        <f t="shared" si="1"/>
        <v>2014</v>
      </c>
      <c r="H90" s="11" t="s">
        <v>663</v>
      </c>
      <c r="I90" s="18" t="s">
        <v>664</v>
      </c>
      <c r="J90" s="17" t="s">
        <v>605</v>
      </c>
      <c r="K90" s="16" t="s">
        <v>26</v>
      </c>
      <c r="L90" s="18" t="s">
        <v>606</v>
      </c>
      <c r="M90" s="15" t="str">
        <f>IFERROR(__xludf.DUMMYFUNCTION("IF(REGEXMATCH(S90, ""Companhia das Letras""), ""Companhia das Letras"",
IF(REGEXMATCH(S90, ""Labortexto Editorial""), ""Labortexto Editorial"",
IF(REGEXMATCH(S90, ""Geração Editorial""), ""Geração Editorial"",
IF(REGEXMATCH(S90, ""Editora Imprensa Oficial"&amp;"|Imprensa Oficial""), ""Editora Imprensa Oficial"",
IF(REGEXMATCH(S90, ""Folha Online""), ""Folha Online"",
IF(REGEXMATCH(S90, ""FGV DIREITO SP|FGV Direito SP""), ""FGV DIREITO SP"",
IF(REGEXMATCH(S90, ""massacrecarandiru\.org\.br""), ""Memória Massacre C"&amp;"arandiru"",
IF(REGEXMATCH(S90, ""Itaú Cultural""), ""YouTube (Itaú Cultural)"",
IF(REGEXMATCH(S90, ""Passa Palavra""), ""Vimeo (Passa Palavra)"",
IF(REGEXMATCH(S90, ""rede2deoutubro\.blogspot""), ""Blogspot (Rede 02 de Outubro)"",
IF(REGEXMATCH(S90, ""Red"&amp;"e TVT""), ""YouTube (Rede TVT)"",
IF(REGEXMATCH(S90, ""Esquerda Diário""), ""Esquerda Diário"",
IF(REGEXMATCH(S90, ""GZH""), ""GZH"",
IF(REGEXMATCH(S90, ""TVPUC""), ""TVPUC"",
IF(REGEXMATCH(S90, ""Mídia Ninja.*Facebook""), ""Facebook (Mídia Ninja)"",
IF(R"&amp;"EGEXMATCH(S90, ""Memórias Carandiru.*Instagram""), ""Instagram (Memórias Carandiru)"",
IF(REGEXMATCH(S90, ""Frente pelo Desencarceramento SP""), ""YouTube (Frente Pelo Desencarceramento SP)"",
IF(REGEXMATCH(S90, ""TV ABA""), ""YouTube (TV ABA)"",
IF(REGEX"&amp;"MATCH(S90, ""TV SENADO""), ""YouTube (TV Senado)"",
IF(REGEXMATCH(S90, ""Google Arts &amp; Culture""), ""Google Arts &amp; Culture (Memória Massacre Carandiru)"",
IF(REGEXMATCH(S90, ""Anistia Internacional|ANISTIA INTERNACIONAL""), ""Anistia Internacional"",
IF(R"&amp;"EGEXMATCH(S90, ""47\.mostra|47a Mostra""), ""47a Mostra Internacional de Cinema em São Paulo"",
IF(REGEXMATCH(S90, ""Canal USP""), ""YouTube (Canal USP)"",
IF(AND(
  REGEXMATCH(S90, ""(?i)(teses?\.usp\.br|dissertacoes?\.usp\.br|repositorio\.usp\.br)""),
 "&amp;" NOT(REGEXMATCH(S90, ""Canal USP""))
), ""Biblioteca Digital de Teses e Dissertações da USP"",
IF(REGEXMATCH(S90, ""SINTRAJUSC""), ""SINTRAJUSC"",
IF(REGEXMATCH(S90, ""Agência Brasil|Agencia Brasil""), ""Agência Brasil"",
IF(REGEXMATCH(S90, ""Brasil de Fa"&amp;"to""), ""Brasil de Fato"",
IF(REGEXMATCH(S90, ""Ponte Jornalismo|pontejornalismo""), ""Ponte Jornalismo"",
IF(REGEXMATCH(S90, ""letras\.mus\.br|Letras,""), ""Letras"",
IF(REGEXMATCH(S90, ""YouTube|youtube""), 
   ""YouTube (""&amp;
   IF(REGEXMATCH(S90, ""It"&amp;"aú Cultural""), ""Itaú Cultural"",
   IF(REGEXMATCH(S90, ""Rede TVT""), ""Rede TVT"",
   IF(REGEXMATCH(S90, ""Frente pelo Desencarceramento SP""), ""Frente Pelo Desencarceramento SP"",
   IF(REGEXMATCH(S90, ""TV ABA""), ""TV ABA"",
   IF(REGEXMATCH(S90, "&amp;"""TV SENADO""), ""TV Senado"",
   IF(REGEXMATCH(S90, ""Canal USP""), ""Canal USP"",
   IF(REGEXMATCH(S90, ""Douer, Zack|Zack Douer""), ""Douer Zack"",
   IF(REGEXMATCH(S90, ""PRISIONEIRO 84\.901|PRISIONEIRO 84""), ""Prisioneiro 84.901"",
   IF(REGEXMATCH("&amp;"S90, ""^[^,]*, ""), 
        PROPER(REGEXREPLACE(REGEXEXTRACT(S90, ""^([^.]*)\.""), ""^([^,]*), (.*)"", ""$2 $1"")),
        PROPER(REGEXEXTRACT(S90, ""^([^.]*)\.""))
   )))))))))&amp;"")"",
IF(REGEXMATCH(S90, ""Spotify|spotify""), 
   ""Spotify (""&amp;
   IF(R"&amp;"EGEXMATCH(S90, ""ESTRANHO SORRISO""), ""Estranho Sorriso"",
   PROPER(REGEXEXTRACT(S90, ""^([^.]*)\.""))
   )&amp;"")"",
IF(REGEXMATCH(S90, ""Vimeo|vimeo""), 
   ""Vimeo (""&amp;
   IF(REGEXMATCH(S90, ""Passa Palavra""), ""Passa Palavra"",
   PROPER(REGEXEXTRACT"&amp;"(S90, ""^([^.]*)\.""))
   )&amp;"")"",
IF(REGEXMATCH(S90, ""Blogspot""), 
   ""Blogspot (""&amp;
   IF(REGEXMATCH(S90, ""rede2deoutubro""), ""Rede 02 de Outubro"",
   PROPER(REGEXEXTRACT(S90, ""^([^.]*)\.""))
   )&amp;"")"",
IF(REGEXMATCH(S90, ""Facebook""), 
   """&amp;"Facebook (""&amp;
   IF(REGEXMATCH(S90, ""Mídia Ninja""), ""Mídia Ninja"",
   PROPER(REGEXEXTRACT(S90, ""^([^.]*)\.""))
   )&amp;"")"",
IF(REGEXMATCH(S90, ""Instagram""), 
   ""Instagram (""&amp;
   IF(REGEXMATCH(S90, ""Memórias Carandiru""), ""Memórias Carandiru"","&amp;"
   PROPER(REGEXEXTRACT(S90, ""^([^.]*)\.""))
   )&amp;"")"",
IF(REGEXMATCH(S90, ""Folha de S\. Paulo|FOLHA DE S\. PAULO""), ""Folha de S. Paulo"",
IF(REGEXMATCH(S90, ""O Estado de S\. Paulo|ESTADAO""), ""O Estado de S. Paulo"",
IF(REGEXMATCH(S90, ""salasecr"&amp;"eta""), ""Wordpress (Sala Secreta)"",
IF(REGEXMATCH(S90, ""Wikipedia|Wikipédia|WIKIPÉDIA""), ""Wikipedia"",
IF(REGEXMATCH(S90, ""VEJA|Veja""), ""Veja Abril"",
IF(REGEXMATCH(S361, ""Rede Globo|REDE GLOBO""), ""Rede Globo"",
IF(REGEXMATCH(S361, ""G1|globo\."&amp;"com""), ""G1"",
IF(REGEXMATCH(S90, ""Deutsche Welle|DW\.com""), ""Deutsche Welle"",
IF(REGEXMATCH(S90, ""CIDH|Comissão Interamericana""), ""Comissão Interamericana de Direitos Humanos (CIDH)"",
IF(REGEXMATCH(S90, ""Pastoral Carcerária""), ""Pastoral Carce"&amp;"rária"",
IF(REGEXMATCH(S90, ""Esquerda Web""), ""Esquerda Web"",
IF(REGEXMATCH(S90, ""ONU|Organização das Nações Unidas""), ""ONU Brasil"",
IF(REGEXMATCH(S90, ""Quilombo Invisível""), ""Quilombo Invisível"",
IF(REGEXMATCH(S90, ""ALESP|Assembleia Legislati"&amp;"va""), ""ALESP"",
IF(REGEXMATCH(S90, ""Revista Opera""), ""Revista Opera"",
IF(REGEXMATCH(S90, ""SP Escola de Teatro""), ""SP Escola de Teatro"",
IF(REGEXMATCH(S90, ""EMC|Espaço Memória Carandiru""), ""EMC Espaço Memória Carandiru"",
IF(REGEXMATCH(S90, "&amp;"""^RAMOS, Nuno|Nuno Ramos""), ""Nuno Ramos"",
IF(REGEXMATCH(S90, ""^VELOSO, Caetano|Caetano Veloso""), ""YouTube (Caetano Veloso)"",
IF(REGEXMATCH(S90, ""^FATOS REAIS""), ""YouTube (Fatos Reais - Topic)"",
IF(REGEXMATCH(S90, ""^SALA SECRETA""), ""Wordpres"&amp;"s (Sala Secreta)"",
PROPER(REGEXEXTRACT(S90, ""^([^.]*)\.""))
))))))))))))))))))))))))))))))))))))))))))))))))))))))))"),"Quilombo Invisível")</f>
        <v>Quilombo Invisível</v>
      </c>
      <c r="N90" s="11" t="s">
        <v>47</v>
      </c>
      <c r="O90" s="11" t="s">
        <v>221</v>
      </c>
      <c r="P90" s="51">
        <v>45855.0</v>
      </c>
      <c r="Q90" s="11" t="s">
        <v>154</v>
      </c>
      <c r="R90" s="70" t="str">
        <f t="shared" si="8"/>
        <v>Aqui</v>
      </c>
      <c r="S90" s="75" t="s">
        <v>607</v>
      </c>
    </row>
    <row r="91">
      <c r="A91" s="11">
        <v>89.0</v>
      </c>
      <c r="B91" s="11" t="s">
        <v>665</v>
      </c>
      <c r="C91" s="122" t="s">
        <v>165</v>
      </c>
      <c r="D91" s="13" t="str">
        <f>IFERROR(__xludf.DUMMYFUNCTION("IF(B91="""","""",IF(OR(
  REGEXMATCH(B91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REGEXMATCH(B91,""público|Imediato|artística|teatral|memória"")
),""Público Imediato"",
IF(REGEXMATCH(B91,""Música|Álbum|Filme|Documentário|Série|Podcast|"&amp;"Rádio|Audiotour|Entrevista|Reportagem|Crônica|Relatório|Abaixo-assinado|Manifesto|Petição|Poema|Livro|Fotografia|Curta|Live|Webinário|Charge|Leitura pública|Vídeo""),
""Público Mediado"","""")))
"),"Público Imediato")</f>
        <v>Público Imediato</v>
      </c>
      <c r="E91" s="13" t="str">
        <f>IFERROR(__xludf.DUMMYFUNCTION("IF(B91="""","""",IF(OR(
  REGEXMATCH(B91,""Live|Webinário|Virtual""),
  REGEXMATCH(B91,""online"")
),""Virtual"",
IF(REGEXMATCH(B91,""Música|Álbum|Filme|Documentário|Série|Podcast|Rádio|Audiotour|Episódio|Reportagem|Curta|Charge|Livro|Vídeo|Entrevista""),"&amp;"
""Midiático"",
IF(REGEXMATCH(B91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1" s="183">
        <v>41914.0</v>
      </c>
      <c r="G91" s="15">
        <f t="shared" si="1"/>
        <v>2014</v>
      </c>
      <c r="H91" s="11" t="s">
        <v>666</v>
      </c>
      <c r="I91" s="18" t="s">
        <v>667</v>
      </c>
      <c r="J91" s="17" t="s">
        <v>668</v>
      </c>
      <c r="K91" s="16" t="s">
        <v>26</v>
      </c>
      <c r="L91" s="18" t="s">
        <v>489</v>
      </c>
      <c r="M91" s="15" t="str">
        <f>IFERROR(__xludf.DUMMYFUNCTION("IF(REGEXMATCH(S91, ""Companhia das Letras""), ""Companhia das Letras"",
IF(REGEXMATCH(S91, ""Labortexto Editorial""), ""Labortexto Editorial"",
IF(REGEXMATCH(S91, ""Geração Editorial""), ""Geração Editorial"",
IF(REGEXMATCH(S91, ""Editora Imprensa Oficial"&amp;"|Imprensa Oficial""), ""Editora Imprensa Oficial"",
IF(REGEXMATCH(S91, ""Folha Online""), ""Folha Online"",
IF(REGEXMATCH(S91, ""FGV DIREITO SP|FGV Direito SP""), ""FGV DIREITO SP"",
IF(REGEXMATCH(S91, ""massacrecarandiru\.org\.br""), ""Memória Massacre C"&amp;"arandiru"",
IF(REGEXMATCH(S91, ""Itaú Cultural""), ""YouTube (Itaú Cultural)"",
IF(REGEXMATCH(S91, ""Passa Palavra""), ""Vimeo (Passa Palavra)"",
IF(REGEXMATCH(S91, ""rede2deoutubro\.blogspot""), ""Blogspot (Rede 02 de Outubro)"",
IF(REGEXMATCH(S91, ""Red"&amp;"e TVT""), ""YouTube (Rede TVT)"",
IF(REGEXMATCH(S91, ""Esquerda Diário""), ""Esquerda Diário"",
IF(REGEXMATCH(S91, ""GZH""), ""GZH"",
IF(REGEXMATCH(S91, ""TVPUC""), ""TVPUC"",
IF(REGEXMATCH(S91, ""Mídia Ninja.*Facebook""), ""Facebook (Mídia Ninja)"",
IF(R"&amp;"EGEXMATCH(S91, ""Memórias Carandiru.*Instagram""), ""Instagram (Memórias Carandiru)"",
IF(REGEXMATCH(S91, ""Frente pelo Desencarceramento SP""), ""YouTube (Frente Pelo Desencarceramento SP)"",
IF(REGEXMATCH(S91, ""TV ABA""), ""YouTube (TV ABA)"",
IF(REGEX"&amp;"MATCH(S91, ""TV SENADO""), ""YouTube (TV Senado)"",
IF(REGEXMATCH(S91, ""Google Arts &amp; Culture""), ""Google Arts &amp; Culture (Memória Massacre Carandiru)"",
IF(REGEXMATCH(S91, ""Anistia Internacional|ANISTIA INTERNACIONAL""), ""Anistia Internacional"",
IF(R"&amp;"EGEXMATCH(S91, ""47\.mostra|47a Mostra""), ""47a Mostra Internacional de Cinema em São Paulo"",
IF(REGEXMATCH(S91, ""Canal USP""), ""YouTube (Canal USP)"",
IF(AND(
  REGEXMATCH(S91, ""(?i)(teses?\.usp\.br|dissertacoes?\.usp\.br|repositorio\.usp\.br)""),
 "&amp;" NOT(REGEXMATCH(S91, ""Canal USP""))
), ""Biblioteca Digital de Teses e Dissertações da USP"",
IF(REGEXMATCH(S91, ""SINTRAJUSC""), ""SINTRAJUSC"",
IF(REGEXMATCH(S91, ""Agência Brasil|Agencia Brasil""), ""Agência Brasil"",
IF(REGEXMATCH(S91, ""Brasil de Fa"&amp;"to""), ""Brasil de Fato"",
IF(REGEXMATCH(S91, ""Ponte Jornalismo|pontejornalismo""), ""Ponte Jornalismo"",
IF(REGEXMATCH(S91, ""letras\.mus\.br|Letras,""), ""Letras"",
IF(REGEXMATCH(S91, ""YouTube|youtube""), 
   ""YouTube (""&amp;
   IF(REGEXMATCH(S91, ""It"&amp;"aú Cultural""), ""Itaú Cultural"",
   IF(REGEXMATCH(S91, ""Rede TVT""), ""Rede TVT"",
   IF(REGEXMATCH(S91, ""Frente pelo Desencarceramento SP""), ""Frente Pelo Desencarceramento SP"",
   IF(REGEXMATCH(S91, ""TV ABA""), ""TV ABA"",
   IF(REGEXMATCH(S91, "&amp;"""TV SENADO""), ""TV Senado"",
   IF(REGEXMATCH(S91, ""Canal USP""), ""Canal USP"",
   IF(REGEXMATCH(S91, ""Douer, Zack|Zack Douer""), ""Douer Zack"",
   IF(REGEXMATCH(S91, ""PRISIONEIRO 84\.901|PRISIONEIRO 84""), ""Prisioneiro 84.901"",
   IF(REGEXMATCH("&amp;"S91, ""^[^,]*, ""), 
        PROPER(REGEXREPLACE(REGEXEXTRACT(S91, ""^([^.]*)\.""), ""^([^,]*), (.*)"", ""$2 $1"")),
        PROPER(REGEXEXTRACT(S91, ""^([^.]*)\.""))
   )))))))))&amp;"")"",
IF(REGEXMATCH(S91, ""Spotify|spotify""), 
   ""Spotify (""&amp;
   IF(R"&amp;"EGEXMATCH(S91, ""ESTRANHO SORRISO""), ""Estranho Sorriso"",
   PROPER(REGEXEXTRACT(S91, ""^([^.]*)\.""))
   )&amp;"")"",
IF(REGEXMATCH(S91, ""Vimeo|vimeo""), 
   ""Vimeo (""&amp;
   IF(REGEXMATCH(S91, ""Passa Palavra""), ""Passa Palavra"",
   PROPER(REGEXEXTRACT"&amp;"(S91, ""^([^.]*)\.""))
   )&amp;"")"",
IF(REGEXMATCH(S91, ""Blogspot""), 
   ""Blogspot (""&amp;
   IF(REGEXMATCH(S91, ""rede2deoutubro""), ""Rede 02 de Outubro"",
   PROPER(REGEXEXTRACT(S91, ""^([^.]*)\.""))
   )&amp;"")"",
IF(REGEXMATCH(S91, ""Facebook""), 
   """&amp;"Facebook (""&amp;
   IF(REGEXMATCH(S91, ""Mídia Ninja""), ""Mídia Ninja"",
   PROPER(REGEXEXTRACT(S91, ""^([^.]*)\.""))
   )&amp;"")"",
IF(REGEXMATCH(S91, ""Instagram""), 
   ""Instagram (""&amp;
   IF(REGEXMATCH(S91, ""Memórias Carandiru""), ""Memórias Carandiru"","&amp;"
   PROPER(REGEXEXTRACT(S91, ""^([^.]*)\.""))
   )&amp;"")"",
IF(REGEXMATCH(S91, ""Folha de S\. Paulo|FOLHA DE S\. PAULO""), ""Folha de S. Paulo"",
IF(REGEXMATCH(S91, ""O Estado de S\. Paulo|ESTADAO""), ""O Estado de S. Paulo"",
IF(REGEXMATCH(S91, ""salasecr"&amp;"eta""), ""Wordpress (Sala Secreta)"",
IF(REGEXMATCH(S91, ""Wikipedia|Wikipédia|WIKIPÉDIA""), ""Wikipedia"",
IF(REGEXMATCH(S91, ""VEJA|Veja""), ""Veja Abril"",
IF(REGEXMATCH(S362, ""Rede Globo|REDE GLOBO""), ""Rede Globo"",
IF(REGEXMATCH(S362, ""G1|globo\."&amp;"com""), ""G1"",
IF(REGEXMATCH(S91, ""Deutsche Welle|DW\.com""), ""Deutsche Welle"",
IF(REGEXMATCH(S91, ""CIDH|Comissão Interamericana""), ""Comissão Interamericana de Direitos Humanos (CIDH)"",
IF(REGEXMATCH(S91, ""Pastoral Carcerária""), ""Pastoral Carce"&amp;"rária"",
IF(REGEXMATCH(S91, ""Esquerda Web""), ""Esquerda Web"",
IF(REGEXMATCH(S91, ""ONU|Organização das Nações Unidas""), ""ONU Brasil"",
IF(REGEXMATCH(S91, ""Quilombo Invisível""), ""Quilombo Invisível"",
IF(REGEXMATCH(S91, ""ALESP|Assembleia Legislati"&amp;"va""), ""ALESP"",
IF(REGEXMATCH(S91, ""Revista Opera""), ""Revista Opera"",
IF(REGEXMATCH(S91, ""SP Escola de Teatro""), ""SP Escola de Teatro"",
IF(REGEXMATCH(S91, ""EMC|Espaço Memória Carandiru""), ""EMC Espaço Memória Carandiru"",
IF(REGEXMATCH(S91, "&amp;"""^RAMOS, Nuno|Nuno Ramos""), ""Nuno Ramos"",
IF(REGEXMATCH(S91, ""^VELOSO, Caetano|Caetano Veloso""), ""YouTube (Caetano Veloso)"",
IF(REGEXMATCH(S91, ""^FATOS REAIS""), ""YouTube (Fatos Reais - Topic)"",
IF(REGEXMATCH(S91, ""^SALA SECRETA""), ""Wordpres"&amp;"s (Sala Secreta)"",
PROPER(REGEXEXTRACT(S91, ""^([^.]*)\.""))
))))))))))))))))))))))))))))))))))))))))))))))))))))))))"),"Agência Brasil")</f>
        <v>Agência Brasil</v>
      </c>
      <c r="N91" s="11" t="s">
        <v>47</v>
      </c>
      <c r="O91" s="11" t="s">
        <v>221</v>
      </c>
      <c r="P91" s="51">
        <v>45854.0</v>
      </c>
      <c r="Q91" s="11" t="s">
        <v>154</v>
      </c>
      <c r="R91" s="70" t="str">
        <f t="shared" si="8"/>
        <v>Aqui</v>
      </c>
      <c r="S91" s="75" t="s">
        <v>669</v>
      </c>
    </row>
    <row r="92">
      <c r="A92" s="11">
        <v>90.0</v>
      </c>
      <c r="B92" s="11" t="s">
        <v>496</v>
      </c>
      <c r="C92" s="122" t="s">
        <v>165</v>
      </c>
      <c r="D92" s="13" t="str">
        <f>IFERROR(__xludf.DUMMYFUNCTION("IF(B92="""","""",IF(OR(
  REGEXMATCH(B92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REGEXMATCH(B92,""público|Imediato|artística|teatral|memória"")
),""Público Imediato"",
IF(REGEXMATCH(B92,""Música|Álbum|Filme|Documentário|Série|Podcast|"&amp;"Rádio|Audiotour|Entrevista|Reportagem|Crônica|Relatório|Abaixo-assinado|Manifesto|Petição|Poema|Livro|Fotografia|Curta|Live|Webinário|Charge|Leitura pública|Vídeo""),
""Público Mediado"","""")))
"),"Público Imediato")</f>
        <v>Público Imediato</v>
      </c>
      <c r="E92" s="13" t="str">
        <f>IFERROR(__xludf.DUMMYFUNCTION("IF(B92="""","""",IF(OR(
  REGEXMATCH(B92,""Live|Webinário|Virtual""),
  REGEXMATCH(B92,""online"")
),""Virtual"",
IF(REGEXMATCH(B92,""Música|Álbum|Filme|Documentário|Série|Podcast|Rádio|Audiotour|Episódio|Reportagem|Curta|Charge|Livro|Vídeo|Entrevista""),"&amp;"
""Midiático"",
IF(REGEXMATCH(B92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2" s="183">
        <v>41914.0</v>
      </c>
      <c r="G92" s="15">
        <f t="shared" si="1"/>
        <v>2014</v>
      </c>
      <c r="H92" s="11" t="s">
        <v>663</v>
      </c>
      <c r="I92" s="18" t="s">
        <v>670</v>
      </c>
      <c r="J92" s="17" t="s">
        <v>671</v>
      </c>
      <c r="K92" s="16" t="s">
        <v>26</v>
      </c>
      <c r="L92" s="18" t="s">
        <v>489</v>
      </c>
      <c r="M92" s="15" t="str">
        <f>IFERROR(__xludf.DUMMYFUNCTION("IF(REGEXMATCH(S92, ""Companhia das Letras""), ""Companhia das Letras"",
IF(REGEXMATCH(S92, ""Labortexto Editorial""), ""Labortexto Editorial"",
IF(REGEXMATCH(S92, ""Geração Editorial""), ""Geração Editorial"",
IF(REGEXMATCH(S92, ""Editora Imprensa Oficial"&amp;"|Imprensa Oficial""), ""Editora Imprensa Oficial"",
IF(REGEXMATCH(S92, ""Folha Online""), ""Folha Online"",
IF(REGEXMATCH(S92, ""FGV DIREITO SP|FGV Direito SP""), ""FGV DIREITO SP"",
IF(REGEXMATCH(S92, ""massacrecarandiru\.org\.br""), ""Memória Massacre C"&amp;"arandiru"",
IF(REGEXMATCH(S92, ""Itaú Cultural""), ""YouTube (Itaú Cultural)"",
IF(REGEXMATCH(S92, ""Passa Palavra""), ""Vimeo (Passa Palavra)"",
IF(REGEXMATCH(S92, ""rede2deoutubro\.blogspot""), ""Blogspot (Rede 02 de Outubro)"",
IF(REGEXMATCH(S92, ""Red"&amp;"e TVT""), ""YouTube (Rede TVT)"",
IF(REGEXMATCH(S92, ""Esquerda Diário""), ""Esquerda Diário"",
IF(REGEXMATCH(S92, ""GZH""), ""GZH"",
IF(REGEXMATCH(S92, ""TVPUC""), ""TVPUC"",
IF(REGEXMATCH(S92, ""Mídia Ninja.*Facebook""), ""Facebook (Mídia Ninja)"",
IF(R"&amp;"EGEXMATCH(S92, ""Memórias Carandiru.*Instagram""), ""Instagram (Memórias Carandiru)"",
IF(REGEXMATCH(S92, ""Frente pelo Desencarceramento SP""), ""YouTube (Frente Pelo Desencarceramento SP)"",
IF(REGEXMATCH(S92, ""TV ABA""), ""YouTube (TV ABA)"",
IF(REGEX"&amp;"MATCH(S92, ""TV SENADO""), ""YouTube (TV Senado)"",
IF(REGEXMATCH(S92, ""Google Arts &amp; Culture""), ""Google Arts &amp; Culture (Memória Massacre Carandiru)"",
IF(REGEXMATCH(S92, ""Anistia Internacional|ANISTIA INTERNACIONAL""), ""Anistia Internacional"",
IF(R"&amp;"EGEXMATCH(S92, ""47\.mostra|47a Mostra""), ""47a Mostra Internacional de Cinema em São Paulo"",
IF(REGEXMATCH(S92, ""Canal USP""), ""YouTube (Canal USP)"",
IF(AND(
  REGEXMATCH(S92, ""(?i)(teses?\.usp\.br|dissertacoes?\.usp\.br|repositorio\.usp\.br)""),
 "&amp;" NOT(REGEXMATCH(S92, ""Canal USP""))
), ""Biblioteca Digital de Teses e Dissertações da USP"",
IF(REGEXMATCH(S92, ""SINTRAJUSC""), ""SINTRAJUSC"",
IF(REGEXMATCH(S92, ""Agência Brasil|Agencia Brasil""), ""Agência Brasil"",
IF(REGEXMATCH(S92, ""Brasil de Fa"&amp;"to""), ""Brasil de Fato"",
IF(REGEXMATCH(S92, ""Ponte Jornalismo|pontejornalismo""), ""Ponte Jornalismo"",
IF(REGEXMATCH(S92, ""letras\.mus\.br|Letras,""), ""Letras"",
IF(REGEXMATCH(S92, ""YouTube|youtube""), 
   ""YouTube (""&amp;
   IF(REGEXMATCH(S92, ""It"&amp;"aú Cultural""), ""Itaú Cultural"",
   IF(REGEXMATCH(S92, ""Rede TVT""), ""Rede TVT"",
   IF(REGEXMATCH(S92, ""Frente pelo Desencarceramento SP""), ""Frente Pelo Desencarceramento SP"",
   IF(REGEXMATCH(S92, ""TV ABA""), ""TV ABA"",
   IF(REGEXMATCH(S92, "&amp;"""TV SENADO""), ""TV Senado"",
   IF(REGEXMATCH(S92, ""Canal USP""), ""Canal USP"",
   IF(REGEXMATCH(S92, ""Douer, Zack|Zack Douer""), ""Douer Zack"",
   IF(REGEXMATCH(S92, ""PRISIONEIRO 84\.901|PRISIONEIRO 84""), ""Prisioneiro 84.901"",
   IF(REGEXMATCH("&amp;"S92, ""^[^,]*, ""), 
        PROPER(REGEXREPLACE(REGEXEXTRACT(S92, ""^([^.]*)\.""), ""^([^,]*), (.*)"", ""$2 $1"")),
        PROPER(REGEXEXTRACT(S92, ""^([^.]*)\.""))
   )))))))))&amp;"")"",
IF(REGEXMATCH(S92, ""Spotify|spotify""), 
   ""Spotify (""&amp;
   IF(R"&amp;"EGEXMATCH(S92, ""ESTRANHO SORRISO""), ""Estranho Sorriso"",
   PROPER(REGEXEXTRACT(S92, ""^([^.]*)\.""))
   )&amp;"")"",
IF(REGEXMATCH(S92, ""Vimeo|vimeo""), 
   ""Vimeo (""&amp;
   IF(REGEXMATCH(S92, ""Passa Palavra""), ""Passa Palavra"",
   PROPER(REGEXEXTRACT"&amp;"(S92, ""^([^.]*)\.""))
   )&amp;"")"",
IF(REGEXMATCH(S92, ""Blogspot""), 
   ""Blogspot (""&amp;
   IF(REGEXMATCH(S92, ""rede2deoutubro""), ""Rede 02 de Outubro"",
   PROPER(REGEXEXTRACT(S92, ""^([^.]*)\.""))
   )&amp;"")"",
IF(REGEXMATCH(S92, ""Facebook""), 
   """&amp;"Facebook (""&amp;
   IF(REGEXMATCH(S92, ""Mídia Ninja""), ""Mídia Ninja"",
   PROPER(REGEXEXTRACT(S92, ""^([^.]*)\.""))
   )&amp;"")"",
IF(REGEXMATCH(S92, ""Instagram""), 
   ""Instagram (""&amp;
   IF(REGEXMATCH(S92, ""Memórias Carandiru""), ""Memórias Carandiru"","&amp;"
   PROPER(REGEXEXTRACT(S92, ""^([^.]*)\.""))
   )&amp;"")"",
IF(REGEXMATCH(S92, ""Folha de S\. Paulo|FOLHA DE S\. PAULO""), ""Folha de S. Paulo"",
IF(REGEXMATCH(S92, ""O Estado de S\. Paulo|ESTADAO""), ""O Estado de S. Paulo"",
IF(REGEXMATCH(S92, ""salasecr"&amp;"eta""), ""Wordpress (Sala Secreta)"",
IF(REGEXMATCH(S92, ""Wikipedia|Wikipédia|WIKIPÉDIA""), ""Wikipedia"",
IF(REGEXMATCH(S92, ""VEJA|Veja""), ""Veja Abril"",
IF(REGEXMATCH(S363, ""Rede Globo|REDE GLOBO""), ""Rede Globo"",
IF(REGEXMATCH(S363, ""G1|globo\."&amp;"com""), ""G1"",
IF(REGEXMATCH(S92, ""Deutsche Welle|DW\.com""), ""Deutsche Welle"",
IF(REGEXMATCH(S92, ""CIDH|Comissão Interamericana""), ""Comissão Interamericana de Direitos Humanos (CIDH)"",
IF(REGEXMATCH(S92, ""Pastoral Carcerária""), ""Pastoral Carce"&amp;"rária"",
IF(REGEXMATCH(S92, ""Esquerda Web""), ""Esquerda Web"",
IF(REGEXMATCH(S92, ""ONU|Organização das Nações Unidas""), ""ONU Brasil"",
IF(REGEXMATCH(S92, ""Quilombo Invisível""), ""Quilombo Invisível"",
IF(REGEXMATCH(S92, ""ALESP|Assembleia Legislati"&amp;"va""), ""ALESP"",
IF(REGEXMATCH(S92, ""Revista Opera""), ""Revista Opera"",
IF(REGEXMATCH(S92, ""SP Escola de Teatro""), ""SP Escola de Teatro"",
IF(REGEXMATCH(S92, ""EMC|Espaço Memória Carandiru""), ""EMC Espaço Memória Carandiru"",
IF(REGEXMATCH(S92, "&amp;"""^RAMOS, Nuno|Nuno Ramos""), ""Nuno Ramos"",
IF(REGEXMATCH(S92, ""^VELOSO, Caetano|Caetano Veloso""), ""YouTube (Caetano Veloso)"",
IF(REGEXMATCH(S92, ""^FATOS REAIS""), ""YouTube (Fatos Reais - Topic)"",
IF(REGEXMATCH(S92, ""^SALA SECRETA""), ""Wordpres"&amp;"s (Sala Secreta)"",
PROPER(REGEXEXTRACT(S92, ""^([^.]*)\.""))
))))))))))))))))))))))))))))))))))))))))))))))))))))))))"),"G1")</f>
        <v>G1</v>
      </c>
      <c r="N92" s="11" t="s">
        <v>47</v>
      </c>
      <c r="O92" s="11" t="s">
        <v>221</v>
      </c>
      <c r="P92" s="51">
        <v>45854.0</v>
      </c>
      <c r="Q92" s="11" t="s">
        <v>154</v>
      </c>
      <c r="R92" s="70" t="str">
        <f t="shared" si="8"/>
        <v>Aqui</v>
      </c>
      <c r="S92" s="75" t="s">
        <v>672</v>
      </c>
    </row>
    <row r="93">
      <c r="A93" s="11">
        <v>91.0</v>
      </c>
      <c r="B93" s="11" t="s">
        <v>665</v>
      </c>
      <c r="C93" s="122" t="s">
        <v>165</v>
      </c>
      <c r="D93" s="13" t="str">
        <f>IFERROR(__xludf.DUMMYFUNCTION("IF(B93="""","""",IF(OR(
  REGEXMATCH(B93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REGEXMATCH(B93,""público|Imediato|artística|teatral|memória"")
),""Público Imediato"",
IF(REGEXMATCH(B93,""Música|Álbum|Filme|Documentário|Série|Podcast|"&amp;"Rádio|Audiotour|Entrevista|Reportagem|Crônica|Relatório|Abaixo-assinado|Manifesto|Petição|Poema|Livro|Fotografia|Curta|Live|Webinário|Charge|Leitura pública|Vídeo""),
""Público Mediado"","""")))
"),"Público Imediato")</f>
        <v>Público Imediato</v>
      </c>
      <c r="E93" s="13" t="str">
        <f>IFERROR(__xludf.DUMMYFUNCTION("IF(B93="""","""",IF(OR(
  REGEXMATCH(B93,""Live|Webinário|Virtual""),
  REGEXMATCH(B93,""online"")
),""Virtual"",
IF(REGEXMATCH(B93,""Música|Álbum|Filme|Documentário|Série|Podcast|Rádio|Audiotour|Episódio|Reportagem|Curta|Charge|Livro|Vídeo|Entrevista""),"&amp;"
""Midiático"",
IF(REGEXMATCH(B93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3" s="183">
        <v>41915.0</v>
      </c>
      <c r="G93" s="15">
        <f t="shared" si="1"/>
        <v>2014</v>
      </c>
      <c r="H93" s="11" t="s">
        <v>673</v>
      </c>
      <c r="I93" s="18" t="s">
        <v>674</v>
      </c>
      <c r="J93" s="17" t="s">
        <v>675</v>
      </c>
      <c r="K93" s="16" t="s">
        <v>83</v>
      </c>
      <c r="L93" s="18" t="s">
        <v>329</v>
      </c>
      <c r="M93" s="15" t="str">
        <f>IFERROR(__xludf.DUMMYFUNCTION("IF(REGEXMATCH(S93, ""Companhia das Letras""), ""Companhia das Letras"",
IF(REGEXMATCH(S93, ""Labortexto Editorial""), ""Labortexto Editorial"",
IF(REGEXMATCH(S93, ""Geração Editorial""), ""Geração Editorial"",
IF(REGEXMATCH(S93, ""Editora Imprensa Oficial"&amp;"|Imprensa Oficial""), ""Editora Imprensa Oficial"",
IF(REGEXMATCH(S93, ""Folha Online""), ""Folha Online"",
IF(REGEXMATCH(S93, ""FGV DIREITO SP|FGV Direito SP""), ""FGV DIREITO SP"",
IF(REGEXMATCH(S93, ""massacrecarandiru\.org\.br""), ""Memória Massacre C"&amp;"arandiru"",
IF(REGEXMATCH(S93, ""Itaú Cultural""), ""YouTube (Itaú Cultural)"",
IF(REGEXMATCH(S93, ""Passa Palavra""), ""Vimeo (Passa Palavra)"",
IF(REGEXMATCH(S93, ""rede2deoutubro\.blogspot""), ""Blogspot (Rede 02 de Outubro)"",
IF(REGEXMATCH(S93, ""Red"&amp;"e TVT""), ""YouTube (Rede TVT)"",
IF(REGEXMATCH(S93, ""Esquerda Diário""), ""Esquerda Diário"",
IF(REGEXMATCH(S93, ""GZH""), ""GZH"",
IF(REGEXMATCH(S93, ""TVPUC""), ""TVPUC"",
IF(REGEXMATCH(S93, ""Mídia Ninja.*Facebook""), ""Facebook (Mídia Ninja)"",
IF(R"&amp;"EGEXMATCH(S93, ""Memórias Carandiru.*Instagram""), ""Instagram (Memórias Carandiru)"",
IF(REGEXMATCH(S93, ""Frente pelo Desencarceramento SP""), ""YouTube (Frente Pelo Desencarceramento SP)"",
IF(REGEXMATCH(S93, ""TV ABA""), ""YouTube (TV ABA)"",
IF(REGEX"&amp;"MATCH(S93, ""TV SENADO""), ""YouTube (TV Senado)"",
IF(REGEXMATCH(S93, ""Google Arts &amp; Culture""), ""Google Arts &amp; Culture (Memória Massacre Carandiru)"",
IF(REGEXMATCH(S93, ""Anistia Internacional|ANISTIA INTERNACIONAL""), ""Anistia Internacional"",
IF(R"&amp;"EGEXMATCH(S93, ""47\.mostra|47a Mostra""), ""47a Mostra Internacional de Cinema em São Paulo"",
IF(REGEXMATCH(S93, ""Canal USP""), ""YouTube (Canal USP)"",
IF(AND(
  REGEXMATCH(S93, ""(?i)(teses?\.usp\.br|dissertacoes?\.usp\.br|repositorio\.usp\.br)""),
 "&amp;" NOT(REGEXMATCH(S93, ""Canal USP""))
), ""Biblioteca Digital de Teses e Dissertações da USP"",
IF(REGEXMATCH(S93, ""SINTRAJUSC""), ""SINTRAJUSC"",
IF(REGEXMATCH(S93, ""Agência Brasil|Agencia Brasil""), ""Agência Brasil"",
IF(REGEXMATCH(S93, ""Brasil de Fa"&amp;"to""), ""Brasil de Fato"",
IF(REGEXMATCH(S93, ""Ponte Jornalismo|pontejornalismo""), ""Ponte Jornalismo"",
IF(REGEXMATCH(S93, ""letras\.mus\.br|Letras,""), ""Letras"",
IF(REGEXMATCH(S93, ""YouTube|youtube""), 
   ""YouTube (""&amp;
   IF(REGEXMATCH(S93, ""It"&amp;"aú Cultural""), ""Itaú Cultural"",
   IF(REGEXMATCH(S93, ""Rede TVT""), ""Rede TVT"",
   IF(REGEXMATCH(S93, ""Frente pelo Desencarceramento SP""), ""Frente Pelo Desencarceramento SP"",
   IF(REGEXMATCH(S93, ""TV ABA""), ""TV ABA"",
   IF(REGEXMATCH(S93, "&amp;"""TV SENADO""), ""TV Senado"",
   IF(REGEXMATCH(S93, ""Canal USP""), ""Canal USP"",
   IF(REGEXMATCH(S93, ""Douer, Zack|Zack Douer""), ""Douer Zack"",
   IF(REGEXMATCH(S93, ""PRISIONEIRO 84\.901|PRISIONEIRO 84""), ""Prisioneiro 84.901"",
   IF(REGEXMATCH("&amp;"S93, ""^[^,]*, ""), 
        PROPER(REGEXREPLACE(REGEXEXTRACT(S93, ""^([^.]*)\.""), ""^([^,]*), (.*)"", ""$2 $1"")),
        PROPER(REGEXEXTRACT(S93, ""^([^.]*)\.""))
   )))))))))&amp;"")"",
IF(REGEXMATCH(S93, ""Spotify|spotify""), 
   ""Spotify (""&amp;
   IF(R"&amp;"EGEXMATCH(S93, ""ESTRANHO SORRISO""), ""Estranho Sorriso"",
   PROPER(REGEXEXTRACT(S93, ""^([^.]*)\.""))
   )&amp;"")"",
IF(REGEXMATCH(S93, ""Vimeo|vimeo""), 
   ""Vimeo (""&amp;
   IF(REGEXMATCH(S93, ""Passa Palavra""), ""Passa Palavra"",
   PROPER(REGEXEXTRACT"&amp;"(S93, ""^([^.]*)\.""))
   )&amp;"")"",
IF(REGEXMATCH(S93, ""Blogspot""), 
   ""Blogspot (""&amp;
   IF(REGEXMATCH(S93, ""rede2deoutubro""), ""Rede 02 de Outubro"",
   PROPER(REGEXEXTRACT(S93, ""^([^.]*)\.""))
   )&amp;"")"",
IF(REGEXMATCH(S93, ""Facebook""), 
   """&amp;"Facebook (""&amp;
   IF(REGEXMATCH(S93, ""Mídia Ninja""), ""Mídia Ninja"",
   PROPER(REGEXEXTRACT(S93, ""^([^.]*)\.""))
   )&amp;"")"",
IF(REGEXMATCH(S93, ""Instagram""), 
   ""Instagram (""&amp;
   IF(REGEXMATCH(S93, ""Memórias Carandiru""), ""Memórias Carandiru"","&amp;"
   PROPER(REGEXEXTRACT(S93, ""^([^.]*)\.""))
   )&amp;"")"",
IF(REGEXMATCH(S93, ""Folha de S\. Paulo|FOLHA DE S\. PAULO""), ""Folha de S. Paulo"",
IF(REGEXMATCH(S93, ""O Estado de S\. Paulo|ESTADAO""), ""O Estado de S. Paulo"",
IF(REGEXMATCH(S93, ""salasecr"&amp;"eta""), ""Wordpress (Sala Secreta)"",
IF(REGEXMATCH(S93, ""Wikipedia|Wikipédia|WIKIPÉDIA""), ""Wikipedia"",
IF(REGEXMATCH(S93, ""VEJA|Veja""), ""Veja Abril"",
IF(REGEXMATCH(S364, ""Rede Globo|REDE GLOBO""), ""Rede Globo"",
IF(REGEXMATCH(S364, ""G1|globo\."&amp;"com""), ""G1"",
IF(REGEXMATCH(S93, ""Deutsche Welle|DW\.com""), ""Deutsche Welle"",
IF(REGEXMATCH(S93, ""CIDH|Comissão Interamericana""), ""Comissão Interamericana de Direitos Humanos (CIDH)"",
IF(REGEXMATCH(S93, ""Pastoral Carcerária""), ""Pastoral Carce"&amp;"rária"",
IF(REGEXMATCH(S93, ""Esquerda Web""), ""Esquerda Web"",
IF(REGEXMATCH(S93, ""ONU|Organização das Nações Unidas""), ""ONU Brasil"",
IF(REGEXMATCH(S93, ""Quilombo Invisível""), ""Quilombo Invisível"",
IF(REGEXMATCH(S93, ""ALESP|Assembleia Legislati"&amp;"va""), ""ALESP"",
IF(REGEXMATCH(S93, ""Revista Opera""), ""Revista Opera"",
IF(REGEXMATCH(S93, ""SP Escola de Teatro""), ""SP Escola de Teatro"",
IF(REGEXMATCH(S93, ""EMC|Espaço Memória Carandiru""), ""EMC Espaço Memória Carandiru"",
IF(REGEXMATCH(S93, "&amp;"""^RAMOS, Nuno|Nuno Ramos""), ""Nuno Ramos"",
IF(REGEXMATCH(S93, ""^VELOSO, Caetano|Caetano Veloso""), ""YouTube (Caetano Veloso)"",
IF(REGEXMATCH(S93, ""^FATOS REAIS""), ""YouTube (Fatos Reais - Topic)"",
IF(REGEXMATCH(S93, ""^SALA SECRETA""), ""Wordpres"&amp;"s (Sala Secreta)"",
PROPER(REGEXEXTRACT(S93, ""^([^.]*)\.""))
))))))))))))))))))))))))))))))))))))))))))))))))))))))))"),"YouTube (Rede TVT)")</f>
        <v>YouTube (Rede TVT)</v>
      </c>
      <c r="N93" s="11" t="s">
        <v>47</v>
      </c>
      <c r="O93" s="11" t="s">
        <v>221</v>
      </c>
      <c r="P93" s="51">
        <v>45854.0</v>
      </c>
      <c r="Q93" s="11" t="s">
        <v>154</v>
      </c>
      <c r="R93" s="70" t="str">
        <f t="shared" si="8"/>
        <v>Aqui</v>
      </c>
      <c r="S93" s="75" t="s">
        <v>676</v>
      </c>
    </row>
    <row r="94">
      <c r="A94" s="11">
        <v>92.0</v>
      </c>
      <c r="B94" s="11" t="s">
        <v>485</v>
      </c>
      <c r="C94" s="12" t="str">
        <f>IFERROR(__xludf.DUMMYFUNCTION("IF(B94="""","""",IF(OR(
  REGEXMATCH(B94,""Performance|Instalação|Álbum|Música|Poema|Livro|Filme|Documentário|Recitação|Espetáculo|Peça|Intervenção|Desfile|Fotografia|Exposição|Charge|Grafite|Leitura pública|Fabricação de cachaça artesanal""),
  REGEXMATC"&amp;"H(B94,""dança|teatral|artístico|musical|artística"")
),""Manifestação artístico-cultural"",
IF(OR(
  REGEXMATCH(B94,""Crônica|Série|Reportagem|Podcast|Audiotour|Entrevista|Vídeo|Rádio""),
  REGEXMATCH(B94,""midiática"")
),""Produção midiática"","""")))
"),"Manifestação artístico-cultural")</f>
        <v>Manifestação artístico-cultural</v>
      </c>
      <c r="D94" s="13" t="str">
        <f>IFERROR(__xludf.DUMMYFUNCTION("IF(B94="""","""",IF(OR(
  REGEXMATCH(B94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REGEXMATCH(B94,""público|Imediato|artística|teatral|memória"")
),""Público Imediato"",
IF(REGEXMATCH(B94,""Música|Álbum|Filme|Documentário|Série|Podcast|"&amp;"Rádio|Audiotour|Entrevista|Reportagem|Crônica|Relatório|Abaixo-assinado|Manifesto|Petição|Poema|Livro|Fotografia|Curta|Live|Webinário|Charge|Leitura pública|Vídeo""),
""Público Mediado"","""")))
"),"Público Imediato")</f>
        <v>Público Imediato</v>
      </c>
      <c r="E94" s="13" t="str">
        <f>IFERROR(__xludf.DUMMYFUNCTION("IF(B94="""","""",IF(OR(
  REGEXMATCH(B94,""Live|Webinário|Virtual""),
  REGEXMATCH(B94,""online"")
),""Virtual"",
IF(REGEXMATCH(B94,""Música|Álbum|Filme|Documentário|Série|Podcast|Rádio|Audiotour|Episódio|Reportagem|Curta|Charge|Livro|Vídeo|Entrevista""),"&amp;"
""Midiático"",
IF(REGEXMATCH(B94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4" s="183">
        <v>41982.0</v>
      </c>
      <c r="G94" s="15">
        <f t="shared" si="1"/>
        <v>2014</v>
      </c>
      <c r="H94" s="11" t="s">
        <v>603</v>
      </c>
      <c r="I94" s="18" t="s">
        <v>677</v>
      </c>
      <c r="J94" s="17" t="s">
        <v>678</v>
      </c>
      <c r="K94" s="16" t="s">
        <v>233</v>
      </c>
      <c r="L94" s="18" t="s">
        <v>489</v>
      </c>
      <c r="M94" s="15" t="str">
        <f>IFERROR(__xludf.DUMMYFUNCTION("IF(REGEXMATCH(S94, ""Companhia das Letras""), ""Companhia das Letras"",
IF(REGEXMATCH(S94, ""Labortexto Editorial""), ""Labortexto Editorial"",
IF(REGEXMATCH(S94, ""Geração Editorial""), ""Geração Editorial"",
IF(REGEXMATCH(S94, ""Editora Imprensa Oficial"&amp;"|Imprensa Oficial""), ""Editora Imprensa Oficial"",
IF(REGEXMATCH(S94, ""Folha Online""), ""Folha Online"",
IF(REGEXMATCH(S94, ""FGV DIREITO SP|FGV Direito SP""), ""FGV DIREITO SP"",
IF(REGEXMATCH(S94, ""massacrecarandiru\.org\.br""), ""Memória Massacre C"&amp;"arandiru"",
IF(REGEXMATCH(S94, ""Itaú Cultural""), ""YouTube (Itaú Cultural)"",
IF(REGEXMATCH(S94, ""Passa Palavra""), ""Vimeo (Passa Palavra)"",
IF(REGEXMATCH(S94, ""rede2deoutubro\.blogspot""), ""Blogspot (Rede 02 de Outubro)"",
IF(REGEXMATCH(S94, ""Red"&amp;"e TVT""), ""YouTube (Rede TVT)"",
IF(REGEXMATCH(S94, ""Esquerda Diário""), ""Esquerda Diário"",
IF(REGEXMATCH(S94, ""GZH""), ""GZH"",
IF(REGEXMATCH(S94, ""TVPUC""), ""TVPUC"",
IF(REGEXMATCH(S94, ""Mídia Ninja.*Facebook""), ""Facebook (Mídia Ninja)"",
IF(R"&amp;"EGEXMATCH(S94, ""Memórias Carandiru.*Instagram""), ""Instagram (Memórias Carandiru)"",
IF(REGEXMATCH(S94, ""Frente pelo Desencarceramento SP""), ""YouTube (Frente Pelo Desencarceramento SP)"",
IF(REGEXMATCH(S94, ""TV ABA""), ""YouTube (TV ABA)"",
IF(REGEX"&amp;"MATCH(S94, ""TV SENADO""), ""YouTube (TV Senado)"",
IF(REGEXMATCH(S94, ""Google Arts &amp; Culture""), ""Google Arts &amp; Culture (Memória Massacre Carandiru)"",
IF(REGEXMATCH(S94, ""Anistia Internacional|ANISTIA INTERNACIONAL""), ""Anistia Internacional"",
IF(R"&amp;"EGEXMATCH(S94, ""47\.mostra|47a Mostra""), ""47a Mostra Internacional de Cinema em São Paulo"",
IF(REGEXMATCH(S94, ""Canal USP""), ""YouTube (Canal USP)"",
IF(AND(
  REGEXMATCH(S94, ""(?i)(teses?\.usp\.br|dissertacoes?\.usp\.br|repositorio\.usp\.br)""),
 "&amp;" NOT(REGEXMATCH(S94, ""Canal USP""))
), ""Biblioteca Digital de Teses e Dissertações da USP"",
IF(REGEXMATCH(S94, ""SINTRAJUSC""), ""SINTRAJUSC"",
IF(REGEXMATCH(S94, ""Agência Brasil|Agencia Brasil""), ""Agência Brasil"",
IF(REGEXMATCH(S94, ""Brasil de Fa"&amp;"to""), ""Brasil de Fato"",
IF(REGEXMATCH(S94, ""Ponte Jornalismo|pontejornalismo""), ""Ponte Jornalismo"",
IF(REGEXMATCH(S94, ""letras\.mus\.br|Letras,""), ""Letras"",
IF(REGEXMATCH(S94, ""YouTube|youtube""), 
   ""YouTube (""&amp;
   IF(REGEXMATCH(S94, ""It"&amp;"aú Cultural""), ""Itaú Cultural"",
   IF(REGEXMATCH(S94, ""Rede TVT""), ""Rede TVT"",
   IF(REGEXMATCH(S94, ""Frente pelo Desencarceramento SP""), ""Frente Pelo Desencarceramento SP"",
   IF(REGEXMATCH(S94, ""TV ABA""), ""TV ABA"",
   IF(REGEXMATCH(S94, "&amp;"""TV SENADO""), ""TV Senado"",
   IF(REGEXMATCH(S94, ""Canal USP""), ""Canal USP"",
   IF(REGEXMATCH(S94, ""Douer, Zack|Zack Douer""), ""Douer Zack"",
   IF(REGEXMATCH(S94, ""PRISIONEIRO 84\.901|PRISIONEIRO 84""), ""Prisioneiro 84.901"",
   IF(REGEXMATCH("&amp;"S94, ""^[^,]*, ""), 
        PROPER(REGEXREPLACE(REGEXEXTRACT(S94, ""^([^.]*)\.""), ""^([^,]*), (.*)"", ""$2 $1"")),
        PROPER(REGEXEXTRACT(S94, ""^([^.]*)\.""))
   )))))))))&amp;"")"",
IF(REGEXMATCH(S94, ""Spotify|spotify""), 
   ""Spotify (""&amp;
   IF(R"&amp;"EGEXMATCH(S94, ""ESTRANHO SORRISO""), ""Estranho Sorriso"",
   PROPER(REGEXEXTRACT(S94, ""^([^.]*)\.""))
   )&amp;"")"",
IF(REGEXMATCH(S94, ""Vimeo|vimeo""), 
   ""Vimeo (""&amp;
   IF(REGEXMATCH(S94, ""Passa Palavra""), ""Passa Palavra"",
   PROPER(REGEXEXTRACT"&amp;"(S94, ""^([^.]*)\.""))
   )&amp;"")"",
IF(REGEXMATCH(S94, ""Blogspot""), 
   ""Blogspot (""&amp;
   IF(REGEXMATCH(S94, ""rede2deoutubro""), ""Rede 02 de Outubro"",
   PROPER(REGEXEXTRACT(S94, ""^([^.]*)\.""))
   )&amp;"")"",
IF(REGEXMATCH(S94, ""Facebook""), 
   """&amp;"Facebook (""&amp;
   IF(REGEXMATCH(S94, ""Mídia Ninja""), ""Mídia Ninja"",
   PROPER(REGEXEXTRACT(S94, ""^([^.]*)\.""))
   )&amp;"")"",
IF(REGEXMATCH(S94, ""Instagram""), 
   ""Instagram (""&amp;
   IF(REGEXMATCH(S94, ""Memórias Carandiru""), ""Memórias Carandiru"","&amp;"
   PROPER(REGEXEXTRACT(S94, ""^([^.]*)\.""))
   )&amp;"")"",
IF(REGEXMATCH(S94, ""Folha de S\. Paulo|FOLHA DE S\. PAULO""), ""Folha de S. Paulo"",
IF(REGEXMATCH(S94, ""O Estado de S\. Paulo|ESTADAO""), ""O Estado de S. Paulo"",
IF(REGEXMATCH(S94, ""salasecr"&amp;"eta""), ""Wordpress (Sala Secreta)"",
IF(REGEXMATCH(S94, ""Wikipedia|Wikipédia|WIKIPÉDIA""), ""Wikipedia"",
IF(REGEXMATCH(S94, ""VEJA|Veja""), ""Veja Abril"",
IF(REGEXMATCH(S365, ""Rede Globo|REDE GLOBO""), ""Rede Globo"",
IF(REGEXMATCH(S365, ""G1|globo\."&amp;"com""), ""G1"",
IF(REGEXMATCH(S94, ""Deutsche Welle|DW\.com""), ""Deutsche Welle"",
IF(REGEXMATCH(S94, ""CIDH|Comissão Interamericana""), ""Comissão Interamericana de Direitos Humanos (CIDH)"",
IF(REGEXMATCH(S94, ""Pastoral Carcerária""), ""Pastoral Carce"&amp;"rária"",
IF(REGEXMATCH(S94, ""Esquerda Web""), ""Esquerda Web"",
IF(REGEXMATCH(S94, ""ONU|Organização das Nações Unidas""), ""ONU Brasil"",
IF(REGEXMATCH(S94, ""Quilombo Invisível""), ""Quilombo Invisível"",
IF(REGEXMATCH(S94, ""ALESP|Assembleia Legislati"&amp;"va""), ""ALESP"",
IF(REGEXMATCH(S94, ""Revista Opera""), ""Revista Opera"",
IF(REGEXMATCH(S94, ""SP Escola de Teatro""), ""SP Escola de Teatro"",
IF(REGEXMATCH(S94, ""EMC|Espaço Memória Carandiru""), ""EMC Espaço Memória Carandiru"",
IF(REGEXMATCH(S94, "&amp;"""^RAMOS, Nuno|Nuno Ramos""), ""Nuno Ramos"",
IF(REGEXMATCH(S94, ""^VELOSO, Caetano|Caetano Veloso""), ""YouTube (Caetano Veloso)"",
IF(REGEXMATCH(S94, ""^FATOS REAIS""), ""YouTube (Fatos Reais - Topic)"",
IF(REGEXMATCH(S94, ""^SALA SECRETA""), ""Wordpres"&amp;"s (Sala Secreta)"",
PROPER(REGEXEXTRACT(S94, ""^([^.]*)\.""))
))))))))))))))))))))))))))))))))))))))))))))))))))))))))"),"Casas Do Brasil 2014 – Sobrevivências: Uma Exposição Sobre Vivências: Carandiru")</f>
        <v>Casas Do Brasil 2014 – Sobrevivências: Uma Exposição Sobre Vivências: Carandiru</v>
      </c>
      <c r="N94" s="11" t="s">
        <v>47</v>
      </c>
      <c r="O94" s="11" t="s">
        <v>221</v>
      </c>
      <c r="P94" s="51">
        <v>45854.0</v>
      </c>
      <c r="Q94" s="11" t="s">
        <v>154</v>
      </c>
      <c r="R94" s="70" t="str">
        <f t="shared" si="8"/>
        <v>Aqui</v>
      </c>
      <c r="S94" s="75" t="s">
        <v>679</v>
      </c>
    </row>
    <row r="95" ht="109.5" customHeight="1">
      <c r="A95" s="11">
        <v>93.0</v>
      </c>
      <c r="B95" s="11" t="str">
        <f>IFERROR(__xludf.DUMMYFUNCTION("REGEXEXTRACT(S95, ""\[(.*?)\]"")"),"Documentário")</f>
        <v>Documentário</v>
      </c>
      <c r="C95" s="12" t="str">
        <f>IFERROR(__xludf.DUMMYFUNCTION("IF(B95="""","""",IF(OR(
  REGEXMATCH(B95,""Performance|Instalação|Álbum|Música|Poema|Livro|Filme|Documentário|Recitação|Espetáculo|Peça|Intervenção|Desfile|Fotografia|Exposição|Charge|Grafite|Leitura pública|Fabricação de cachaça artesanal""),
  REGEXMATC"&amp;"H(B95,""dança|teatral|artístico|musical|artística"")
),""Manifestação artístico-cultural"",
IF(OR(
  REGEXMATCH(B95,""Crônica|Série|Reportagem|Podcast|Audiotour|Entrevista|Vídeo|Rádio""),
  REGEXMATCH(B95,""midiática"")
),""Produção midiática"","""")))
"),"Manifestação artístico-cultural")</f>
        <v>Manifestação artístico-cultural</v>
      </c>
      <c r="D95" s="13" t="str">
        <f>IFERROR(__xludf.DUMMYFUNCTION("IF(B95="""","""",IF(OR(
  REGEXMATCH(B95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REGEXMATCH(B95,""público|Imediato|artística|teatral|memória"")
),""Público Imediato"",
IF(REGEXMATCH(B95,""Música|Álbum|Filme|Documentário|Série|Podcast|"&amp;"Rádio|Audiotour|Entrevista|Reportagem|Crônica|Relatório|Abaixo-assinado|Manifesto|Petição|Poema|Livro|Fotografia|Curta|Live|Webinário|Charge|Leitura pública|Vídeo""),
""Público Mediado"","""")))
"),"Público Mediado")</f>
        <v>Público Mediado</v>
      </c>
      <c r="E95" s="13" t="str">
        <f>IFERROR(__xludf.DUMMYFUNCTION("IF(B95="""","""",IF(OR(
  REGEXMATCH(B95,""Live|Webinário|Virtual""),
  REGEXMATCH(B95,""online"")
),""Virtual"",
IF(REGEXMATCH(B95,""Música|Álbum|Filme|Documentário|Série|Podcast|Rádio|Audiotour|Episódio|Reportagem|Curta|Charge|Livro|Vídeo|Entrevista""),"&amp;"
""Midiático"",
IF(REGEXMATCH(B95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95" s="201">
        <v>41722.0</v>
      </c>
      <c r="G95" s="15">
        <f t="shared" si="1"/>
        <v>2014</v>
      </c>
      <c r="H95" s="14" t="s">
        <v>23</v>
      </c>
      <c r="I95" s="18" t="s">
        <v>680</v>
      </c>
      <c r="J95" s="202" t="str">
        <f>IFERROR(__xludf.DUMMYFUNCTION("REGEXEXTRACT(S95, ""\.\s(.*?)(?:\.|–)"")"),"Gil Gomes conta fatos inéditos do massacre no Carandiru")</f>
        <v>Gil Gomes conta fatos inéditos do massacre no Carandiru</v>
      </c>
      <c r="K95" s="16" t="s">
        <v>83</v>
      </c>
      <c r="L95" s="18" t="s">
        <v>329</v>
      </c>
      <c r="M95" s="15" t="str">
        <f>IFERROR(__xludf.DUMMYFUNCTION("IF(REGEXMATCH(S95, ""Companhia das Letras""), ""Companhia das Letras"",
IF(REGEXMATCH(S95, ""Labortexto Editorial""), ""Labortexto Editorial"",
IF(REGEXMATCH(S95, ""Geração Editorial""), ""Geração Editorial"",
IF(REGEXMATCH(S95, ""Editora Imprensa Oficial"&amp;"|Imprensa Oficial""), ""Editora Imprensa Oficial"",
IF(REGEXMATCH(S95, ""Folha Online""), ""Folha Online"",
IF(REGEXMATCH(S95, ""FGV DIREITO SP|FGV Direito SP""), ""FGV DIREITO SP"",
IF(REGEXMATCH(S95, ""massacrecarandiru\.org\.br""), ""Memória Massacre C"&amp;"arandiru"",
IF(REGEXMATCH(S95, ""Itaú Cultural""), ""YouTube (Itaú Cultural)"",
IF(REGEXMATCH(S95, ""Passa Palavra""), ""Vimeo (Passa Palavra)"",
IF(REGEXMATCH(S95, ""rede2deoutubro\.blogspot""), ""Blogspot (Rede 02 de Outubro)"",
IF(REGEXMATCH(S95, ""Red"&amp;"e TVT""), ""YouTube (Rede TVT)"",
IF(REGEXMATCH(S95, ""Esquerda Diário""), ""Esquerda Diário"",
IF(REGEXMATCH(S95, ""GZH""), ""GZH"",
IF(REGEXMATCH(S95, ""TVPUC""), ""TVPUC"",
IF(REGEXMATCH(S95, ""Mídia Ninja.*Facebook""), ""Facebook (Mídia Ninja)"",
IF(R"&amp;"EGEXMATCH(S95, ""Memórias Carandiru.*Instagram""), ""Instagram (Memórias Carandiru)"",
IF(REGEXMATCH(S95, ""Frente pelo Desencarceramento SP""), ""YouTube (Frente Pelo Desencarceramento SP)"",
IF(REGEXMATCH(S95, ""TV ABA""), ""YouTube (TV ABA)"",
IF(REGEX"&amp;"MATCH(S95, ""TV SENADO""), ""YouTube (TV Senado)"",
IF(REGEXMATCH(S95, ""Google Arts &amp; Culture""), ""Google Arts &amp; Culture (Memória Massacre Carandiru)"",
IF(REGEXMATCH(S95, ""Anistia Internacional|ANISTIA INTERNACIONAL""), ""Anistia Internacional"",
IF(R"&amp;"EGEXMATCH(S95, ""47\.mostra|47a Mostra""), ""47a Mostra Internacional de Cinema em São Paulo"",
IF(REGEXMATCH(S95, ""Canal USP""), ""YouTube (Canal USP)"",
IF(AND(
  REGEXMATCH(S95, ""(?i)(teses?\.usp\.br|dissertacoes?\.usp\.br|repositorio\.usp\.br)""),
 "&amp;" NOT(REGEXMATCH(S95, ""Canal USP""))
), ""Biblioteca Digital de Teses e Dissertações da USP"",
IF(REGEXMATCH(S95, ""SINTRAJUSC""), ""SINTRAJUSC"",
IF(REGEXMATCH(S95, ""Agência Brasil|Agencia Brasil""), ""Agência Brasil"",
IF(REGEXMATCH(S95, ""Brasil de Fa"&amp;"to""), ""Brasil de Fato"",
IF(REGEXMATCH(S95, ""Ponte Jornalismo|pontejornalismo""), ""Ponte Jornalismo"",
IF(REGEXMATCH(S95, ""letras\.mus\.br|Letras,""), ""Letras"",
IF(REGEXMATCH(S95, ""YouTube|youtube""), 
   ""YouTube (""&amp;
   IF(REGEXMATCH(S95, ""It"&amp;"aú Cultural""), ""Itaú Cultural"",
   IF(REGEXMATCH(S95, ""Rede TVT""), ""Rede TVT"",
   IF(REGEXMATCH(S95, ""Frente pelo Desencarceramento SP""), ""Frente Pelo Desencarceramento SP"",
   IF(REGEXMATCH(S95, ""TV ABA""), ""TV ABA"",
   IF(REGEXMATCH(S95, "&amp;"""TV SENADO""), ""TV Senado"",
   IF(REGEXMATCH(S95, ""Canal USP""), ""Canal USP"",
   IF(REGEXMATCH(S95, ""Douer, Zack|Zack Douer""), ""Douer Zack"",
   IF(REGEXMATCH(S95, ""PRISIONEIRO 84\.901|PRISIONEIRO 84""), ""Prisioneiro 84.901"",
   IF(REGEXMATCH("&amp;"S95, ""^[^,]*, ""), 
        PROPER(REGEXREPLACE(REGEXEXTRACT(S95, ""^([^.]*)\.""), ""^([^,]*), (.*)"", ""$2 $1"")),
        PROPER(REGEXEXTRACT(S95, ""^([^.]*)\.""))
   )))))))))&amp;"")"",
IF(REGEXMATCH(S95, ""Spotify|spotify""), 
   ""Spotify (""&amp;
   IF(R"&amp;"EGEXMATCH(S95, ""ESTRANHO SORRISO""), ""Estranho Sorriso"",
   PROPER(REGEXEXTRACT(S95, ""^([^.]*)\.""))
   )&amp;"")"",
IF(REGEXMATCH(S95, ""Vimeo|vimeo""), 
   ""Vimeo (""&amp;
   IF(REGEXMATCH(S95, ""Passa Palavra""), ""Passa Palavra"",
   PROPER(REGEXEXTRACT"&amp;"(S95, ""^([^.]*)\.""))
   )&amp;"")"",
IF(REGEXMATCH(S95, ""Blogspot""), 
   ""Blogspot (""&amp;
   IF(REGEXMATCH(S95, ""rede2deoutubro""), ""Rede 02 de Outubro"",
   PROPER(REGEXEXTRACT(S95, ""^([^.]*)\.""))
   )&amp;"")"",
IF(REGEXMATCH(S95, ""Facebook""), 
   """&amp;"Facebook (""&amp;
   IF(REGEXMATCH(S95, ""Mídia Ninja""), ""Mídia Ninja"",
   PROPER(REGEXEXTRACT(S95, ""^([^.]*)\.""))
   )&amp;"")"",
IF(REGEXMATCH(S95, ""Instagram""), 
   ""Instagram (""&amp;
   IF(REGEXMATCH(S95, ""Memórias Carandiru""), ""Memórias Carandiru"","&amp;"
   PROPER(REGEXEXTRACT(S95, ""^([^.]*)\.""))
   )&amp;"")"",
IF(REGEXMATCH(S95, ""Folha de S\. Paulo|FOLHA DE S\. PAULO""), ""Folha de S. Paulo"",
IF(REGEXMATCH(S95, ""O Estado de S\. Paulo|ESTADAO""), ""O Estado de S. Paulo"",
IF(REGEXMATCH(S95, ""salasecr"&amp;"eta""), ""Wordpress (Sala Secreta)"",
IF(REGEXMATCH(S95, ""Wikipedia|Wikipédia|WIKIPÉDIA""), ""Wikipedia"",
IF(REGEXMATCH(S95, ""VEJA|Veja""), ""Veja Abril"",
IF(REGEXMATCH(S366, ""Rede Globo|REDE GLOBO""), ""Rede Globo"",
IF(REGEXMATCH(S366, ""G1|globo\."&amp;"com""), ""G1"",
IF(REGEXMATCH(S95, ""Deutsche Welle|DW\.com""), ""Deutsche Welle"",
IF(REGEXMATCH(S95, ""CIDH|Comissão Interamericana""), ""Comissão Interamericana de Direitos Humanos (CIDH)"",
IF(REGEXMATCH(S95, ""Pastoral Carcerária""), ""Pastoral Carce"&amp;"rária"",
IF(REGEXMATCH(S95, ""Esquerda Web""), ""Esquerda Web"",
IF(REGEXMATCH(S95, ""ONU|Organização das Nações Unidas""), ""ONU Brasil"",
IF(REGEXMATCH(S95, ""Quilombo Invisível""), ""Quilombo Invisível"",
IF(REGEXMATCH(S95, ""ALESP|Assembleia Legislati"&amp;"va""), ""ALESP"",
IF(REGEXMATCH(S95, ""Revista Opera""), ""Revista Opera"",
IF(REGEXMATCH(S95, ""SP Escola de Teatro""), ""SP Escola de Teatro"",
IF(REGEXMATCH(S95, ""EMC|Espaço Memória Carandiru""), ""EMC Espaço Memória Carandiru"",
IF(REGEXMATCH(S95, "&amp;"""^RAMOS, Nuno|Nuno Ramos""), ""Nuno Ramos"",
IF(REGEXMATCH(S95, ""^VELOSO, Caetano|Caetano Veloso""), ""YouTube (Caetano Veloso)"",
IF(REGEXMATCH(S95, ""^FATOS REAIS""), ""YouTube (Fatos Reais - Topic)"",
IF(REGEXMATCH(S95, ""^SALA SECRETA""), ""Wordpres"&amp;"s (Sala Secreta)"",
PROPER(REGEXEXTRACT(S95, ""^([^.]*)\.""))
))))))))))))))))))))))))))))))))))))))))))))))))))))))))"),"YouTube (José Luiz)")</f>
        <v>YouTube (José Luiz)</v>
      </c>
      <c r="N95" s="11" t="s">
        <v>47</v>
      </c>
      <c r="O95" s="11" t="s">
        <v>221</v>
      </c>
      <c r="P95" s="186">
        <v>45940.0</v>
      </c>
      <c r="Q95" s="11" t="s">
        <v>154</v>
      </c>
      <c r="R95" s="70" t="str">
        <f t="shared" si="8"/>
        <v>Aqui</v>
      </c>
      <c r="S95" s="172" t="s">
        <v>681</v>
      </c>
    </row>
    <row r="96" ht="87.0" customHeight="1">
      <c r="A96" s="11">
        <v>94.0</v>
      </c>
      <c r="B96" s="11" t="str">
        <f>IFERROR(__xludf.DUMMYFUNCTION("REGEXEXTRACT(S96, ""\[(.*?)\]"")"),"Documento")</f>
        <v>Documento</v>
      </c>
      <c r="C96" s="122" t="s">
        <v>165</v>
      </c>
      <c r="D96" s="13" t="str">
        <f>IFERROR(__xludf.DUMMYFUNCTION("IF(B96="""","""",IF(OR(
  REGEXMATCH(B96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REGEXMATCH(B96,""público|Imediato|artística|teatral|memória"")
),""Público Imediato"",
IF(REGEXMATCH(B96,""Música|Álbum|Filme|Documentário|Série|Podcast|"&amp;"Rádio|Audiotour|Entrevista|Reportagem|Crônica|Relatório|Abaixo-assinado|Manifesto|Petição|Poema|Livro|Fotografia|Curta|Live|Webinário|Charge|Leitura pública|Vídeo""),
""Público Mediado"","""")))
"),"")</f>
        <v/>
      </c>
      <c r="E96" s="13" t="str">
        <f>IFERROR(__xludf.DUMMYFUNCTION("IF(B96="""","""",IF(OR(
  REGEXMATCH(B96,""Live|Webinário|Virtual""),
  REGEXMATCH(B96,""online"")
),""Virtual"",
IF(REGEXMATCH(B96,""Música|Álbum|Filme|Documentário|Série|Podcast|Rádio|Audiotour|Episódio|Reportagem|Curta|Charge|Livro|Vídeo|Entrevista""),"&amp;"
""Midiático"",
IF(REGEXMATCH(B96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96" s="14">
        <v>2014.0</v>
      </c>
      <c r="G96" s="15">
        <f t="shared" si="1"/>
        <v>2014</v>
      </c>
      <c r="H96" s="14" t="s">
        <v>23</v>
      </c>
      <c r="I96" s="203" t="s">
        <v>498</v>
      </c>
      <c r="J96" s="202" t="str">
        <f>IFERROR(__xludf.DUMMYFUNCTION("REGEXEXTRACT(S96, ""\.\s(.*?)(?:\.|–)"")"),"Nome das 111 vítimas")</f>
        <v>Nome das 111 vítimas</v>
      </c>
      <c r="K96" s="16" t="s">
        <v>233</v>
      </c>
      <c r="L96" s="18" t="s">
        <v>325</v>
      </c>
      <c r="M96" s="15" t="str">
        <f>IFERROR(__xludf.DUMMYFUNCTION("IF(REGEXMATCH(S96, ""Companhia das Letras""), ""Companhia das Letras"",
IF(REGEXMATCH(S96, ""Labortexto Editorial""), ""Labortexto Editorial"",
IF(REGEXMATCH(S96, ""Geração Editorial""), ""Geração Editorial"",
IF(REGEXMATCH(S96, ""Editora Imprensa Oficial"&amp;"|Imprensa Oficial""), ""Editora Imprensa Oficial"",
IF(REGEXMATCH(S96, ""Folha Online""), ""Folha Online"",
IF(REGEXMATCH(S96, ""FGV DIREITO SP|FGV Direito SP""), ""FGV DIREITO SP"",
IF(REGEXMATCH(S96, ""massacrecarandiru\.org\.br""), ""Memória Massacre C"&amp;"arandiru"",
IF(REGEXMATCH(S96, ""Itaú Cultural""), ""YouTube (Itaú Cultural)"",
IF(REGEXMATCH(S96, ""Passa Palavra""), ""Vimeo (Passa Palavra)"",
IF(REGEXMATCH(S96, ""rede2deoutubro\.blogspot""), ""Blogspot (Rede 02 de Outubro)"",
IF(REGEXMATCH(S96, ""Red"&amp;"e TVT""), ""YouTube (Rede TVT)"",
IF(REGEXMATCH(S96, ""Esquerda Diário""), ""Esquerda Diário"",
IF(REGEXMATCH(S96, ""GZH""), ""GZH"",
IF(REGEXMATCH(S96, ""TVPUC""), ""TVPUC"",
IF(REGEXMATCH(S96, ""Mídia Ninja.*Facebook""), ""Facebook (Mídia Ninja)"",
IF(R"&amp;"EGEXMATCH(S96, ""Memórias Carandiru.*Instagram""), ""Instagram (Memórias Carandiru)"",
IF(REGEXMATCH(S96, ""Frente pelo Desencarceramento SP""), ""YouTube (Frente Pelo Desencarceramento SP)"",
IF(REGEXMATCH(S96, ""TV ABA""), ""YouTube (TV ABA)"",
IF(REGEX"&amp;"MATCH(S96, ""TV SENADO""), ""YouTube (TV Senado)"",
IF(REGEXMATCH(S96, ""Google Arts &amp; Culture""), ""Google Arts &amp; Culture (Memória Massacre Carandiru)"",
IF(REGEXMATCH(S96, ""Anistia Internacional|ANISTIA INTERNACIONAL""), ""Anistia Internacional"",
IF(R"&amp;"EGEXMATCH(S96, ""47\.mostra|47a Mostra""), ""47a Mostra Internacional de Cinema em São Paulo"",
IF(REGEXMATCH(S96, ""Canal USP""), ""YouTube (Canal USP)"",
IF(AND(
  REGEXMATCH(S96, ""(?i)(teses?\.usp\.br|dissertacoes?\.usp\.br|repositorio\.usp\.br)""),
 "&amp;" NOT(REGEXMATCH(S96, ""Canal USP""))
), ""Biblioteca Digital de Teses e Dissertações da USP"",
IF(REGEXMATCH(S96, ""SINTRAJUSC""), ""SINTRAJUSC"",
IF(REGEXMATCH(S96, ""Agência Brasil|Agencia Brasil""), ""Agência Brasil"",
IF(REGEXMATCH(S96, ""Brasil de Fa"&amp;"to""), ""Brasil de Fato"",
IF(REGEXMATCH(S96, ""Ponte Jornalismo|pontejornalismo""), ""Ponte Jornalismo"",
IF(REGEXMATCH(S96, ""letras\.mus\.br|Letras,""), ""Letras"",
IF(REGEXMATCH(S96, ""YouTube|youtube""), 
   ""YouTube (""&amp;
   IF(REGEXMATCH(S96, ""It"&amp;"aú Cultural""), ""Itaú Cultural"",
   IF(REGEXMATCH(S96, ""Rede TVT""), ""Rede TVT"",
   IF(REGEXMATCH(S96, ""Frente pelo Desencarceramento SP""), ""Frente Pelo Desencarceramento SP"",
   IF(REGEXMATCH(S96, ""TV ABA""), ""TV ABA"",
   IF(REGEXMATCH(S96, "&amp;"""TV SENADO""), ""TV Senado"",
   IF(REGEXMATCH(S96, ""Canal USP""), ""Canal USP"",
   IF(REGEXMATCH(S96, ""Douer, Zack|Zack Douer""), ""Douer Zack"",
   IF(REGEXMATCH(S96, ""PRISIONEIRO 84\.901|PRISIONEIRO 84""), ""Prisioneiro 84.901"",
   IF(REGEXMATCH("&amp;"S96, ""^[^,]*, ""), 
        PROPER(REGEXREPLACE(REGEXEXTRACT(S96, ""^([^.]*)\.""), ""^([^,]*), (.*)"", ""$2 $1"")),
        PROPER(REGEXEXTRACT(S96, ""^([^.]*)\.""))
   )))))))))&amp;"")"",
IF(REGEXMATCH(S96, ""Spotify|spotify""), 
   ""Spotify (""&amp;
   IF(R"&amp;"EGEXMATCH(S96, ""ESTRANHO SORRISO""), ""Estranho Sorriso"",
   PROPER(REGEXEXTRACT(S96, ""^([^.]*)\.""))
   )&amp;"")"",
IF(REGEXMATCH(S96, ""Vimeo|vimeo""), 
   ""Vimeo (""&amp;
   IF(REGEXMATCH(S96, ""Passa Palavra""), ""Passa Palavra"",
   PROPER(REGEXEXTRACT"&amp;"(S96, ""^([^.]*)\.""))
   )&amp;"")"",
IF(REGEXMATCH(S96, ""Blogspot""), 
   ""Blogspot (""&amp;
   IF(REGEXMATCH(S96, ""rede2deoutubro""), ""Rede 02 de Outubro"",
   PROPER(REGEXEXTRACT(S96, ""^([^.]*)\.""))
   )&amp;"")"",
IF(REGEXMATCH(S96, ""Facebook""), 
   """&amp;"Facebook (""&amp;
   IF(REGEXMATCH(S96, ""Mídia Ninja""), ""Mídia Ninja"",
   PROPER(REGEXEXTRACT(S96, ""^([^.]*)\.""))
   )&amp;"")"",
IF(REGEXMATCH(S96, ""Instagram""), 
   ""Instagram (""&amp;
   IF(REGEXMATCH(S96, ""Memórias Carandiru""), ""Memórias Carandiru"","&amp;"
   PROPER(REGEXEXTRACT(S96, ""^([^.]*)\.""))
   )&amp;"")"",
IF(REGEXMATCH(S96, ""Folha de S\. Paulo|FOLHA DE S\. PAULO""), ""Folha de S. Paulo"",
IF(REGEXMATCH(S96, ""O Estado de S\. Paulo|ESTADAO""), ""O Estado de S. Paulo"",
IF(REGEXMATCH(S96, ""salasecr"&amp;"eta""), ""Wordpress (Sala Secreta)"",
IF(REGEXMATCH(S96, ""Wikipedia|Wikipédia|WIKIPÉDIA""), ""Wikipedia"",
IF(REGEXMATCH(S96, ""VEJA|Veja""), ""Veja Abril"",
IF(REGEXMATCH(S367, ""Rede Globo|REDE GLOBO""), ""Rede Globo"",
IF(REGEXMATCH(S367, ""G1|globo\."&amp;"com""), ""G1"",
IF(REGEXMATCH(S96, ""Deutsche Welle|DW\.com""), ""Deutsche Welle"",
IF(REGEXMATCH(S96, ""CIDH|Comissão Interamericana""), ""Comissão Interamericana de Direitos Humanos (CIDH)"",
IF(REGEXMATCH(S96, ""Pastoral Carcerária""), ""Pastoral Carce"&amp;"rária"",
IF(REGEXMATCH(S96, ""Esquerda Web""), ""Esquerda Web"",
IF(REGEXMATCH(S96, ""ONU|Organização das Nações Unidas""), ""ONU Brasil"",
IF(REGEXMATCH(S96, ""Quilombo Invisível""), ""Quilombo Invisível"",
IF(REGEXMATCH(S96, ""ALESP|Assembleia Legislati"&amp;"va""), ""ALESP"",
IF(REGEXMATCH(S96, ""Revista Opera""), ""Revista Opera"",
IF(REGEXMATCH(S96, ""SP Escola de Teatro""), ""SP Escola de Teatro"",
IF(REGEXMATCH(S96, ""EMC|Espaço Memória Carandiru""), ""EMC Espaço Memória Carandiru"",
IF(REGEXMATCH(S96, "&amp;"""^RAMOS, Nuno|Nuno Ramos""), ""Nuno Ramos"",
IF(REGEXMATCH(S96, ""^VELOSO, Caetano|Caetano Veloso""), ""YouTube (Caetano Veloso)"",
IF(REGEXMATCH(S96, ""^FATOS REAIS""), ""YouTube (Fatos Reais - Topic)"",
IF(REGEXMATCH(S96, ""^SALA SECRETA""), ""Wordpres"&amp;"s (Sala Secreta)"",
PROPER(REGEXEXTRACT(S96, ""^([^.]*)\.""))
))))))))))))))))))))))))))))))))))))))))))))))))))))))))"),"Memória Massacre Carandiru")</f>
        <v>Memória Massacre Carandiru</v>
      </c>
      <c r="N96" s="11" t="s">
        <v>47</v>
      </c>
      <c r="O96" s="11" t="s">
        <v>221</v>
      </c>
      <c r="P96" s="186">
        <v>45940.0</v>
      </c>
      <c r="Q96" s="11" t="s">
        <v>154</v>
      </c>
      <c r="R96" s="70" t="str">
        <f t="shared" si="8"/>
        <v>Aqui</v>
      </c>
      <c r="S96" s="172" t="s">
        <v>682</v>
      </c>
    </row>
    <row r="97">
      <c r="A97" s="11">
        <v>95.0</v>
      </c>
      <c r="B97" s="11" t="s">
        <v>683</v>
      </c>
      <c r="C97" s="122" t="s">
        <v>165</v>
      </c>
      <c r="D97" s="13" t="str">
        <f>IFERROR(__xludf.DUMMYFUNCTION("IF(B97="""","""",IF(OR(
  REGEXMATCH(B97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REGEXMATCH(B97,""público|Imediato|artística|teatral|memória"")
),""Público Imediato"",
IF(REGEXMATCH(B97,""Música|Álbum|Filme|Documentário|Série|Podcast|"&amp;"Rádio|Audiotour|Entrevista|Reportagem|Crônica|Relatório|Abaixo-assinado|Manifesto|Petição|Poema|Livro|Fotografia|Curta|Live|Webinário|Charge|Leitura pública|Vídeo""),
""Público Mediado"","""")))
"),"Público Imediato")</f>
        <v>Público Imediato</v>
      </c>
      <c r="E97" s="13" t="str">
        <f>IFERROR(__xludf.DUMMYFUNCTION("IF(B97="""","""",IF(OR(
  REGEXMATCH(B97,""Live|Webinário|Virtual""),
  REGEXMATCH(B97,""online"")
),""Virtual"",
IF(REGEXMATCH(B97,""Música|Álbum|Filme|Documentário|Série|Podcast|Rádio|Audiotour|Episódio|Reportagem|Curta|Charge|Livro|Vídeo|Entrevista""),"&amp;"
""Midiático"",
IF(REGEXMATCH(B97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7" s="171">
        <v>42280.0</v>
      </c>
      <c r="G97" s="15">
        <f t="shared" si="1"/>
        <v>2015</v>
      </c>
      <c r="H97" s="11" t="s">
        <v>684</v>
      </c>
      <c r="I97" s="18" t="s">
        <v>685</v>
      </c>
      <c r="J97" s="17" t="s">
        <v>686</v>
      </c>
      <c r="K97" s="16" t="s">
        <v>26</v>
      </c>
      <c r="L97" s="18" t="s">
        <v>489</v>
      </c>
      <c r="M97" s="15" t="str">
        <f>IFERROR(__xludf.DUMMYFUNCTION("IF(REGEXMATCH(S97, ""Companhia das Letras""), ""Companhia das Letras"",
IF(REGEXMATCH(S97, ""Labortexto Editorial""), ""Labortexto Editorial"",
IF(REGEXMATCH(S97, ""Geração Editorial""), ""Geração Editorial"",
IF(REGEXMATCH(S97, ""Editora Imprensa Oficial"&amp;"|Imprensa Oficial""), ""Editora Imprensa Oficial"",
IF(REGEXMATCH(S97, ""Folha Online""), ""Folha Online"",
IF(REGEXMATCH(S97, ""FGV DIREITO SP|FGV Direito SP""), ""FGV DIREITO SP"",
IF(REGEXMATCH(S97, ""massacrecarandiru\.org\.br""), ""Memória Massacre C"&amp;"arandiru"",
IF(REGEXMATCH(S97, ""Itaú Cultural""), ""YouTube (Itaú Cultural)"",
IF(REGEXMATCH(S97, ""Passa Palavra""), ""Vimeo (Passa Palavra)"",
IF(REGEXMATCH(S97, ""rede2deoutubro\.blogspot""), ""Blogspot (Rede 02 de Outubro)"",
IF(REGEXMATCH(S97, ""Red"&amp;"e TVT""), ""YouTube (Rede TVT)"",
IF(REGEXMATCH(S97, ""Esquerda Diário""), ""Esquerda Diário"",
IF(REGEXMATCH(S97, ""GZH""), ""GZH"",
IF(REGEXMATCH(S97, ""TVPUC""), ""TVPUC"",
IF(REGEXMATCH(S97, ""Mídia Ninja.*Facebook""), ""Facebook (Mídia Ninja)"",
IF(R"&amp;"EGEXMATCH(S97, ""Memórias Carandiru.*Instagram""), ""Instagram (Memórias Carandiru)"",
IF(REGEXMATCH(S97, ""Frente pelo Desencarceramento SP""), ""YouTube (Frente Pelo Desencarceramento SP)"",
IF(REGEXMATCH(S97, ""TV ABA""), ""YouTube (TV ABA)"",
IF(REGEX"&amp;"MATCH(S97, ""TV SENADO""), ""YouTube (TV Senado)"",
IF(REGEXMATCH(S97, ""Google Arts &amp; Culture""), ""Google Arts &amp; Culture (Memória Massacre Carandiru)"",
IF(REGEXMATCH(S97, ""Anistia Internacional|ANISTIA INTERNACIONAL""), ""Anistia Internacional"",
IF(R"&amp;"EGEXMATCH(S97, ""47\.mostra|47a Mostra""), ""47a Mostra Internacional de Cinema em São Paulo"",
IF(REGEXMATCH(S97, ""Canal USP""), ""YouTube (Canal USP)"",
IF(AND(
  REGEXMATCH(S97, ""(?i)(teses?\.usp\.br|dissertacoes?\.usp\.br|repositorio\.usp\.br)""),
 "&amp;" NOT(REGEXMATCH(S97, ""Canal USP""))
), ""Biblioteca Digital de Teses e Dissertações da USP"",
IF(REGEXMATCH(S97, ""SINTRAJUSC""), ""SINTRAJUSC"",
IF(REGEXMATCH(S97, ""Agência Brasil|Agencia Brasil""), ""Agência Brasil"",
IF(REGEXMATCH(S97, ""Brasil de Fa"&amp;"to""), ""Brasil de Fato"",
IF(REGEXMATCH(S97, ""Ponte Jornalismo|pontejornalismo""), ""Ponte Jornalismo"",
IF(REGEXMATCH(S97, ""letras\.mus\.br|Letras,""), ""Letras"",
IF(REGEXMATCH(S97, ""YouTube|youtube""), 
   ""YouTube (""&amp;
   IF(REGEXMATCH(S97, ""It"&amp;"aú Cultural""), ""Itaú Cultural"",
   IF(REGEXMATCH(S97, ""Rede TVT""), ""Rede TVT"",
   IF(REGEXMATCH(S97, ""Frente pelo Desencarceramento SP""), ""Frente Pelo Desencarceramento SP"",
   IF(REGEXMATCH(S97, ""TV ABA""), ""TV ABA"",
   IF(REGEXMATCH(S97, "&amp;"""TV SENADO""), ""TV Senado"",
   IF(REGEXMATCH(S97, ""Canal USP""), ""Canal USP"",
   IF(REGEXMATCH(S97, ""Douer, Zack|Zack Douer""), ""Douer Zack"",
   IF(REGEXMATCH(S97, ""PRISIONEIRO 84\.901|PRISIONEIRO 84""), ""Prisioneiro 84.901"",
   IF(REGEXMATCH("&amp;"S97, ""^[^,]*, ""), 
        PROPER(REGEXREPLACE(REGEXEXTRACT(S97, ""^([^.]*)\.""), ""^([^,]*), (.*)"", ""$2 $1"")),
        PROPER(REGEXEXTRACT(S97, ""^([^.]*)\.""))
   )))))))))&amp;"")"",
IF(REGEXMATCH(S97, ""Spotify|spotify""), 
   ""Spotify (""&amp;
   IF(R"&amp;"EGEXMATCH(S97, ""ESTRANHO SORRISO""), ""Estranho Sorriso"",
   PROPER(REGEXEXTRACT(S97, ""^([^.]*)\.""))
   )&amp;"")"",
IF(REGEXMATCH(S97, ""Vimeo|vimeo""), 
   ""Vimeo (""&amp;
   IF(REGEXMATCH(S97, ""Passa Palavra""), ""Passa Palavra"",
   PROPER(REGEXEXTRACT"&amp;"(S97, ""^([^.]*)\.""))
   )&amp;"")"",
IF(REGEXMATCH(S97, ""Blogspot""), 
   ""Blogspot (""&amp;
   IF(REGEXMATCH(S97, ""rede2deoutubro""), ""Rede 02 de Outubro"",
   PROPER(REGEXEXTRACT(S97, ""^([^.]*)\.""))
   )&amp;"")"",
IF(REGEXMATCH(S97, ""Facebook""), 
   """&amp;"Facebook (""&amp;
   IF(REGEXMATCH(S97, ""Mídia Ninja""), ""Mídia Ninja"",
   PROPER(REGEXEXTRACT(S97, ""^([^.]*)\.""))
   )&amp;"")"",
IF(REGEXMATCH(S97, ""Instagram""), 
   ""Instagram (""&amp;
   IF(REGEXMATCH(S97, ""Memórias Carandiru""), ""Memórias Carandiru"","&amp;"
   PROPER(REGEXEXTRACT(S97, ""^([^.]*)\.""))
   )&amp;"")"",
IF(REGEXMATCH(S97, ""Folha de S\. Paulo|FOLHA DE S\. PAULO""), ""Folha de S. Paulo"",
IF(REGEXMATCH(S97, ""O Estado de S\. Paulo|ESTADAO""), ""O Estado de S. Paulo"",
IF(REGEXMATCH(S97, ""salasecr"&amp;"eta""), ""Wordpress (Sala Secreta)"",
IF(REGEXMATCH(S97, ""Wikipedia|Wikipédia|WIKIPÉDIA""), ""Wikipedia"",
IF(REGEXMATCH(S97, ""VEJA|Veja""), ""Veja Abril"",
IF(REGEXMATCH(S368, ""Rede Globo|REDE GLOBO""), ""Rede Globo"",
IF(REGEXMATCH(S368, ""G1|globo\."&amp;"com""), ""G1"",
IF(REGEXMATCH(S97, ""Deutsche Welle|DW\.com""), ""Deutsche Welle"",
IF(REGEXMATCH(S97, ""CIDH|Comissão Interamericana""), ""Comissão Interamericana de Direitos Humanos (CIDH)"",
IF(REGEXMATCH(S97, ""Pastoral Carcerária""), ""Pastoral Carce"&amp;"rária"",
IF(REGEXMATCH(S97, ""Esquerda Web""), ""Esquerda Web"",
IF(REGEXMATCH(S97, ""ONU|Organização das Nações Unidas""), ""ONU Brasil"",
IF(REGEXMATCH(S97, ""Quilombo Invisível""), ""Quilombo Invisível"",
IF(REGEXMATCH(S97, ""ALESP|Assembleia Legislati"&amp;"va""), ""ALESP"",
IF(REGEXMATCH(S97, ""Revista Opera""), ""Revista Opera"",
IF(REGEXMATCH(S97, ""SP Escola de Teatro""), ""SP Escola de Teatro"",
IF(REGEXMATCH(S97, ""EMC|Espaço Memória Carandiru""), ""EMC Espaço Memória Carandiru"",
IF(REGEXMATCH(S97, "&amp;"""^RAMOS, Nuno|Nuno Ramos""), ""Nuno Ramos"",
IF(REGEXMATCH(S97, ""^VELOSO, Caetano|Caetano Veloso""), ""YouTube (Caetano Veloso)"",
IF(REGEXMATCH(S97, ""^FATOS REAIS""), ""YouTube (Fatos Reais - Topic)"",
IF(REGEXMATCH(S97, ""^SALA SECRETA""), ""Wordpres"&amp;"s (Sala Secreta)"",
PROPER(REGEXEXTRACT(S97, ""^([^.]*)\.""))
))))))))))))))))))))))))))))))))))))))))))))))))))))))))"),"EMC Espaço Memória Carandiru")</f>
        <v>EMC Espaço Memória Carandiru</v>
      </c>
      <c r="N97" s="11" t="s">
        <v>47</v>
      </c>
      <c r="O97" s="11" t="s">
        <v>221</v>
      </c>
      <c r="P97" s="51">
        <v>45854.0</v>
      </c>
      <c r="Q97" s="11" t="s">
        <v>154</v>
      </c>
      <c r="R97" s="70" t="str">
        <f t="shared" si="8"/>
        <v>Aqui</v>
      </c>
      <c r="S97" s="75" t="s">
        <v>687</v>
      </c>
    </row>
    <row r="98">
      <c r="A98" s="11">
        <v>96.0</v>
      </c>
      <c r="B98" s="11" t="s">
        <v>566</v>
      </c>
      <c r="C98" s="12" t="str">
        <f>IFERROR(__xludf.DUMMYFUNCTION("IF(B98="""","""",IF(OR(
  REGEXMATCH(B98,""Performance|Instalação|Álbum|Música|Poema|Livro|Filme|Documentário|Recitação|Espetáculo|Peça|Intervenção|Desfile|Fotografia|Exposição|Charge|Grafite|Leitura pública|Fabricação de cachaça artesanal""),
  REGEXMATC"&amp;"H(B98,""dança|teatral|artístico|musical|artística"")
),""Manifestação artístico-cultural"",
IF(OR(
  REGEXMATCH(B98,""Crônica|Série|Reportagem|Podcast|Audiotour|Entrevista|Vídeo|Rádio""),
  REGEXMATCH(B98,""midiática"")
),""Produção midiática"","""")))
"),"Manifestação artístico-cultural")</f>
        <v>Manifestação artístico-cultural</v>
      </c>
      <c r="D98" s="13" t="str">
        <f>IFERROR(__xludf.DUMMYFUNCTION("IF(B98="""","""",IF(OR(
  REGEXMATCH(B98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REGEXMATCH(B98,""público|Imediato|artística|teatral|memória"")
),""Público Imediato"",
IF(REGEXMATCH(B98,""Música|Álbum|Filme|Documentário|Série|Podcast|"&amp;"Rádio|Audiotour|Entrevista|Reportagem|Crônica|Relatório|Abaixo-assinado|Manifesto|Petição|Poema|Livro|Fotografia|Curta|Live|Webinário|Charge|Leitura pública|Vídeo""),
""Público Mediado"","""")))
"),"Público Mediado")</f>
        <v>Público Mediado</v>
      </c>
      <c r="E98" s="13" t="str">
        <f>IFERROR(__xludf.DUMMYFUNCTION("IF(B98="""","""",IF(OR(
  REGEXMATCH(B98,""Live|Webinário|Virtual""),
  REGEXMATCH(B98,""online"")
),""Virtual"",
IF(REGEXMATCH(B98,""Música|Álbum|Filme|Documentário|Série|Podcast|Rádio|Audiotour|Episódio|Reportagem|Curta|Charge|Livro|Vídeo|Entrevista""),"&amp;"
""Midiático"",
IF(REGEXMATCH(B98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98" s="183">
        <v>42262.0</v>
      </c>
      <c r="G98" s="15">
        <f t="shared" si="1"/>
        <v>2015</v>
      </c>
      <c r="H98" s="181" t="s">
        <v>347</v>
      </c>
      <c r="I98" s="18" t="s">
        <v>688</v>
      </c>
      <c r="J98" s="169" t="str">
        <f>IFERROR(__xludf.DUMMYFUNCTION("REGEXEXTRACT(S98, ""\.\s(.*?)\s*YouTube"")"),"Deus e o Diabo em Cima da Muralha. Drauzio Varella.")</f>
        <v>Deus e o Diabo em Cima da Muralha. Drauzio Varella.</v>
      </c>
      <c r="K98" s="16" t="s">
        <v>83</v>
      </c>
      <c r="L98" s="18" t="s">
        <v>329</v>
      </c>
      <c r="M98" s="15" t="str">
        <f>IFERROR(__xludf.DUMMYFUNCTION("IF(REGEXMATCH(S98, ""Companhia das Letras""), ""Companhia das Letras"",
IF(REGEXMATCH(S98, ""Labortexto Editorial""), ""Labortexto Editorial"",
IF(REGEXMATCH(S98, ""Geração Editorial""), ""Geração Editorial"",
IF(REGEXMATCH(S98, ""Editora Imprensa Oficial"&amp;"|Imprensa Oficial""), ""Editora Imprensa Oficial"",
IF(REGEXMATCH(S98, ""Folha Online""), ""Folha Online"",
IF(REGEXMATCH(S98, ""FGV DIREITO SP|FGV Direito SP""), ""FGV DIREITO SP"",
IF(REGEXMATCH(S98, ""massacrecarandiru\.org\.br""), ""Memória Massacre C"&amp;"arandiru"",
IF(REGEXMATCH(S98, ""Itaú Cultural""), ""YouTube (Itaú Cultural)"",
IF(REGEXMATCH(S98, ""Passa Palavra""), ""Vimeo (Passa Palavra)"",
IF(REGEXMATCH(S98, ""rede2deoutubro\.blogspot""), ""Blogspot (Rede 02 de Outubro)"",
IF(REGEXMATCH(S98, ""Red"&amp;"e TVT""), ""YouTube (Rede TVT)"",
IF(REGEXMATCH(S98, ""Esquerda Diário""), ""Esquerda Diário"",
IF(REGEXMATCH(S98, ""GZH""), ""GZH"",
IF(REGEXMATCH(S98, ""TVPUC""), ""TVPUC"",
IF(REGEXMATCH(S98, ""Mídia Ninja.*Facebook""), ""Facebook (Mídia Ninja)"",
IF(R"&amp;"EGEXMATCH(S98, ""Memórias Carandiru.*Instagram""), ""Instagram (Memórias Carandiru)"",
IF(REGEXMATCH(S98, ""Frente pelo Desencarceramento SP""), ""YouTube (Frente Pelo Desencarceramento SP)"",
IF(REGEXMATCH(S98, ""TV ABA""), ""YouTube (TV ABA)"",
IF(REGEX"&amp;"MATCH(S98, ""TV SENADO""), ""YouTube (TV Senado)"",
IF(REGEXMATCH(S98, ""Google Arts &amp; Culture""), ""Google Arts &amp; Culture (Memória Massacre Carandiru)"",
IF(REGEXMATCH(S98, ""Anistia Internacional|ANISTIA INTERNACIONAL""), ""Anistia Internacional"",
IF(R"&amp;"EGEXMATCH(S98, ""47\.mostra|47a Mostra""), ""47a Mostra Internacional de Cinema em São Paulo"",
IF(REGEXMATCH(S98, ""Canal USP""), ""YouTube (Canal USP)"",
IF(AND(
  REGEXMATCH(S98, ""(?i)(teses?\.usp\.br|dissertacoes?\.usp\.br|repositorio\.usp\.br)""),
 "&amp;" NOT(REGEXMATCH(S98, ""Canal USP""))
), ""Biblioteca Digital de Teses e Dissertações da USP"",
IF(REGEXMATCH(S98, ""SINTRAJUSC""), ""SINTRAJUSC"",
IF(REGEXMATCH(S98, ""Agência Brasil|Agencia Brasil""), ""Agência Brasil"",
IF(REGEXMATCH(S98, ""Brasil de Fa"&amp;"to""), ""Brasil de Fato"",
IF(REGEXMATCH(S98, ""Ponte Jornalismo|pontejornalismo""), ""Ponte Jornalismo"",
IF(REGEXMATCH(S98, ""letras\.mus\.br|Letras,""), ""Letras"",
IF(REGEXMATCH(S98, ""YouTube|youtube""), 
   ""YouTube (""&amp;
   IF(REGEXMATCH(S98, ""It"&amp;"aú Cultural""), ""Itaú Cultural"",
   IF(REGEXMATCH(S98, ""Rede TVT""), ""Rede TVT"",
   IF(REGEXMATCH(S98, ""Frente pelo Desencarceramento SP""), ""Frente Pelo Desencarceramento SP"",
   IF(REGEXMATCH(S98, ""TV ABA""), ""TV ABA"",
   IF(REGEXMATCH(S98, "&amp;"""TV SENADO""), ""TV Senado"",
   IF(REGEXMATCH(S98, ""Canal USP""), ""Canal USP"",
   IF(REGEXMATCH(S98, ""Douer, Zack|Zack Douer""), ""Douer Zack"",
   IF(REGEXMATCH(S98, ""PRISIONEIRO 84\.901|PRISIONEIRO 84""), ""Prisioneiro 84.901"",
   IF(REGEXMATCH("&amp;"S98, ""^[^,]*, ""), 
        PROPER(REGEXREPLACE(REGEXEXTRACT(S98, ""^([^.]*)\.""), ""^([^,]*), (.*)"", ""$2 $1"")),
        PROPER(REGEXEXTRACT(S98, ""^([^.]*)\.""))
   )))))))))&amp;"")"",
IF(REGEXMATCH(S98, ""Spotify|spotify""), 
   ""Spotify (""&amp;
   IF(R"&amp;"EGEXMATCH(S98, ""ESTRANHO SORRISO""), ""Estranho Sorriso"",
   PROPER(REGEXEXTRACT(S98, ""^([^.]*)\.""))
   )&amp;"")"",
IF(REGEXMATCH(S98, ""Vimeo|vimeo""), 
   ""Vimeo (""&amp;
   IF(REGEXMATCH(S98, ""Passa Palavra""), ""Passa Palavra"",
   PROPER(REGEXEXTRACT"&amp;"(S98, ""^([^.]*)\.""))
   )&amp;"")"",
IF(REGEXMATCH(S98, ""Blogspot""), 
   ""Blogspot (""&amp;
   IF(REGEXMATCH(S98, ""rede2deoutubro""), ""Rede 02 de Outubro"",
   PROPER(REGEXEXTRACT(S98, ""^([^.]*)\.""))
   )&amp;"")"",
IF(REGEXMATCH(S98, ""Facebook""), 
   """&amp;"Facebook (""&amp;
   IF(REGEXMATCH(S98, ""Mídia Ninja""), ""Mídia Ninja"",
   PROPER(REGEXEXTRACT(S98, ""^([^.]*)\.""))
   )&amp;"")"",
IF(REGEXMATCH(S98, ""Instagram""), 
   ""Instagram (""&amp;
   IF(REGEXMATCH(S98, ""Memórias Carandiru""), ""Memórias Carandiru"","&amp;"
   PROPER(REGEXEXTRACT(S98, ""^([^.]*)\.""))
   )&amp;"")"",
IF(REGEXMATCH(S98, ""Folha de S\. Paulo|FOLHA DE S\. PAULO""), ""Folha de S. Paulo"",
IF(REGEXMATCH(S98, ""O Estado de S\. Paulo|ESTADAO""), ""O Estado de S. Paulo"",
IF(REGEXMATCH(S98, ""salasecr"&amp;"eta""), ""Wordpress (Sala Secreta)"",
IF(REGEXMATCH(S98, ""Wikipedia|Wikipédia|WIKIPÉDIA""), ""Wikipedia"",
IF(REGEXMATCH(S98, ""VEJA|Veja""), ""Veja Abril"",
IF(REGEXMATCH(S369, ""Rede Globo|REDE GLOBO""), ""Rede Globo"",
IF(REGEXMATCH(S369, ""G1|globo\."&amp;"com""), ""G1"",
IF(REGEXMATCH(S98, ""Deutsche Welle|DW\.com""), ""Deutsche Welle"",
IF(REGEXMATCH(S98, ""CIDH|Comissão Interamericana""), ""Comissão Interamericana de Direitos Humanos (CIDH)"",
IF(REGEXMATCH(S98, ""Pastoral Carcerária""), ""Pastoral Carce"&amp;"rária"",
IF(REGEXMATCH(S98, ""Esquerda Web""), ""Esquerda Web"",
IF(REGEXMATCH(S98, ""ONU|Organização das Nações Unidas""), ""ONU Brasil"",
IF(REGEXMATCH(S98, ""Quilombo Invisível""), ""Quilombo Invisível"",
IF(REGEXMATCH(S98, ""ALESP|Assembleia Legislati"&amp;"va""), ""ALESP"",
IF(REGEXMATCH(S98, ""Revista Opera""), ""Revista Opera"",
IF(REGEXMATCH(S98, ""SP Escola de Teatro""), ""SP Escola de Teatro"",
IF(REGEXMATCH(S98, ""EMC|Espaço Memória Carandiru""), ""EMC Espaço Memória Carandiru"",
IF(REGEXMATCH(S98, "&amp;"""^RAMOS, Nuno|Nuno Ramos""), ""Nuno Ramos"",
IF(REGEXMATCH(S98, ""^VELOSO, Caetano|Caetano Veloso""), ""YouTube (Caetano Veloso)"",
IF(REGEXMATCH(S98, ""^FATOS REAIS""), ""YouTube (Fatos Reais - Topic)"",
IF(REGEXMATCH(S98, ""^SALA SECRETA""), ""Wordpres"&amp;"s (Sala Secreta)"",
PROPER(REGEXEXTRACT(S98, ""^([^.]*)\.""))
))))))))))))))))))))))))))))))))))))))))))))))))))))))))"),"YouTube (Drauzio Varella)")</f>
        <v>YouTube (Drauzio Varella)</v>
      </c>
      <c r="N98" s="11" t="s">
        <v>47</v>
      </c>
      <c r="O98" s="14" t="s">
        <v>342</v>
      </c>
      <c r="P98" s="171">
        <v>45946.0</v>
      </c>
      <c r="Q98" s="11" t="s">
        <v>154</v>
      </c>
      <c r="R98" s="70" t="str">
        <f t="shared" si="8"/>
        <v>Aqui</v>
      </c>
      <c r="S98" s="204" t="s">
        <v>689</v>
      </c>
    </row>
    <row r="99">
      <c r="A99" s="11">
        <v>97.0</v>
      </c>
      <c r="B99" s="11" t="s">
        <v>496</v>
      </c>
      <c r="C99" s="122" t="s">
        <v>165</v>
      </c>
      <c r="D99" s="13" t="str">
        <f>IFERROR(__xludf.DUMMYFUNCTION("IF(B99="""","""",IF(OR(
  REGEXMATCH(B99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REGEXMATCH(B99,""público|Imediato|artística|teatral|memória"")
),""Público Imediato"",
IF(REGEXMATCH(B99,""Música|Álbum|Filme|Documentário|Série|Podcast|"&amp;"Rádio|Audiotour|Entrevista|Reportagem|Crônica|Relatório|Abaixo-assinado|Manifesto|Petição|Poema|Livro|Fotografia|Curta|Live|Webinário|Charge|Leitura pública|Vídeo""),
""Público Mediado"","""")))
"),"Público Imediato")</f>
        <v>Público Imediato</v>
      </c>
      <c r="E99" s="13" t="str">
        <f>IFERROR(__xludf.DUMMYFUNCTION("IF(B99="""","""",IF(OR(
  REGEXMATCH(B99,""Live|Webinário|Virtual""),
  REGEXMATCH(B99,""online"")
),""Virtual"",
IF(REGEXMATCH(B99,""Música|Álbum|Filme|Documentário|Série|Podcast|Rádio|Audiotour|Episódio|Reportagem|Curta|Charge|Livro|Vídeo|Entrevista""),"&amp;"
""Midiático"",
IF(REGEXMATCH(B99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9" s="14">
        <v>2016.0</v>
      </c>
      <c r="G99" s="15">
        <f t="shared" si="1"/>
        <v>2016</v>
      </c>
      <c r="H99" s="181" t="s">
        <v>347</v>
      </c>
      <c r="I99" s="18" t="s">
        <v>366</v>
      </c>
      <c r="J99" s="17" t="s">
        <v>690</v>
      </c>
      <c r="K99" s="16" t="s">
        <v>26</v>
      </c>
      <c r="L99" s="18" t="s">
        <v>489</v>
      </c>
      <c r="M99" s="15" t="str">
        <f>IFERROR(__xludf.DUMMYFUNCTION("IF(REGEXMATCH(S99, ""Companhia das Letras""), ""Companhia das Letras"",
IF(REGEXMATCH(S99, ""Labortexto Editorial""), ""Labortexto Editorial"",
IF(REGEXMATCH(S99, ""Geração Editorial""), ""Geração Editorial"",
IF(REGEXMATCH(S99, ""Editora Imprensa Oficial"&amp;"|Imprensa Oficial""), ""Editora Imprensa Oficial"",
IF(REGEXMATCH(S99, ""Folha Online""), ""Folha Online"",
IF(REGEXMATCH(S99, ""FGV DIREITO SP|FGV Direito SP""), ""FGV DIREITO SP"",
IF(REGEXMATCH(S99, ""massacrecarandiru\.org\.br""), ""Memória Massacre C"&amp;"arandiru"",
IF(REGEXMATCH(S99, ""Itaú Cultural""), ""YouTube (Itaú Cultural)"",
IF(REGEXMATCH(S99, ""Passa Palavra""), ""Vimeo (Passa Palavra)"",
IF(REGEXMATCH(S99, ""rede2deoutubro\.blogspot""), ""Blogspot (Rede 02 de Outubro)"",
IF(REGEXMATCH(S99, ""Red"&amp;"e TVT""), ""YouTube (Rede TVT)"",
IF(REGEXMATCH(S99, ""Esquerda Diário""), ""Esquerda Diário"",
IF(REGEXMATCH(S99, ""GZH""), ""GZH"",
IF(REGEXMATCH(S99, ""TVPUC""), ""TVPUC"",
IF(REGEXMATCH(S99, ""Mídia Ninja.*Facebook""), ""Facebook (Mídia Ninja)"",
IF(R"&amp;"EGEXMATCH(S99, ""Memórias Carandiru.*Instagram""), ""Instagram (Memórias Carandiru)"",
IF(REGEXMATCH(S99, ""Frente pelo Desencarceramento SP""), ""YouTube (Frente Pelo Desencarceramento SP)"",
IF(REGEXMATCH(S99, ""TV ABA""), ""YouTube (TV ABA)"",
IF(REGEX"&amp;"MATCH(S99, ""TV SENADO""), ""YouTube (TV Senado)"",
IF(REGEXMATCH(S99, ""Google Arts &amp; Culture""), ""Google Arts &amp; Culture (Memória Massacre Carandiru)"",
IF(REGEXMATCH(S99, ""Anistia Internacional|ANISTIA INTERNACIONAL""), ""Anistia Internacional"",
IF(R"&amp;"EGEXMATCH(S99, ""47\.mostra|47a Mostra""), ""47a Mostra Internacional de Cinema em São Paulo"",
IF(REGEXMATCH(S99, ""Canal USP""), ""YouTube (Canal USP)"",
IF(AND(
  REGEXMATCH(S99, ""(?i)(teses?\.usp\.br|dissertacoes?\.usp\.br|repositorio\.usp\.br)""),
 "&amp;" NOT(REGEXMATCH(S99, ""Canal USP""))
), ""Biblioteca Digital de Teses e Dissertações da USP"",
IF(REGEXMATCH(S99, ""SINTRAJUSC""), ""SINTRAJUSC"",
IF(REGEXMATCH(S99, ""Agência Brasil|Agencia Brasil""), ""Agência Brasil"",
IF(REGEXMATCH(S99, ""Brasil de Fa"&amp;"to""), ""Brasil de Fato"",
IF(REGEXMATCH(S99, ""Ponte Jornalismo|pontejornalismo""), ""Ponte Jornalismo"",
IF(REGEXMATCH(S99, ""letras\.mus\.br|Letras,""), ""Letras"",
IF(REGEXMATCH(S99, ""YouTube|youtube""), 
   ""YouTube (""&amp;
   IF(REGEXMATCH(S99, ""It"&amp;"aú Cultural""), ""Itaú Cultural"",
   IF(REGEXMATCH(S99, ""Rede TVT""), ""Rede TVT"",
   IF(REGEXMATCH(S99, ""Frente pelo Desencarceramento SP""), ""Frente Pelo Desencarceramento SP"",
   IF(REGEXMATCH(S99, ""TV ABA""), ""TV ABA"",
   IF(REGEXMATCH(S99, "&amp;"""TV SENADO""), ""TV Senado"",
   IF(REGEXMATCH(S99, ""Canal USP""), ""Canal USP"",
   IF(REGEXMATCH(S99, ""Douer, Zack|Zack Douer""), ""Douer Zack"",
   IF(REGEXMATCH(S99, ""PRISIONEIRO 84\.901|PRISIONEIRO 84""), ""Prisioneiro 84.901"",
   IF(REGEXMATCH("&amp;"S99, ""^[^,]*, ""), 
        PROPER(REGEXREPLACE(REGEXEXTRACT(S99, ""^([^.]*)\.""), ""^([^,]*), (.*)"", ""$2 $1"")),
        PROPER(REGEXEXTRACT(S99, ""^([^.]*)\.""))
   )))))))))&amp;"")"",
IF(REGEXMATCH(S99, ""Spotify|spotify""), 
   ""Spotify (""&amp;
   IF(R"&amp;"EGEXMATCH(S99, ""ESTRANHO SORRISO""), ""Estranho Sorriso"",
   PROPER(REGEXEXTRACT(S99, ""^([^.]*)\.""))
   )&amp;"")"",
IF(REGEXMATCH(S99, ""Vimeo|vimeo""), 
   ""Vimeo (""&amp;
   IF(REGEXMATCH(S99, ""Passa Palavra""), ""Passa Palavra"",
   PROPER(REGEXEXTRACT"&amp;"(S99, ""^([^.]*)\.""))
   )&amp;"")"",
IF(REGEXMATCH(S99, ""Blogspot""), 
   ""Blogspot (""&amp;
   IF(REGEXMATCH(S99, ""rede2deoutubro""), ""Rede 02 de Outubro"",
   PROPER(REGEXEXTRACT(S99, ""^([^.]*)\.""))
   )&amp;"")"",
IF(REGEXMATCH(S99, ""Facebook""), 
   """&amp;"Facebook (""&amp;
   IF(REGEXMATCH(S99, ""Mídia Ninja""), ""Mídia Ninja"",
   PROPER(REGEXEXTRACT(S99, ""^([^.]*)\.""))
   )&amp;"")"",
IF(REGEXMATCH(S99, ""Instagram""), 
   ""Instagram (""&amp;
   IF(REGEXMATCH(S99, ""Memórias Carandiru""), ""Memórias Carandiru"","&amp;"
   PROPER(REGEXEXTRACT(S99, ""^([^.]*)\.""))
   )&amp;"")"",
IF(REGEXMATCH(S99, ""Folha de S\. Paulo|FOLHA DE S\. PAULO""), ""Folha de S. Paulo"",
IF(REGEXMATCH(S99, ""O Estado de S\. Paulo|ESTADAO""), ""O Estado de S. Paulo"",
IF(REGEXMATCH(S99, ""salasecr"&amp;"eta""), ""Wordpress (Sala Secreta)"",
IF(REGEXMATCH(S99, ""Wikipedia|Wikipédia|WIKIPÉDIA""), ""Wikipedia"",
IF(REGEXMATCH(S99, ""VEJA|Veja""), ""Veja Abril"",
IF(REGEXMATCH(S370, ""Rede Globo|REDE GLOBO""), ""Rede Globo"",
IF(REGEXMATCH(S370, ""G1|globo\."&amp;"com""), ""G1"",
IF(REGEXMATCH(S99, ""Deutsche Welle|DW\.com""), ""Deutsche Welle"",
IF(REGEXMATCH(S99, ""CIDH|Comissão Interamericana""), ""Comissão Interamericana de Direitos Humanos (CIDH)"",
IF(REGEXMATCH(S99, ""Pastoral Carcerária""), ""Pastoral Carce"&amp;"rária"",
IF(REGEXMATCH(S99, ""Esquerda Web""), ""Esquerda Web"",
IF(REGEXMATCH(S99, ""ONU|Organização das Nações Unidas""), ""ONU Brasil"",
IF(REGEXMATCH(S99, ""Quilombo Invisível""), ""Quilombo Invisível"",
IF(REGEXMATCH(S99, ""ALESP|Assembleia Legislati"&amp;"va""), ""ALESP"",
IF(REGEXMATCH(S99, ""Revista Opera""), ""Revista Opera"",
IF(REGEXMATCH(S99, ""SP Escola de Teatro""), ""SP Escola de Teatro"",
IF(REGEXMATCH(S99, ""EMC|Espaço Memória Carandiru""), ""EMC Espaço Memória Carandiru"",
IF(REGEXMATCH(S99, "&amp;"""^RAMOS, Nuno|Nuno Ramos""), ""Nuno Ramos"",
IF(REGEXMATCH(S99, ""^VELOSO, Caetano|Caetano Veloso""), ""YouTube (Caetano Veloso)"",
IF(REGEXMATCH(S99, ""^FATOS REAIS""), ""YouTube (Fatos Reais - Topic)"",
IF(REGEXMATCH(S99, ""^SALA SECRETA""), ""Wordpres"&amp;"s (Sala Secreta)"",
PROPER(REGEXEXTRACT(S99, ""^([^.]*)\.""))
))))))))))))))))))))))))))))))))))))))))))))))))))))))))"),"Brasil de Fato")</f>
        <v>Brasil de Fato</v>
      </c>
      <c r="N99" s="11" t="s">
        <v>47</v>
      </c>
      <c r="O99" s="11" t="s">
        <v>221</v>
      </c>
      <c r="P99" s="51">
        <v>45854.0</v>
      </c>
      <c r="Q99" s="11" t="s">
        <v>154</v>
      </c>
      <c r="R99" s="70" t="str">
        <f t="shared" si="8"/>
        <v>Aqui</v>
      </c>
      <c r="S99" s="75" t="s">
        <v>691</v>
      </c>
    </row>
    <row r="100">
      <c r="A100" s="11">
        <v>98.0</v>
      </c>
      <c r="B100" s="11" t="s">
        <v>692</v>
      </c>
      <c r="C100" s="122" t="s">
        <v>165</v>
      </c>
      <c r="D100" s="13" t="str">
        <f>IFERROR(__xludf.DUMMYFUNCTION("IF(B100="""","""",IF(OR(
  REGEXMATCH(B100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REGEXMATCH(B100,""público|Imediato|artística|teatral|memória"")
),""Público Imediato"",
IF(REGEXMATCH(B100,""Música|Álbum|Filme|Documentário|Série|Podc"&amp;"ast|Rádio|Audiotour|Entrevista|Reportagem|Crônica|Relatório|Abaixo-assinado|Manifesto|Petição|Poema|Livro|Fotografia|Curta|Live|Webinário|Charge|Leitura pública|Vídeo""),
""Público Mediado"","""")))
"),"Público Imediato")</f>
        <v>Público Imediato</v>
      </c>
      <c r="E100" s="13" t="str">
        <f>IFERROR(__xludf.DUMMYFUNCTION("IF(B100="""","""",IF(OR(
  REGEXMATCH(B100,""Live|Webinário|Virtual""),
  REGEXMATCH(B100,""online"")
),""Virtual"",
IF(REGEXMATCH(B100,""Música|Álbum|Filme|Documentário|Série|Podcast|Rádio|Audiotour|Episódio|Reportagem|Curta|Charge|Livro|Vídeo|Entrevista"&amp;"""),
""Midiático"",
IF(REGEXMATCH(B100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0" s="183">
        <v>42680.0</v>
      </c>
      <c r="G100" s="15">
        <f t="shared" si="1"/>
        <v>2016</v>
      </c>
      <c r="H100" s="11" t="s">
        <v>693</v>
      </c>
      <c r="I100" s="18" t="s">
        <v>694</v>
      </c>
      <c r="J100" s="17" t="s">
        <v>695</v>
      </c>
      <c r="K100" s="16" t="s">
        <v>696</v>
      </c>
      <c r="L100" s="18" t="s">
        <v>489</v>
      </c>
      <c r="M100" s="15" t="str">
        <f>IFERROR(__xludf.DUMMYFUNCTION("IF(REGEXMATCH(S100, ""Companhia das Letras""), ""Companhia das Letras"",
IF(REGEXMATCH(S100, ""Labortexto Editorial""), ""Labortexto Editorial"",
IF(REGEXMATCH(S100, ""Geração Editorial""), ""Geração Editorial"",
IF(REGEXMATCH(S100, ""Editora Imprensa Ofi"&amp;"cial|Imprensa Oficial""), ""Editora Imprensa Oficial"",
IF(REGEXMATCH(S100, ""Folha Online""), ""Folha Online"",
IF(REGEXMATCH(S100, ""FGV DIREITO SP|FGV Direito SP""), ""FGV DIREITO SP"",
IF(REGEXMATCH(S100, ""massacrecarandiru\.org\.br""), ""Memória Mas"&amp;"sacre Carandiru"",
IF(REGEXMATCH(S100, ""Itaú Cultural""), ""YouTube (Itaú Cultural)"",
IF(REGEXMATCH(S100, ""Passa Palavra""), ""Vimeo (Passa Palavra)"",
IF(REGEXMATCH(S100, ""rede2deoutubro\.blogspot""), ""Blogspot (Rede 02 de Outubro)"",
IF(REGEXMATCH("&amp;"S100, ""Rede TVT""), ""YouTube (Rede TVT)"",
IF(REGEXMATCH(S100, ""Esquerda Diário""), ""Esquerda Diário"",
IF(REGEXMATCH(S100, ""GZH""), ""GZH"",
IF(REGEXMATCH(S100, ""TVPUC""), ""TVPUC"",
IF(REGEXMATCH(S100, ""Mídia Ninja.*Facebook""), ""Facebook (Mídia"&amp;" Ninja)"",
IF(REGEXMATCH(S100, ""Memórias Carandiru.*Instagram""), ""Instagram (Memórias Carandiru)"",
IF(REGEXMATCH(S100, ""Frente pelo Desencarceramento SP""), ""YouTube (Frente Pelo Desencarceramento SP)"",
IF(REGEXMATCH(S100, ""TV ABA""), ""YouTube (T"&amp;"V ABA)"",
IF(REGEXMATCH(S100, ""TV SENADO""), ""YouTube (TV Senado)"",
IF(REGEXMATCH(S100, ""Google Arts &amp; Culture""), ""Google Arts &amp; Culture (Memória Massacre Carandiru)"",
IF(REGEXMATCH(S100, ""Anistia Internacional|ANISTIA INTERNACIONAL""), ""Anistia "&amp;"Internacional"",
IF(REGEXMATCH(S100, ""47\.mostra|47a Mostra""), ""47a Mostra Internacional de Cinema em São Paulo"",
IF(REGEXMATCH(S100, ""Canal USP""), ""YouTube (Canal USP)"",
IF(AND(
  REGEXMATCH(S100, ""(?i)(teses?\.usp\.br|dissertacoes?\.usp\.br|rep"&amp;"ositorio\.usp\.br)""),
  NOT(REGEXMATCH(S100, ""Canal USP""))
), ""Biblioteca Digital de Teses e Dissertações da USP"",
IF(REGEXMATCH(S100, ""SINTRAJUSC""), ""SINTRAJUSC"",
IF(REGEXMATCH(S100, ""Agência Brasil|Agencia Brasil""), ""Agência Brasil"",
IF(REG"&amp;"EXMATCH(S100, ""Brasil de Fato""), ""Brasil de Fato"",
IF(REGEXMATCH(S100, ""Ponte Jornalismo|pontejornalismo""), ""Ponte Jornalismo"",
IF(REGEXMATCH(S100, ""letras\.mus\.br|Letras,""), ""Letras"",
IF(REGEXMATCH(S100, ""YouTube|youtube""), 
   ""YouTube "&amp;"(""&amp;
   IF(REGEXMATCH(S100, ""Itaú Cultural""), ""Itaú Cultural"",
   IF(REGEXMATCH(S100, ""Rede TVT""), ""Rede TVT"",
   IF(REGEXMATCH(S100, ""Frente pelo Desencarceramento SP""), ""Frente Pelo Desencarceramento SP"",
   IF(REGEXMATCH(S100, ""TV ABA""), "&amp;"""TV ABA"",
   IF(REGEXMATCH(S100, ""TV SENADO""), ""TV Senado"",
   IF(REGEXMATCH(S100, ""Canal USP""), ""Canal USP"",
   IF(REGEXMATCH(S100, ""Douer, Zack|Zack Douer""), ""Douer Zack"",
   IF(REGEXMATCH(S100, ""PRISIONEIRO 84\.901|PRISIONEIRO 84""), ""P"&amp;"risioneiro 84.901"",
   IF(REGEXMATCH(S100, ""^[^,]*, ""), 
        PROPER(REGEXREPLACE(REGEXEXTRACT(S100, ""^([^.]*)\.""), ""^([^,]*), (.*)"", ""$2 $1"")),
        PROPER(REGEXEXTRACT(S100, ""^([^.]*)\.""))
   )))))))))&amp;"")"",
IF(REGEXMATCH(S100, ""Spot"&amp;"ify|spotify""), 
   ""Spotify (""&amp;
   IF(REGEXMATCH(S100, ""ESTRANHO SORRISO""), ""Estranho Sorriso"",
   PROPER(REGEXEXTRACT(S100, ""^([^.]*)\.""))
   )&amp;"")"",
IF(REGEXMATCH(S100, ""Vimeo|vimeo""), 
   ""Vimeo (""&amp;
   IF(REGEXMATCH(S100, ""Passa Palavra"&amp;"""), ""Passa Palavra"",
   PROPER(REGEXEXTRACT(S100, ""^([^.]*)\.""))
   )&amp;"")"",
IF(REGEXMATCH(S100, ""Blogspot""), 
   ""Blogspot (""&amp;
   IF(REGEXMATCH(S100, ""rede2deoutubro""), ""Rede 02 de Outubro"",
   PROPER(REGEXEXTRACT(S100, ""^([^.]*)\.""))
   "&amp;")&amp;"")"",
IF(REGEXMATCH(S100, ""Facebook""), 
   ""Facebook (""&amp;
   IF(REGEXMATCH(S100, ""Mídia Ninja""), ""Mídia Ninja"",
   PROPER(REGEXEXTRACT(S100, ""^([^.]*)\.""))
   )&amp;"")"",
IF(REGEXMATCH(S100, ""Instagram""), 
   ""Instagram (""&amp;
   IF(REGEXMATCH"&amp;"(S100, ""Memórias Carandiru""), ""Memórias Carandiru"",
   PROPER(REGEXEXTRACT(S100, ""^([^.]*)\.""))
   )&amp;"")"",
IF(REGEXMATCH(S100, ""Folha de S\. Paulo|FOLHA DE S\. PAULO""), ""Folha de S. Paulo"",
IF(REGEXMATCH(S100, ""O Estado de S\. Paulo|ESTADAO"""&amp;"), ""O Estado de S. Paulo"",
IF(REGEXMATCH(S100, ""salasecreta""), ""Wordpress (Sala Secreta)"",
IF(REGEXMATCH(S100, ""Wikipedia|Wikipédia|WIKIPÉDIA""), ""Wikipedia"",
IF(REGEXMATCH(S100, ""VEJA|Veja""), ""Veja Abril"",
IF(REGEXMATCH(S371, ""Rede Globo|RE"&amp;"DE GLOBO""), ""Rede Globo"",
IF(REGEXMATCH(S371, ""G1|globo\.com""), ""G1"",
IF(REGEXMATCH(S100, ""Deutsche Welle|DW\.com""), ""Deutsche Welle"",
IF(REGEXMATCH(S100, ""CIDH|Comissão Interamericana""), ""Comissão Interamericana de Direitos Humanos (CIDH)"""&amp;",
IF(REGEXMATCH(S100, ""Pastoral Carcerária""), ""Pastoral Carcerária"",
IF(REGEXMATCH(S100, ""Esquerda Web""), ""Esquerda Web"",
IF(REGEXMATCH(S100, ""ONU|Organização das Nações Unidas""), ""ONU Brasil"",
IF(REGEXMATCH(S100, ""Quilombo Invisível""), ""Qu"&amp;"ilombo Invisível"",
IF(REGEXMATCH(S100, ""ALESP|Assembleia Legislativa""), ""ALESP"",
IF(REGEXMATCH(S100, ""Revista Opera""), ""Revista Opera"",
IF(REGEXMATCH(S100, ""SP Escola de Teatro""), ""SP Escola de Teatro"",
IF(REGEXMATCH(S100, ""EMC|Espaço Memóri"&amp;"a Carandiru""), ""EMC Espaço Memória Carandiru"",
IF(REGEXMATCH(S100, ""^RAMOS, Nuno|Nuno Ramos""), ""Nuno Ramos"",
IF(REGEXMATCH(S100, ""^VELOSO, Caetano|Caetano Veloso""), ""YouTube (Caetano Veloso)"",
IF(REGEXMATCH(S100, ""^FATOS REAIS""), ""YouTube ("&amp;"Fatos Reais - Topic)"",
IF(REGEXMATCH(S100, ""^SALA SECRETA""), ""Wordpress (Sala Secreta)"",
PROPER(REGEXEXTRACT(S100, ""^([^.]*)\.""))
))))))))))))))))))))))))))))))))))))))))))))))))))))))))"),"Pastoral Carcerária")</f>
        <v>Pastoral Carcerária</v>
      </c>
      <c r="N100" s="11" t="s">
        <v>47</v>
      </c>
      <c r="O100" s="11" t="s">
        <v>149</v>
      </c>
      <c r="P100" s="51">
        <v>45853.0</v>
      </c>
      <c r="Q100" s="11" t="s">
        <v>154</v>
      </c>
      <c r="R100" s="70" t="str">
        <f t="shared" si="8"/>
        <v>Aqui</v>
      </c>
      <c r="S100" s="75" t="s">
        <v>697</v>
      </c>
    </row>
    <row r="101">
      <c r="A101" s="11">
        <v>99.0</v>
      </c>
      <c r="B101" s="11" t="s">
        <v>228</v>
      </c>
      <c r="C101" s="122" t="s">
        <v>165</v>
      </c>
      <c r="D101" s="13" t="str">
        <f>IFERROR(__xludf.DUMMYFUNCTION("IF(B101="""","""",IF(OR(
  REGEXMATCH(B101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REGEXMATCH(B101,""público|Imediato|artística|teatral|memória"")
),""Público Imediato"",
IF(REGEXMATCH(B101,""Música|Álbum|Filme|Documentário|Série|Podc"&amp;"ast|Rádio|Audiotour|Entrevista|Reportagem|Crônica|Relatório|Abaixo-assinado|Manifesto|Petição|Poema|Livro|Fotografia|Curta|Live|Webinário|Charge|Leitura pública|Vídeo""),
""Público Mediado"","""")))
"),"Público Imediato")</f>
        <v>Público Imediato</v>
      </c>
      <c r="E101" s="13" t="str">
        <f>IFERROR(__xludf.DUMMYFUNCTION("IF(B101="""","""",IF(OR(
  REGEXMATCH(B101,""Live|Webinário|Virtual""),
  REGEXMATCH(B101,""online"")
),""Virtual"",
IF(REGEXMATCH(B101,""Música|Álbum|Filme|Documentário|Série|Podcast|Rádio|Audiotour|Episódio|Reportagem|Curta|Charge|Livro|Vídeo|Entrevista"&amp;"""),
""Midiático"",
IF(REGEXMATCH(B101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1" s="183">
        <v>42676.0</v>
      </c>
      <c r="G101" s="15">
        <f t="shared" si="1"/>
        <v>2016</v>
      </c>
      <c r="H101" s="11" t="s">
        <v>698</v>
      </c>
      <c r="I101" s="18" t="s">
        <v>699</v>
      </c>
      <c r="J101" s="17" t="s">
        <v>700</v>
      </c>
      <c r="K101" s="16" t="s">
        <v>26</v>
      </c>
      <c r="L101" s="18" t="s">
        <v>489</v>
      </c>
      <c r="M101" s="15" t="str">
        <f>IFERROR(__xludf.DUMMYFUNCTION("IF(REGEXMATCH(S101, ""Companhia das Letras""), ""Companhia das Letras"",
IF(REGEXMATCH(S101, ""Labortexto Editorial""), ""Labortexto Editorial"",
IF(REGEXMATCH(S101, ""Geração Editorial""), ""Geração Editorial"",
IF(REGEXMATCH(S101, ""Editora Imprensa Ofi"&amp;"cial|Imprensa Oficial""), ""Editora Imprensa Oficial"",
IF(REGEXMATCH(S101, ""Folha Online""), ""Folha Online"",
IF(REGEXMATCH(S101, ""FGV DIREITO SP|FGV Direito SP""), ""FGV DIREITO SP"",
IF(REGEXMATCH(S101, ""massacrecarandiru\.org\.br""), ""Memória Mas"&amp;"sacre Carandiru"",
IF(REGEXMATCH(S101, ""Itaú Cultural""), ""YouTube (Itaú Cultural)"",
IF(REGEXMATCH(S101, ""Passa Palavra""), ""Vimeo (Passa Palavra)"",
IF(REGEXMATCH(S101, ""rede2deoutubro\.blogspot""), ""Blogspot (Rede 02 de Outubro)"",
IF(REGEXMATCH("&amp;"S101, ""Rede TVT""), ""YouTube (Rede TVT)"",
IF(REGEXMATCH(S101, ""Esquerda Diário""), ""Esquerda Diário"",
IF(REGEXMATCH(S101, ""GZH""), ""GZH"",
IF(REGEXMATCH(S101, ""TVPUC""), ""TVPUC"",
IF(REGEXMATCH(S101, ""Mídia Ninja.*Facebook""), ""Facebook (Mídia"&amp;" Ninja)"",
IF(REGEXMATCH(S101, ""Memórias Carandiru.*Instagram""), ""Instagram (Memórias Carandiru)"",
IF(REGEXMATCH(S101, ""Frente pelo Desencarceramento SP""), ""YouTube (Frente Pelo Desencarceramento SP)"",
IF(REGEXMATCH(S101, ""TV ABA""), ""YouTube (T"&amp;"V ABA)"",
IF(REGEXMATCH(S101, ""TV SENADO""), ""YouTube (TV Senado)"",
IF(REGEXMATCH(S101, ""Google Arts &amp; Culture""), ""Google Arts &amp; Culture (Memória Massacre Carandiru)"",
IF(REGEXMATCH(S101, ""Anistia Internacional|ANISTIA INTERNACIONAL""), ""Anistia "&amp;"Internacional"",
IF(REGEXMATCH(S101, ""47\.mostra|47a Mostra""), ""47a Mostra Internacional de Cinema em São Paulo"",
IF(REGEXMATCH(S101, ""Canal USP""), ""YouTube (Canal USP)"",
IF(AND(
  REGEXMATCH(S101, ""(?i)(teses?\.usp\.br|dissertacoes?\.usp\.br|rep"&amp;"ositorio\.usp\.br)""),
  NOT(REGEXMATCH(S101, ""Canal USP""))
), ""Biblioteca Digital de Teses e Dissertações da USP"",
IF(REGEXMATCH(S101, ""SINTRAJUSC""), ""SINTRAJUSC"",
IF(REGEXMATCH(S101, ""Agência Brasil|Agencia Brasil""), ""Agência Brasil"",
IF(REG"&amp;"EXMATCH(S101, ""Brasil de Fato""), ""Brasil de Fato"",
IF(REGEXMATCH(S101, ""Ponte Jornalismo|pontejornalismo""), ""Ponte Jornalismo"",
IF(REGEXMATCH(S101, ""letras\.mus\.br|Letras,""), ""Letras"",
IF(REGEXMATCH(S101, ""YouTube|youtube""), 
   ""YouTube "&amp;"(""&amp;
   IF(REGEXMATCH(S101, ""Itaú Cultural""), ""Itaú Cultural"",
   IF(REGEXMATCH(S101, ""Rede TVT""), ""Rede TVT"",
   IF(REGEXMATCH(S101, ""Frente pelo Desencarceramento SP""), ""Frente Pelo Desencarceramento SP"",
   IF(REGEXMATCH(S101, ""TV ABA""), "&amp;"""TV ABA"",
   IF(REGEXMATCH(S101, ""TV SENADO""), ""TV Senado"",
   IF(REGEXMATCH(S101, ""Canal USP""), ""Canal USP"",
   IF(REGEXMATCH(S101, ""Douer, Zack|Zack Douer""), ""Douer Zack"",
   IF(REGEXMATCH(S101, ""PRISIONEIRO 84\.901|PRISIONEIRO 84""), ""P"&amp;"risioneiro 84.901"",
   IF(REGEXMATCH(S101, ""^[^,]*, ""), 
        PROPER(REGEXREPLACE(REGEXEXTRACT(S101, ""^([^.]*)\.""), ""^([^,]*), (.*)"", ""$2 $1"")),
        PROPER(REGEXEXTRACT(S101, ""^([^.]*)\.""))
   )))))))))&amp;"")"",
IF(REGEXMATCH(S101, ""Spot"&amp;"ify|spotify""), 
   ""Spotify (""&amp;
   IF(REGEXMATCH(S101, ""ESTRANHO SORRISO""), ""Estranho Sorriso"",
   PROPER(REGEXEXTRACT(S101, ""^([^.]*)\.""))
   )&amp;"")"",
IF(REGEXMATCH(S101, ""Vimeo|vimeo""), 
   ""Vimeo (""&amp;
   IF(REGEXMATCH(S101, ""Passa Palavra"&amp;"""), ""Passa Palavra"",
   PROPER(REGEXEXTRACT(S101, ""^([^.]*)\.""))
   )&amp;"")"",
IF(REGEXMATCH(S101, ""Blogspot""), 
   ""Blogspot (""&amp;
   IF(REGEXMATCH(S101, ""rede2deoutubro""), ""Rede 02 de Outubro"",
   PROPER(REGEXEXTRACT(S101, ""^([^.]*)\.""))
   "&amp;")&amp;"")"",
IF(REGEXMATCH(S101, ""Facebook""), 
   ""Facebook (""&amp;
   IF(REGEXMATCH(S101, ""Mídia Ninja""), ""Mídia Ninja"",
   PROPER(REGEXEXTRACT(S101, ""^([^.]*)\.""))
   )&amp;"")"",
IF(REGEXMATCH(S101, ""Instagram""), 
   ""Instagram (""&amp;
   IF(REGEXMATCH"&amp;"(S101, ""Memórias Carandiru""), ""Memórias Carandiru"",
   PROPER(REGEXEXTRACT(S101, ""^([^.]*)\.""))
   )&amp;"")"",
IF(REGEXMATCH(S101, ""Folha de S\. Paulo|FOLHA DE S\. PAULO""), ""Folha de S. Paulo"",
IF(REGEXMATCH(S101, ""O Estado de S\. Paulo|ESTADAO"""&amp;"), ""O Estado de S. Paulo"",
IF(REGEXMATCH(S101, ""salasecreta""), ""Wordpress (Sala Secreta)"",
IF(REGEXMATCH(S101, ""Wikipedia|Wikipédia|WIKIPÉDIA""), ""Wikipedia"",
IF(REGEXMATCH(S101, ""VEJA|Veja""), ""Veja Abril"",
IF(REGEXMATCH(S372, ""Rede Globo|RE"&amp;"DE GLOBO""), ""Rede Globo"",
IF(REGEXMATCH(S372, ""G1|globo\.com""), ""G1"",
IF(REGEXMATCH(S101, ""Deutsche Welle|DW\.com""), ""Deutsche Welle"",
IF(REGEXMATCH(S101, ""CIDH|Comissão Interamericana""), ""Comissão Interamericana de Direitos Humanos (CIDH)"""&amp;",
IF(REGEXMATCH(S101, ""Pastoral Carcerária""), ""Pastoral Carcerária"",
IF(REGEXMATCH(S101, ""Esquerda Web""), ""Esquerda Web"",
IF(REGEXMATCH(S101, ""ONU|Organização das Nações Unidas""), ""ONU Brasil"",
IF(REGEXMATCH(S101, ""Quilombo Invisível""), ""Qu"&amp;"ilombo Invisível"",
IF(REGEXMATCH(S101, ""ALESP|Assembleia Legislativa""), ""ALESP"",
IF(REGEXMATCH(S101, ""Revista Opera""), ""Revista Opera"",
IF(REGEXMATCH(S101, ""SP Escola de Teatro""), ""SP Escola de Teatro"",
IF(REGEXMATCH(S101, ""EMC|Espaço Memóri"&amp;"a Carandiru""), ""EMC Espaço Memória Carandiru"",
IF(REGEXMATCH(S101, ""^RAMOS, Nuno|Nuno Ramos""), ""Nuno Ramos"",
IF(REGEXMATCH(S101, ""^VELOSO, Caetano|Caetano Veloso""), ""YouTube (Caetano Veloso)"",
IF(REGEXMATCH(S101, ""^FATOS REAIS""), ""YouTube ("&amp;"Fatos Reais - Topic)"",
IF(REGEXMATCH(S101, ""^SALA SECRETA""), ""Wordpress (Sala Secreta)"",
PROPER(REGEXEXTRACT(S101, ""^([^.]*)\.""))
))))))))))))))))))))))))))))))))))))))))))))))))))))))))"),"GZH")</f>
        <v>GZH</v>
      </c>
      <c r="N101" s="11" t="s">
        <v>47</v>
      </c>
      <c r="O101" s="11" t="s">
        <v>149</v>
      </c>
      <c r="P101" s="51">
        <v>45853.0</v>
      </c>
      <c r="Q101" s="11" t="s">
        <v>154</v>
      </c>
      <c r="R101" s="70" t="str">
        <f t="shared" si="8"/>
        <v>Aqui</v>
      </c>
      <c r="S101" s="75" t="s">
        <v>701</v>
      </c>
    </row>
    <row r="102">
      <c r="A102" s="11">
        <v>100.0</v>
      </c>
      <c r="B102" s="11" t="s">
        <v>333</v>
      </c>
      <c r="C102" s="12" t="str">
        <f>IFERROR(__xludf.DUMMYFUNCTION("IF(B102="""","""",IF(OR(
  REGEXMATCH(B102,""Performance|Instalação|Álbum|Música|Poema|Livro|Filme|Documentário|Recitação|Espetáculo|Peça|Intervenção|Desfile|Fotografia|Exposição|Charge|Grafite|Leitura pública|Fabricação de cachaça artesanal""),
  REGEXMA"&amp;"TCH(B102,""dança|teatral|artístico|musical|artística"")
),""Manifestação artístico-cultural"",
IF(OR(
  REGEXMATCH(B102,""Crônica|Série|Reportagem|Podcast|Audiotour|Entrevista|Vídeo|Rádio""),
  REGEXMATCH(B102,""midiática"")
),""Produção midiática"","""")"&amp;"))
"),"Produção midiática")</f>
        <v>Produção midiática</v>
      </c>
      <c r="D102" s="13" t="str">
        <f>IFERROR(__xludf.DUMMYFUNCTION("IF(B102="""","""",IF(OR(
  REGEXMATCH(B102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REGEXMATCH(B102,""público|Imediato|artística|teatral|memória"")
),""Público Imediato"",
IF(REGEXMATCH(B102,""Música|Álbum|Filme|Documentário|Série|Podc"&amp;"ast|Rádio|Audiotour|Entrevista|Reportagem|Crônica|Relatório|Abaixo-assinado|Manifesto|Petição|Poema|Livro|Fotografia|Curta|Live|Webinário|Charge|Leitura pública|Vídeo""),
""Público Mediado"","""")))
"),"Público Mediado")</f>
        <v>Público Mediado</v>
      </c>
      <c r="E102" s="13" t="str">
        <f>IFERROR(__xludf.DUMMYFUNCTION("IF(B102="""","""",IF(OR(
  REGEXMATCH(B102,""Live|Webinário|Virtual""),
  REGEXMATCH(B102,""online"")
),""Virtual"",
IF(REGEXMATCH(B102,""Música|Álbum|Filme|Documentário|Série|Podcast|Rádio|Audiotour|Episódio|Reportagem|Curta|Charge|Livro|Vídeo|Entrevista"&amp;"""),
""Midiático"",
IF(REGEXMATCH(B102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2" s="183">
        <v>42676.0</v>
      </c>
      <c r="G102" s="15">
        <f t="shared" si="1"/>
        <v>2016</v>
      </c>
      <c r="H102" s="181" t="s">
        <v>347</v>
      </c>
      <c r="I102" s="18" t="s">
        <v>702</v>
      </c>
      <c r="J102" s="17" t="s">
        <v>605</v>
      </c>
      <c r="K102" s="16" t="s">
        <v>26</v>
      </c>
      <c r="L102" s="18" t="s">
        <v>489</v>
      </c>
      <c r="M102" s="15" t="str">
        <f>IFERROR(__xludf.DUMMYFUNCTION("IF(REGEXMATCH(S102, ""Companhia das Letras""), ""Companhia das Letras"",
IF(REGEXMATCH(S102, ""Labortexto Editorial""), ""Labortexto Editorial"",
IF(REGEXMATCH(S102, ""Geração Editorial""), ""Geração Editorial"",
IF(REGEXMATCH(S102, ""Editora Imprensa Ofi"&amp;"cial|Imprensa Oficial""), ""Editora Imprensa Oficial"",
IF(REGEXMATCH(S102, ""Folha Online""), ""Folha Online"",
IF(REGEXMATCH(S102, ""FGV DIREITO SP|FGV Direito SP""), ""FGV DIREITO SP"",
IF(REGEXMATCH(S102, ""massacrecarandiru\.org\.br""), ""Memória Mas"&amp;"sacre Carandiru"",
IF(REGEXMATCH(S102, ""Itaú Cultural""), ""YouTube (Itaú Cultural)"",
IF(REGEXMATCH(S102, ""Passa Palavra""), ""Vimeo (Passa Palavra)"",
IF(REGEXMATCH(S102, ""rede2deoutubro\.blogspot""), ""Blogspot (Rede 02 de Outubro)"",
IF(REGEXMATCH("&amp;"S102, ""Rede TVT""), ""YouTube (Rede TVT)"",
IF(REGEXMATCH(S102, ""Esquerda Diário""), ""Esquerda Diário"",
IF(REGEXMATCH(S102, ""GZH""), ""GZH"",
IF(REGEXMATCH(S102, ""TVPUC""), ""TVPUC"",
IF(REGEXMATCH(S102, ""Mídia Ninja.*Facebook""), ""Facebook (Mídia"&amp;" Ninja)"",
IF(REGEXMATCH(S102, ""Memórias Carandiru.*Instagram""), ""Instagram (Memórias Carandiru)"",
IF(REGEXMATCH(S102, ""Frente pelo Desencarceramento SP""), ""YouTube (Frente Pelo Desencarceramento SP)"",
IF(REGEXMATCH(S102, ""TV ABA""), ""YouTube (T"&amp;"V ABA)"",
IF(REGEXMATCH(S102, ""TV SENADO""), ""YouTube (TV Senado)"",
IF(REGEXMATCH(S102, ""Google Arts &amp; Culture""), ""Google Arts &amp; Culture (Memória Massacre Carandiru)"",
IF(REGEXMATCH(S102, ""Anistia Internacional|ANISTIA INTERNACIONAL""), ""Anistia "&amp;"Internacional"",
IF(REGEXMATCH(S102, ""47\.mostra|47a Mostra""), ""47a Mostra Internacional de Cinema em São Paulo"",
IF(REGEXMATCH(S102, ""Canal USP""), ""YouTube (Canal USP)"",
IF(AND(
  REGEXMATCH(S102, ""(?i)(teses?\.usp\.br|dissertacoes?\.usp\.br|rep"&amp;"ositorio\.usp\.br)""),
  NOT(REGEXMATCH(S102, ""Canal USP""))
), ""Biblioteca Digital de Teses e Dissertações da USP"",
IF(REGEXMATCH(S102, ""SINTRAJUSC""), ""SINTRAJUSC"",
IF(REGEXMATCH(S102, ""Agência Brasil|Agencia Brasil""), ""Agência Brasil"",
IF(REG"&amp;"EXMATCH(S102, ""Brasil de Fato""), ""Brasil de Fato"",
IF(REGEXMATCH(S102, ""Ponte Jornalismo|pontejornalismo""), ""Ponte Jornalismo"",
IF(REGEXMATCH(S102, ""letras\.mus\.br|Letras,""), ""Letras"",
IF(REGEXMATCH(S102, ""YouTube|youtube""), 
   ""YouTube "&amp;"(""&amp;
   IF(REGEXMATCH(S102, ""Itaú Cultural""), ""Itaú Cultural"",
   IF(REGEXMATCH(S102, ""Rede TVT""), ""Rede TVT"",
   IF(REGEXMATCH(S102, ""Frente pelo Desencarceramento SP""), ""Frente Pelo Desencarceramento SP"",
   IF(REGEXMATCH(S102, ""TV ABA""), "&amp;"""TV ABA"",
   IF(REGEXMATCH(S102, ""TV SENADO""), ""TV Senado"",
   IF(REGEXMATCH(S102, ""Canal USP""), ""Canal USP"",
   IF(REGEXMATCH(S102, ""Douer, Zack|Zack Douer""), ""Douer Zack"",
   IF(REGEXMATCH(S102, ""PRISIONEIRO 84\.901|PRISIONEIRO 84""), ""P"&amp;"risioneiro 84.901"",
   IF(REGEXMATCH(S102, ""^[^,]*, ""), 
        PROPER(REGEXREPLACE(REGEXEXTRACT(S102, ""^([^.]*)\.""), ""^([^,]*), (.*)"", ""$2 $1"")),
        PROPER(REGEXEXTRACT(S102, ""^([^.]*)\.""))
   )))))))))&amp;"")"",
IF(REGEXMATCH(S102, ""Spot"&amp;"ify|spotify""), 
   ""Spotify (""&amp;
   IF(REGEXMATCH(S102, ""ESTRANHO SORRISO""), ""Estranho Sorriso"",
   PROPER(REGEXEXTRACT(S102, ""^([^.]*)\.""))
   )&amp;"")"",
IF(REGEXMATCH(S102, ""Vimeo|vimeo""), 
   ""Vimeo (""&amp;
   IF(REGEXMATCH(S102, ""Passa Palavra"&amp;"""), ""Passa Palavra"",
   PROPER(REGEXEXTRACT(S102, ""^([^.]*)\.""))
   )&amp;"")"",
IF(REGEXMATCH(S102, ""Blogspot""), 
   ""Blogspot (""&amp;
   IF(REGEXMATCH(S102, ""rede2deoutubro""), ""Rede 02 de Outubro"",
   PROPER(REGEXEXTRACT(S102, ""^([^.]*)\.""))
   "&amp;")&amp;"")"",
IF(REGEXMATCH(S102, ""Facebook""), 
   ""Facebook (""&amp;
   IF(REGEXMATCH(S102, ""Mídia Ninja""), ""Mídia Ninja"",
   PROPER(REGEXEXTRACT(S102, ""^([^.]*)\.""))
   )&amp;"")"",
IF(REGEXMATCH(S102, ""Instagram""), 
   ""Instagram (""&amp;
   IF(REGEXMATCH"&amp;"(S102, ""Memórias Carandiru""), ""Memórias Carandiru"",
   PROPER(REGEXEXTRACT(S102, ""^([^.]*)\.""))
   )&amp;"")"",
IF(REGEXMATCH(S102, ""Folha de S\. Paulo|FOLHA DE S\. PAULO""), ""Folha de S. Paulo"",
IF(REGEXMATCH(S102, ""O Estado de S\. Paulo|ESTADAO"""&amp;"), ""O Estado de S. Paulo"",
IF(REGEXMATCH(S102, ""salasecreta""), ""Wordpress (Sala Secreta)"",
IF(REGEXMATCH(S102, ""Wikipedia|Wikipédia|WIKIPÉDIA""), ""Wikipedia"",
IF(REGEXMATCH(S102, ""VEJA|Veja""), ""Veja Abril"",
IF(REGEXMATCH(S374, ""Rede Globo|RE"&amp;"DE GLOBO""), ""Rede Globo"",
IF(REGEXMATCH(S374, ""G1|globo\.com""), ""G1"",
IF(REGEXMATCH(S102, ""Deutsche Welle|DW\.com""), ""Deutsche Welle"",
IF(REGEXMATCH(S102, ""CIDH|Comissão Interamericana""), ""Comissão Interamericana de Direitos Humanos (CIDH)"""&amp;",
IF(REGEXMATCH(S102, ""Pastoral Carcerária""), ""Pastoral Carcerária"",
IF(REGEXMATCH(S102, ""Esquerda Web""), ""Esquerda Web"",
IF(REGEXMATCH(S102, ""ONU|Organização das Nações Unidas""), ""ONU Brasil"",
IF(REGEXMATCH(S102, ""Quilombo Invisível""), ""Qu"&amp;"ilombo Invisível"",
IF(REGEXMATCH(S102, ""ALESP|Assembleia Legislativa""), ""ALESP"",
IF(REGEXMATCH(S102, ""Revista Opera""), ""Revista Opera"",
IF(REGEXMATCH(S102, ""SP Escola de Teatro""), ""SP Escola de Teatro"",
IF(REGEXMATCH(S102, ""EMC|Espaço Memóri"&amp;"a Carandiru""), ""EMC Espaço Memória Carandiru"",
IF(REGEXMATCH(S102, ""^RAMOS, Nuno|Nuno Ramos""), ""Nuno Ramos"",
IF(REGEXMATCH(S102, ""^VELOSO, Caetano|Caetano Veloso""), ""YouTube (Caetano Veloso)"",
IF(REGEXMATCH(S102, ""^FATOS REAIS""), ""YouTube ("&amp;"Fatos Reais - Topic)"",
IF(REGEXMATCH(S102, ""^SALA SECRETA""), ""Wordpress (Sala Secreta)"",
PROPER(REGEXEXTRACT(S102, ""^([^.]*)\.""))
))))))))))))))))))))))))))))))))))))))))))))))))))))))))"),"Quilombo Invisível")</f>
        <v>Quilombo Invisível</v>
      </c>
      <c r="N102" s="11" t="s">
        <v>47</v>
      </c>
      <c r="O102" s="11" t="s">
        <v>221</v>
      </c>
      <c r="P102" s="51">
        <v>45855.0</v>
      </c>
      <c r="Q102" s="11" t="s">
        <v>154</v>
      </c>
      <c r="R102" s="70" t="str">
        <f t="shared" si="8"/>
        <v>Aqui</v>
      </c>
      <c r="S102" s="75" t="s">
        <v>607</v>
      </c>
    </row>
    <row r="103">
      <c r="A103" s="11">
        <v>101.0</v>
      </c>
      <c r="B103" s="11" t="s">
        <v>703</v>
      </c>
      <c r="C103" s="12" t="str">
        <f>IFERROR(__xludf.DUMMYFUNCTION("IF(B103="""","""",IF(OR(
  REGEXMATCH(B103,""Performance|Instalação|Álbum|Música|Poema|Livro|Filme|Documentário|Recitação|Espetáculo|Peça|Intervenção|Desfile|Fotografia|Exposição|Charge|Grafite|Leitura pública|Fabricação de cachaça artesanal""),
  REGEXMA"&amp;"TCH(B103,""dança|teatral|artístico|musical|artística"")
),""Manifestação artístico-cultural"",
IF(OR(
  REGEXMATCH(B103,""Crônica|Série|Reportagem|Podcast|Audiotour|Entrevista|Vídeo|Rádio""),
  REGEXMATCH(B103,""midiática"")
),""Produção midiática"","""")"&amp;"))
"),"Produção midiática")</f>
        <v>Produção midiática</v>
      </c>
      <c r="D103" s="13" t="str">
        <f>IFERROR(__xludf.DUMMYFUNCTION("IF(B103="""","""",IF(OR(
  REGEXMATCH(B103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REGEXMATCH(B103,""público|Imediato|artística|teatral|memória"")
),""Público Imediato"",
IF(REGEXMATCH(B103,""Música|Álbum|Filme|Documentário|Série|Podc"&amp;"ast|Rádio|Audiotour|Entrevista|Reportagem|Crônica|Relatório|Abaixo-assinado|Manifesto|Petição|Poema|Livro|Fotografia|Curta|Live|Webinário|Charge|Leitura pública|Vídeo""),
""Público Mediado"","""")))
"),"Público Mediado")</f>
        <v>Público Mediado</v>
      </c>
      <c r="E103" s="13" t="str">
        <f>IFERROR(__xludf.DUMMYFUNCTION("IF(B103="""","""",IF(OR(
  REGEXMATCH(B103,""Live|Webinário|Virtual""),
  REGEXMATCH(B103,""online"")
),""Virtual"",
IF(REGEXMATCH(B103,""Música|Álbum|Filme|Documentário|Série|Podcast|Rádio|Audiotour|Episódio|Reportagem|Curta|Charge|Livro|Vídeo|Entrevista"&amp;"""),
""Midiático"",
IF(REGEXMATCH(B103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3" s="171">
        <v>42719.0</v>
      </c>
      <c r="G103" s="15">
        <f t="shared" si="1"/>
        <v>2016</v>
      </c>
      <c r="H103" s="181" t="s">
        <v>347</v>
      </c>
      <c r="I103" s="18" t="s">
        <v>704</v>
      </c>
      <c r="J103" s="169" t="str">
        <f>IFERROR(__xludf.DUMMYFUNCTION("REGEXEXTRACT(S103, ""\.\s(.*?)(?:\.|–)"")"),"Veja como foi o Massacre do Carandiru")</f>
        <v>Veja como foi o Massacre do Carandiru</v>
      </c>
      <c r="K103" s="16" t="s">
        <v>83</v>
      </c>
      <c r="L103" s="18" t="s">
        <v>329</v>
      </c>
      <c r="M103" s="15" t="str">
        <f>IFERROR(__xludf.DUMMYFUNCTION("IF(REGEXMATCH(S103, ""Companhia das Letras""), ""Companhia das Letras"",
IF(REGEXMATCH(S103, ""Labortexto Editorial""), ""Labortexto Editorial"",
IF(REGEXMATCH(S103, ""Geração Editorial""), ""Geração Editorial"",
IF(REGEXMATCH(S103, ""Editora Imprensa Ofi"&amp;"cial|Imprensa Oficial""), ""Editora Imprensa Oficial"",
IF(REGEXMATCH(S103, ""Folha Online""), ""Folha Online"",
IF(REGEXMATCH(S103, ""FGV DIREITO SP|FGV Direito SP""), ""FGV DIREITO SP"",
IF(REGEXMATCH(S103, ""massacrecarandiru\.org\.br""), ""Memória Mas"&amp;"sacre Carandiru"",
IF(REGEXMATCH(S103, ""Itaú Cultural""), ""YouTube (Itaú Cultural)"",
IF(REGEXMATCH(S103, ""Passa Palavra""), ""Vimeo (Passa Palavra)"",
IF(REGEXMATCH(S103, ""rede2deoutubro\.blogspot""), ""Blogspot (Rede 02 de Outubro)"",
IF(REGEXMATCH("&amp;"S103, ""Rede TVT""), ""YouTube (Rede TVT)"",
IF(REGEXMATCH(S103, ""Esquerda Diário""), ""Esquerda Diário"",
IF(REGEXMATCH(S103, ""GZH""), ""GZH"",
IF(REGEXMATCH(S103, ""TVPUC""), ""TVPUC"",
IF(REGEXMATCH(S103, ""Mídia Ninja.*Facebook""), ""Facebook (Mídia"&amp;" Ninja)"",
IF(REGEXMATCH(S103, ""Memórias Carandiru.*Instagram""), ""Instagram (Memórias Carandiru)"",
IF(REGEXMATCH(S103, ""Frente pelo Desencarceramento SP""), ""YouTube (Frente Pelo Desencarceramento SP)"",
IF(REGEXMATCH(S103, ""TV ABA""), ""YouTube (T"&amp;"V ABA)"",
IF(REGEXMATCH(S103, ""TV SENADO""), ""YouTube (TV Senado)"",
IF(REGEXMATCH(S103, ""Google Arts &amp; Culture""), ""Google Arts &amp; Culture (Memória Massacre Carandiru)"",
IF(REGEXMATCH(S103, ""Anistia Internacional|ANISTIA INTERNACIONAL""), ""Anistia "&amp;"Internacional"",
IF(REGEXMATCH(S103, ""47\.mostra|47a Mostra""), ""47a Mostra Internacional de Cinema em São Paulo"",
IF(REGEXMATCH(S103, ""Canal USP""), ""YouTube (Canal USP)"",
IF(AND(
  REGEXMATCH(S103, ""(?i)(teses?\.usp\.br|dissertacoes?\.usp\.br|rep"&amp;"ositorio\.usp\.br)""),
  NOT(REGEXMATCH(S103, ""Canal USP""))
), ""Biblioteca Digital de Teses e Dissertações da USP"",
IF(REGEXMATCH(S103, ""SINTRAJUSC""), ""SINTRAJUSC"",
IF(REGEXMATCH(S103, ""Agência Brasil|Agencia Brasil""), ""Agência Brasil"",
IF(REG"&amp;"EXMATCH(S103, ""Brasil de Fato""), ""Brasil de Fato"",
IF(REGEXMATCH(S103, ""Ponte Jornalismo|pontejornalismo""), ""Ponte Jornalismo"",
IF(REGEXMATCH(S103, ""letras\.mus\.br|Letras,""), ""Letras"",
IF(REGEXMATCH(S103, ""YouTube|youtube""), 
   ""YouTube "&amp;"(""&amp;
   IF(REGEXMATCH(S103, ""Itaú Cultural""), ""Itaú Cultural"",
   IF(REGEXMATCH(S103, ""Rede TVT""), ""Rede TVT"",
   IF(REGEXMATCH(S103, ""Frente pelo Desencarceramento SP""), ""Frente Pelo Desencarceramento SP"",
   IF(REGEXMATCH(S103, ""TV ABA""), "&amp;"""TV ABA"",
   IF(REGEXMATCH(S103, ""TV SENADO""), ""TV Senado"",
   IF(REGEXMATCH(S103, ""Canal USP""), ""Canal USP"",
   IF(REGEXMATCH(S103, ""Douer, Zack|Zack Douer""), ""Douer Zack"",
   IF(REGEXMATCH(S103, ""PRISIONEIRO 84\.901|PRISIONEIRO 84""), ""P"&amp;"risioneiro 84.901"",
   IF(REGEXMATCH(S103, ""^[^,]*, ""), 
        PROPER(REGEXREPLACE(REGEXEXTRACT(S103, ""^([^.]*)\.""), ""^([^,]*), (.*)"", ""$2 $1"")),
        PROPER(REGEXEXTRACT(S103, ""^([^.]*)\.""))
   )))))))))&amp;"")"",
IF(REGEXMATCH(S103, ""Spot"&amp;"ify|spotify""), 
   ""Spotify (""&amp;
   IF(REGEXMATCH(S103, ""ESTRANHO SORRISO""), ""Estranho Sorriso"",
   PROPER(REGEXEXTRACT(S103, ""^([^.]*)\.""))
   )&amp;"")"",
IF(REGEXMATCH(S103, ""Vimeo|vimeo""), 
   ""Vimeo (""&amp;
   IF(REGEXMATCH(S103, ""Passa Palavra"&amp;"""), ""Passa Palavra"",
   PROPER(REGEXEXTRACT(S103, ""^([^.]*)\.""))
   )&amp;"")"",
IF(REGEXMATCH(S103, ""Blogspot""), 
   ""Blogspot (""&amp;
   IF(REGEXMATCH(S103, ""rede2deoutubro""), ""Rede 02 de Outubro"",
   PROPER(REGEXEXTRACT(S103, ""^([^.]*)\.""))
   "&amp;")&amp;"")"",
IF(REGEXMATCH(S103, ""Facebook""), 
   ""Facebook (""&amp;
   IF(REGEXMATCH(S103, ""Mídia Ninja""), ""Mídia Ninja"",
   PROPER(REGEXEXTRACT(S103, ""^([^.]*)\.""))
   )&amp;"")"",
IF(REGEXMATCH(S103, ""Instagram""), 
   ""Instagram (""&amp;
   IF(REGEXMATCH"&amp;"(S103, ""Memórias Carandiru""), ""Memórias Carandiru"",
   PROPER(REGEXEXTRACT(S103, ""^([^.]*)\.""))
   )&amp;"")"",
IF(REGEXMATCH(S103, ""Folha de S\. Paulo|FOLHA DE S\. PAULO""), ""Folha de S. Paulo"",
IF(REGEXMATCH(S103, ""O Estado de S\. Paulo|ESTADAO"""&amp;"), ""O Estado de S. Paulo"",
IF(REGEXMATCH(S103, ""salasecreta""), ""Wordpress (Sala Secreta)"",
IF(REGEXMATCH(S103, ""Wikipedia|Wikipédia|WIKIPÉDIA""), ""Wikipedia"",
IF(REGEXMATCH(S103, ""VEJA|Veja""), ""Veja Abril"",
IF(REGEXMATCH(S375, ""Rede Globo|RE"&amp;"DE GLOBO""), ""Rede Globo"",
IF(REGEXMATCH(S375, ""G1|globo\.com""), ""G1"",
IF(REGEXMATCH(S103, ""Deutsche Welle|DW\.com""), ""Deutsche Welle"",
IF(REGEXMATCH(S103, ""CIDH|Comissão Interamericana""), ""Comissão Interamericana de Direitos Humanos (CIDH)"""&amp;",
IF(REGEXMATCH(S103, ""Pastoral Carcerária""), ""Pastoral Carcerária"",
IF(REGEXMATCH(S103, ""Esquerda Web""), ""Esquerda Web"",
IF(REGEXMATCH(S103, ""ONU|Organização das Nações Unidas""), ""ONU Brasil"",
IF(REGEXMATCH(S103, ""Quilombo Invisível""), ""Qu"&amp;"ilombo Invisível"",
IF(REGEXMATCH(S103, ""ALESP|Assembleia Legislativa""), ""ALESP"",
IF(REGEXMATCH(S103, ""Revista Opera""), ""Revista Opera"",
IF(REGEXMATCH(S103, ""SP Escola de Teatro""), ""SP Escola de Teatro"",
IF(REGEXMATCH(S103, ""EMC|Espaço Memóri"&amp;"a Carandiru""), ""EMC Espaço Memória Carandiru"",
IF(REGEXMATCH(S103, ""^RAMOS, Nuno|Nuno Ramos""), ""Nuno Ramos"",
IF(REGEXMATCH(S103, ""^VELOSO, Caetano|Caetano Veloso""), ""YouTube (Caetano Veloso)"",
IF(REGEXMATCH(S103, ""^FATOS REAIS""), ""YouTube ("&amp;"Fatos Reais - Topic)"",
IF(REGEXMATCH(S103, ""^SALA SECRETA""), ""Wordpress (Sala Secreta)"",
PROPER(REGEXEXTRACT(S103, ""^([^.]*)\.""))
))))))))))))))))))))))))))))))))))))))))))))))))))))))))"),"YouTube (Você Sabia?)")</f>
        <v>YouTube (Você Sabia?)</v>
      </c>
      <c r="N103" s="11" t="s">
        <v>47</v>
      </c>
      <c r="O103" s="14" t="s">
        <v>342</v>
      </c>
      <c r="P103" s="171">
        <v>45945.0</v>
      </c>
      <c r="Q103" s="11" t="s">
        <v>154</v>
      </c>
      <c r="R103" s="70" t="str">
        <f t="shared" si="8"/>
        <v>Aqui</v>
      </c>
      <c r="S103" s="75" t="s">
        <v>705</v>
      </c>
    </row>
    <row r="104">
      <c r="A104" s="11">
        <v>102.0</v>
      </c>
      <c r="B104" s="11" t="s">
        <v>706</v>
      </c>
      <c r="C104" s="122" t="s">
        <v>165</v>
      </c>
      <c r="D104" s="13" t="str">
        <f>IFERROR(__xludf.DUMMYFUNCTION("IF(B104="""","""",IF(OR(
  REGEXMATCH(B104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REGEXMATCH(B104,""público|Imediato|artística|teatral|memória"")
),""Público Imediato"",
IF(REGEXMATCH(B104,""Música|Álbum|Filme|Documentário|Série|Podc"&amp;"ast|Rádio|Audiotour|Entrevista|Reportagem|Crônica|Relatório|Abaixo-assinado|Manifesto|Petição|Poema|Livro|Fotografia|Curta|Live|Webinário|Charge|Leitura pública|Vídeo""),
""Público Mediado"","""")))
"),"Público Imediato")</f>
        <v>Público Imediato</v>
      </c>
      <c r="E104" s="13" t="str">
        <f>IFERROR(__xludf.DUMMYFUNCTION("IF(B104="""","""",IF(OR(
  REGEXMATCH(B104,""Live|Webinário|Virtual""),
  REGEXMATCH(B104,""online"")
),""Virtual"",
IF(REGEXMATCH(B104,""Música|Álbum|Filme|Documentário|Série|Podcast|Rádio|Audiotour|Episódio|Reportagem|Curta|Charge|Livro|Vídeo|Entrevista"&amp;"""),
""Midiático"",
IF(REGEXMATCH(B104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4" s="171">
        <v>43033.0</v>
      </c>
      <c r="G104" s="15">
        <f t="shared" si="1"/>
        <v>2017</v>
      </c>
      <c r="H104" s="11" t="s">
        <v>707</v>
      </c>
      <c r="I104" s="18" t="s">
        <v>468</v>
      </c>
      <c r="J104" s="17" t="s">
        <v>708</v>
      </c>
      <c r="K104" s="16" t="s">
        <v>83</v>
      </c>
      <c r="L104" s="18" t="s">
        <v>329</v>
      </c>
      <c r="M104" s="15" t="str">
        <f>IFERROR(__xludf.DUMMYFUNCTION("IF(REGEXMATCH(S104, ""Companhia das Letras""), ""Companhia das Letras"",
IF(REGEXMATCH(S104, ""Labortexto Editorial""), ""Labortexto Editorial"",
IF(REGEXMATCH(S104, ""Geração Editorial""), ""Geração Editorial"",
IF(REGEXMATCH(S104, ""Editora Imprensa Ofi"&amp;"cial|Imprensa Oficial""), ""Editora Imprensa Oficial"",
IF(REGEXMATCH(S104, ""Folha Online""), ""Folha Online"",
IF(REGEXMATCH(S104, ""FGV DIREITO SP|FGV Direito SP""), ""FGV DIREITO SP"",
IF(REGEXMATCH(S104, ""massacrecarandiru\.org\.br""), ""Memória Mas"&amp;"sacre Carandiru"",
IF(REGEXMATCH(S104, ""Itaú Cultural""), ""YouTube (Itaú Cultural)"",
IF(REGEXMATCH(S104, ""Passa Palavra""), ""Vimeo (Passa Palavra)"",
IF(REGEXMATCH(S104, ""rede2deoutubro\.blogspot""), ""Blogspot (Rede 02 de Outubro)"",
IF(REGEXMATCH("&amp;"S104, ""Rede TVT""), ""YouTube (Rede TVT)"",
IF(REGEXMATCH(S104, ""Esquerda Diário""), ""Esquerda Diário"",
IF(REGEXMATCH(S104, ""GZH""), ""GZH"",
IF(REGEXMATCH(S104, ""TVPUC""), ""TVPUC"",
IF(REGEXMATCH(S104, ""Mídia Ninja.*Facebook""), ""Facebook (Mídia"&amp;" Ninja)"",
IF(REGEXMATCH(S104, ""Memórias Carandiru.*Instagram""), ""Instagram (Memórias Carandiru)"",
IF(REGEXMATCH(S104, ""Frente pelo Desencarceramento SP""), ""YouTube (Frente Pelo Desencarceramento SP)"",
IF(REGEXMATCH(S104, ""TV ABA""), ""YouTube (T"&amp;"V ABA)"",
IF(REGEXMATCH(S104, ""TV SENADO""), ""YouTube (TV Senado)"",
IF(REGEXMATCH(S104, ""Google Arts &amp; Culture""), ""Google Arts &amp; Culture (Memória Massacre Carandiru)"",
IF(REGEXMATCH(S104, ""Anistia Internacional|ANISTIA INTERNACIONAL""), ""Anistia "&amp;"Internacional"",
IF(REGEXMATCH(S104, ""47\.mostra|47a Mostra""), ""47a Mostra Internacional de Cinema em São Paulo"",
IF(REGEXMATCH(S104, ""Canal USP""), ""YouTube (Canal USP)"",
IF(AND(
  REGEXMATCH(S104, ""(?i)(teses?\.usp\.br|dissertacoes?\.usp\.br|rep"&amp;"ositorio\.usp\.br)""),
  NOT(REGEXMATCH(S104, ""Canal USP""))
), ""Biblioteca Digital de Teses e Dissertações da USP"",
IF(REGEXMATCH(S104, ""SINTRAJUSC""), ""SINTRAJUSC"",
IF(REGEXMATCH(S104, ""Agência Brasil|Agencia Brasil""), ""Agência Brasil"",
IF(REG"&amp;"EXMATCH(S104, ""Brasil de Fato""), ""Brasil de Fato"",
IF(REGEXMATCH(S104, ""Ponte Jornalismo|pontejornalismo""), ""Ponte Jornalismo"",
IF(REGEXMATCH(S104, ""letras\.mus\.br|Letras,""), ""Letras"",
IF(REGEXMATCH(S104, ""YouTube|youtube""), 
   ""YouTube "&amp;"(""&amp;
   IF(REGEXMATCH(S104, ""Itaú Cultural""), ""Itaú Cultural"",
   IF(REGEXMATCH(S104, ""Rede TVT""), ""Rede TVT"",
   IF(REGEXMATCH(S104, ""Frente pelo Desencarceramento SP""), ""Frente Pelo Desencarceramento SP"",
   IF(REGEXMATCH(S104, ""TV ABA""), "&amp;"""TV ABA"",
   IF(REGEXMATCH(S104, ""TV SENADO""), ""TV Senado"",
   IF(REGEXMATCH(S104, ""Canal USP""), ""Canal USP"",
   IF(REGEXMATCH(S104, ""Douer, Zack|Zack Douer""), ""Douer Zack"",
   IF(REGEXMATCH(S104, ""PRISIONEIRO 84\.901|PRISIONEIRO 84""), ""P"&amp;"risioneiro 84.901"",
   IF(REGEXMATCH(S104, ""^[^,]*, ""), 
        PROPER(REGEXREPLACE(REGEXEXTRACT(S104, ""^([^.]*)\.""), ""^([^,]*), (.*)"", ""$2 $1"")),
        PROPER(REGEXEXTRACT(S104, ""^([^.]*)\.""))
   )))))))))&amp;"")"",
IF(REGEXMATCH(S104, ""Spot"&amp;"ify|spotify""), 
   ""Spotify (""&amp;
   IF(REGEXMATCH(S104, ""ESTRANHO SORRISO""), ""Estranho Sorriso"",
   PROPER(REGEXEXTRACT(S104, ""^([^.]*)\.""))
   )&amp;"")"",
IF(REGEXMATCH(S104, ""Vimeo|vimeo""), 
   ""Vimeo (""&amp;
   IF(REGEXMATCH(S104, ""Passa Palavra"&amp;"""), ""Passa Palavra"",
   PROPER(REGEXEXTRACT(S104, ""^([^.]*)\.""))
   )&amp;"")"",
IF(REGEXMATCH(S104, ""Blogspot""), 
   ""Blogspot (""&amp;
   IF(REGEXMATCH(S104, ""rede2deoutubro""), ""Rede 02 de Outubro"",
   PROPER(REGEXEXTRACT(S104, ""^([^.]*)\.""))
   "&amp;")&amp;"")"",
IF(REGEXMATCH(S104, ""Facebook""), 
   ""Facebook (""&amp;
   IF(REGEXMATCH(S104, ""Mídia Ninja""), ""Mídia Ninja"",
   PROPER(REGEXEXTRACT(S104, ""^([^.]*)\.""))
   )&amp;"")"",
IF(REGEXMATCH(S104, ""Instagram""), 
   ""Instagram (""&amp;
   IF(REGEXMATCH"&amp;"(S104, ""Memórias Carandiru""), ""Memórias Carandiru"",
   PROPER(REGEXEXTRACT(S104, ""^([^.]*)\.""))
   )&amp;"")"",
IF(REGEXMATCH(S104, ""Folha de S\. Paulo|FOLHA DE S\. PAULO""), ""Folha de S. Paulo"",
IF(REGEXMATCH(S104, ""O Estado de S\. Paulo|ESTADAO"""&amp;"), ""O Estado de S. Paulo"",
IF(REGEXMATCH(S104, ""salasecreta""), ""Wordpress (Sala Secreta)"",
IF(REGEXMATCH(S104, ""Wikipedia|Wikipédia|WIKIPÉDIA""), ""Wikipedia"",
IF(REGEXMATCH(S104, ""VEJA|Veja""), ""Veja Abril"",
IF(REGEXMATCH(S376, ""Rede Globo|RE"&amp;"DE GLOBO""), ""Rede Globo"",
IF(REGEXMATCH(S376, ""G1|globo\.com""), ""G1"",
IF(REGEXMATCH(S104, ""Deutsche Welle|DW\.com""), ""Deutsche Welle"",
IF(REGEXMATCH(S104, ""CIDH|Comissão Interamericana""), ""Comissão Interamericana de Direitos Humanos (CIDH)"""&amp;",
IF(REGEXMATCH(S104, ""Pastoral Carcerária""), ""Pastoral Carcerária"",
IF(REGEXMATCH(S104, ""Esquerda Web""), ""Esquerda Web"",
IF(REGEXMATCH(S104, ""ONU|Organização das Nações Unidas""), ""ONU Brasil"",
IF(REGEXMATCH(S104, ""Quilombo Invisível""), ""Qu"&amp;"ilombo Invisível"",
IF(REGEXMATCH(S104, ""ALESP|Assembleia Legislativa""), ""ALESP"",
IF(REGEXMATCH(S104, ""Revista Opera""), ""Revista Opera"",
IF(REGEXMATCH(S104, ""SP Escola de Teatro""), ""SP Escola de Teatro"",
IF(REGEXMATCH(S104, ""EMC|Espaço Memóri"&amp;"a Carandiru""), ""EMC Espaço Memória Carandiru"",
IF(REGEXMATCH(S104, ""^RAMOS, Nuno|Nuno Ramos""), ""Nuno Ramos"",
IF(REGEXMATCH(S104, ""^VELOSO, Caetano|Caetano Veloso""), ""YouTube (Caetano Veloso)"",
IF(REGEXMATCH(S104, ""^FATOS REAIS""), ""YouTube ("&amp;"Fatos Reais - Topic)"",
IF(REGEXMATCH(S104, ""^SALA SECRETA""), ""Wordpress (Sala Secreta)"",
PROPER(REGEXEXTRACT(S104, ""^([^.]*)\.""))
))))))))))))))))))))))))))))))))))))))))))))))))))))))))"),"TVPUC")</f>
        <v>TVPUC</v>
      </c>
      <c r="N104" s="11" t="s">
        <v>47</v>
      </c>
      <c r="O104" s="11" t="s">
        <v>221</v>
      </c>
      <c r="P104" s="51">
        <v>45854.0</v>
      </c>
      <c r="Q104" s="11" t="s">
        <v>154</v>
      </c>
      <c r="R104" s="70" t="str">
        <f t="shared" si="8"/>
        <v>Aqui</v>
      </c>
      <c r="S104" s="75" t="s">
        <v>709</v>
      </c>
    </row>
    <row r="105">
      <c r="A105" s="11">
        <v>103.0</v>
      </c>
      <c r="B105" s="11" t="s">
        <v>655</v>
      </c>
      <c r="C105" s="12" t="str">
        <f>IFERROR(__xludf.DUMMYFUNCTION("IF(B105="""","""",IF(OR(
  REGEXMATCH(B105,""Performance|Instalação|Álbum|Música|Poema|Livro|Filme|Documentário|Recitação|Espetáculo|Peça|Intervenção|Desfile|Fotografia|Exposição|Charge|Grafite|Leitura pública|Fabricação de cachaça artesanal""),
  REGEXMA"&amp;"TCH(B105,""dança|teatral|artístico|musical|artística"")
),""Manifestação artístico-cultural"",
IF(OR(
  REGEXMATCH(B105,""Crônica|Série|Reportagem|Podcast|Audiotour|Entrevista|Vídeo|Rádio""),
  REGEXMATCH(B105,""midiática"")
),""Produção midiática"","""")"&amp;"))
"),"Manifestação artístico-cultural")</f>
        <v>Manifestação artístico-cultural</v>
      </c>
      <c r="D105" s="13" t="str">
        <f>IFERROR(__xludf.DUMMYFUNCTION("IF(B105="""","""",IF(OR(
  REGEXMATCH(B105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REGEXMATCH(B105,""público|Imediato|artística|teatral|memória"")
),""Público Imediato"",
IF(REGEXMATCH(B105,""Música|Álbum|Filme|Documentário|Série|Podc"&amp;"ast|Rádio|Audiotour|Entrevista|Reportagem|Crônica|Relatório|Abaixo-assinado|Manifesto|Petição|Poema|Livro|Fotografia|Curta|Live|Webinário|Charge|Leitura pública|Vídeo""),
""Público Mediado"","""")))
"),"Público Mediado")</f>
        <v>Público Mediado</v>
      </c>
      <c r="E105" s="13" t="str">
        <f>IFERROR(__xludf.DUMMYFUNCTION("IF(B105="""","""",IF(OR(
  REGEXMATCH(B105,""Live|Webinário|Virtual""),
  REGEXMATCH(B105,""online"")
),""Virtual"",
IF(REGEXMATCH(B105,""Música|Álbum|Filme|Documentário|Série|Podcast|Rádio|Audiotour|Episódio|Reportagem|Curta|Charge|Livro|Vídeo|Entrevista"&amp;"""),
""Midiático"",
IF(REGEXMATCH(B105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5" s="11">
        <v>2017.0</v>
      </c>
      <c r="G105" s="15">
        <f t="shared" si="1"/>
        <v>2017</v>
      </c>
      <c r="H105" s="11" t="s">
        <v>23</v>
      </c>
      <c r="I105" s="18" t="s">
        <v>710</v>
      </c>
      <c r="J105" s="17" t="s">
        <v>711</v>
      </c>
      <c r="K105" s="205" t="s">
        <v>91</v>
      </c>
      <c r="L105" s="206" t="s">
        <v>94</v>
      </c>
      <c r="M105" s="15" t="str">
        <f>IFERROR(__xludf.DUMMYFUNCTION("IF(REGEXMATCH(S105, ""Companhia das Letras""), ""Companhia das Letras"",
IF(REGEXMATCH(S105, ""Labortexto Editorial""), ""Labortexto Editorial"",
IF(REGEXMATCH(S105, ""Geração Editorial""), ""Geração Editorial"",
IF(REGEXMATCH(S105, ""Editora Imprensa Ofi"&amp;"cial|Imprensa Oficial""), ""Editora Imprensa Oficial"",
IF(REGEXMATCH(S105, ""Folha Online""), ""Folha Online"",
IF(REGEXMATCH(S105, ""FGV DIREITO SP|FGV Direito SP""), ""FGV DIREITO SP"",
IF(REGEXMATCH(S105, ""massacrecarandiru\.org\.br""), ""Memória Mas"&amp;"sacre Carandiru"",
IF(REGEXMATCH(S105, ""Itaú Cultural""), ""YouTube (Itaú Cultural)"",
IF(REGEXMATCH(S105, ""Passa Palavra""), ""Vimeo (Passa Palavra)"",
IF(REGEXMATCH(S105, ""rede2deoutubro\.blogspot""), ""Blogspot (Rede 02 de Outubro)"",
IF(REGEXMATCH("&amp;"S105, ""Rede TVT""), ""YouTube (Rede TVT)"",
IF(REGEXMATCH(S105, ""Esquerda Diário""), ""Esquerda Diário"",
IF(REGEXMATCH(S105, ""GZH""), ""GZH"",
IF(REGEXMATCH(S105, ""TVPUC""), ""TVPUC"",
IF(REGEXMATCH(S105, ""Mídia Ninja.*Facebook""), ""Facebook (Mídia"&amp;" Ninja)"",
IF(REGEXMATCH(S105, ""Memórias Carandiru.*Instagram""), ""Instagram (Memórias Carandiru)"",
IF(REGEXMATCH(S105, ""Frente pelo Desencarceramento SP""), ""YouTube (Frente Pelo Desencarceramento SP)"",
IF(REGEXMATCH(S105, ""TV ABA""), ""YouTube (T"&amp;"V ABA)"",
IF(REGEXMATCH(S105, ""TV SENADO""), ""YouTube (TV Senado)"",
IF(REGEXMATCH(S105, ""Google Arts &amp; Culture""), ""Google Arts &amp; Culture (Memória Massacre Carandiru)"",
IF(REGEXMATCH(S105, ""Anistia Internacional|ANISTIA INTERNACIONAL""), ""Anistia "&amp;"Internacional"",
IF(REGEXMATCH(S105, ""47\.mostra|47a Mostra""), ""47a Mostra Internacional de Cinema em São Paulo"",
IF(REGEXMATCH(S105, ""Canal USP""), ""YouTube (Canal USP)"",
IF(AND(
  REGEXMATCH(S105, ""(?i)(teses?\.usp\.br|dissertacoes?\.usp\.br|rep"&amp;"ositorio\.usp\.br)""),
  NOT(REGEXMATCH(S105, ""Canal USP""))
), ""Biblioteca Digital de Teses e Dissertações da USP"",
IF(REGEXMATCH(S105, ""SINTRAJUSC""), ""SINTRAJUSC"",
IF(REGEXMATCH(S105, ""Agência Brasil|Agencia Brasil""), ""Agência Brasil"",
IF(REG"&amp;"EXMATCH(S105, ""Brasil de Fato""), ""Brasil de Fato"",
IF(REGEXMATCH(S105, ""Ponte Jornalismo|pontejornalismo""), ""Ponte Jornalismo"",
IF(REGEXMATCH(S105, ""letras\.mus\.br|Letras,""), ""Letras"",
IF(REGEXMATCH(S105, ""YouTube|youtube""), 
   ""YouTube "&amp;"(""&amp;
   IF(REGEXMATCH(S105, ""Itaú Cultural""), ""Itaú Cultural"",
   IF(REGEXMATCH(S105, ""Rede TVT""), ""Rede TVT"",
   IF(REGEXMATCH(S105, ""Frente pelo Desencarceramento SP""), ""Frente Pelo Desencarceramento SP"",
   IF(REGEXMATCH(S105, ""TV ABA""), "&amp;"""TV ABA"",
   IF(REGEXMATCH(S105, ""TV SENADO""), ""TV Senado"",
   IF(REGEXMATCH(S105, ""Canal USP""), ""Canal USP"",
   IF(REGEXMATCH(S105, ""Douer, Zack|Zack Douer""), ""Douer Zack"",
   IF(REGEXMATCH(S105, ""PRISIONEIRO 84\.901|PRISIONEIRO 84""), ""P"&amp;"risioneiro 84.901"",
   IF(REGEXMATCH(S105, ""^[^,]*, ""), 
        PROPER(REGEXREPLACE(REGEXEXTRACT(S105, ""^([^.]*)\.""), ""^([^,]*), (.*)"", ""$2 $1"")),
        PROPER(REGEXEXTRACT(S105, ""^([^.]*)\.""))
   )))))))))&amp;"")"",
IF(REGEXMATCH(S105, ""Spot"&amp;"ify|spotify""), 
   ""Spotify (""&amp;
   IF(REGEXMATCH(S105, ""ESTRANHO SORRISO""), ""Estranho Sorriso"",
   PROPER(REGEXEXTRACT(S105, ""^([^.]*)\.""))
   )&amp;"")"",
IF(REGEXMATCH(S105, ""Vimeo|vimeo""), 
   ""Vimeo (""&amp;
   IF(REGEXMATCH(S105, ""Passa Palavra"&amp;"""), ""Passa Palavra"",
   PROPER(REGEXEXTRACT(S105, ""^([^.]*)\.""))
   )&amp;"")"",
IF(REGEXMATCH(S105, ""Blogspot""), 
   ""Blogspot (""&amp;
   IF(REGEXMATCH(S105, ""rede2deoutubro""), ""Rede 02 de Outubro"",
   PROPER(REGEXEXTRACT(S105, ""^([^.]*)\.""))
   "&amp;")&amp;"")"",
IF(REGEXMATCH(S105, ""Facebook""), 
   ""Facebook (""&amp;
   IF(REGEXMATCH(S105, ""Mídia Ninja""), ""Mídia Ninja"",
   PROPER(REGEXEXTRACT(S105, ""^([^.]*)\.""))
   )&amp;"")"",
IF(REGEXMATCH(S105, ""Instagram""), 
   ""Instagram (""&amp;
   IF(REGEXMATCH"&amp;"(S105, ""Memórias Carandiru""), ""Memórias Carandiru"",
   PROPER(REGEXEXTRACT(S105, ""^([^.]*)\.""))
   )&amp;"")"",
IF(REGEXMATCH(S105, ""Folha de S\. Paulo|FOLHA DE S\. PAULO""), ""Folha de S. Paulo"",
IF(REGEXMATCH(S105, ""O Estado de S\. Paulo|ESTADAO"""&amp;"), ""O Estado de S. Paulo"",
IF(REGEXMATCH(S105, ""salasecreta""), ""Wordpress (Sala Secreta)"",
IF(REGEXMATCH(S105, ""Wikipedia|Wikipédia|WIKIPÉDIA""), ""Wikipedia"",
IF(REGEXMATCH(S105, ""VEJA|Veja""), ""Veja Abril"",
IF(REGEXMATCH(S377, ""Rede Globo|RE"&amp;"DE GLOBO""), ""Rede Globo"",
IF(REGEXMATCH(S377, ""G1|globo\.com""), ""G1"",
IF(REGEXMATCH(S105, ""Deutsche Welle|DW\.com""), ""Deutsche Welle"",
IF(REGEXMATCH(S105, ""CIDH|Comissão Interamericana""), ""Comissão Interamericana de Direitos Humanos (CIDH)"""&amp;",
IF(REGEXMATCH(S105, ""Pastoral Carcerária""), ""Pastoral Carcerária"",
IF(REGEXMATCH(S105, ""Esquerda Web""), ""Esquerda Web"",
IF(REGEXMATCH(S105, ""ONU|Organização das Nações Unidas""), ""ONU Brasil"",
IF(REGEXMATCH(S105, ""Quilombo Invisível""), ""Qu"&amp;"ilombo Invisível"",
IF(REGEXMATCH(S105, ""ALESP|Assembleia Legislativa""), ""ALESP"",
IF(REGEXMATCH(S105, ""Revista Opera""), ""Revista Opera"",
IF(REGEXMATCH(S105, ""SP Escola de Teatro""), ""SP Escola de Teatro"",
IF(REGEXMATCH(S105, ""EMC|Espaço Memóri"&amp;"a Carandiru""), ""EMC Espaço Memória Carandiru"",
IF(REGEXMATCH(S105, ""^RAMOS, Nuno|Nuno Ramos""), ""Nuno Ramos"",
IF(REGEXMATCH(S105, ""^VELOSO, Caetano|Caetano Veloso""), ""YouTube (Caetano Veloso)"",
IF(REGEXMATCH(S105, ""^FATOS REAIS""), ""YouTube ("&amp;"Fatos Reais - Topic)"",
IF(REGEXMATCH(S105, ""^SALA SECRETA""), ""Wordpress (Sala Secreta)"",
PROPER(REGEXEXTRACT(S105, ""^([^.]*)\.""))
))))))))))))))))))))))))))))))))))))))))))))))))))))))))"),"Biblioteca Digital de Teses e Dissertações da USP")</f>
        <v>Biblioteca Digital de Teses e Dissertações da USP</v>
      </c>
      <c r="N105" s="11" t="s">
        <v>47</v>
      </c>
      <c r="O105" s="14" t="s">
        <v>477</v>
      </c>
      <c r="P105" s="171">
        <v>45945.0</v>
      </c>
      <c r="Q105" s="11" t="s">
        <v>154</v>
      </c>
      <c r="R105" s="70" t="str">
        <f t="shared" si="8"/>
        <v>Aqui</v>
      </c>
      <c r="S105" s="172" t="s">
        <v>479</v>
      </c>
    </row>
    <row r="106">
      <c r="A106" s="11">
        <v>104.0</v>
      </c>
      <c r="B106" s="11" t="s">
        <v>333</v>
      </c>
      <c r="C106" s="12" t="str">
        <f>IFERROR(__xludf.DUMMYFUNCTION("IF(B106="""","""",IF(OR(
  REGEXMATCH(B106,""Performance|Instalação|Álbum|Música|Poema|Livro|Filme|Documentário|Recitação|Espetáculo|Peça|Intervenção|Desfile|Fotografia|Exposição|Charge|Grafite|Leitura pública|Fabricação de cachaça artesanal""),
  REGEXMA"&amp;"TCH(B106,""dança|teatral|artístico|musical|artística"")
),""Manifestação artístico-cultural"",
IF(OR(
  REGEXMATCH(B106,""Crônica|Série|Reportagem|Podcast|Audiotour|Entrevista|Vídeo|Rádio""),
  REGEXMATCH(B106,""midiática"")
),""Produção midiática"","""")"&amp;"))
"),"Produção midiática")</f>
        <v>Produção midiática</v>
      </c>
      <c r="D106" s="13" t="str">
        <f>IFERROR(__xludf.DUMMYFUNCTION("IF(B106="""","""",IF(OR(
  REGEXMATCH(B106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REGEXMATCH(B106,""público|Imediato|artística|teatral|memória"")
),""Público Imediato"",
IF(REGEXMATCH(B106,""Música|Álbum|Filme|Documentário|Série|Podc"&amp;"ast|Rádio|Audiotour|Entrevista|Reportagem|Crônica|Relatório|Abaixo-assinado|Manifesto|Petição|Poema|Livro|Fotografia|Curta|Live|Webinário|Charge|Leitura pública|Vídeo""),
""Público Mediado"","""")))
"),"Público Mediado")</f>
        <v>Público Mediado</v>
      </c>
      <c r="E106" s="13" t="str">
        <f>IFERROR(__xludf.DUMMYFUNCTION("IF(B106="""","""",IF(OR(
  REGEXMATCH(B106,""Live|Webinário|Virtual""),
  REGEXMATCH(B106,""online"")
),""Virtual"",
IF(REGEXMATCH(B106,""Música|Álbum|Filme|Documentário|Série|Podcast|Rádio|Audiotour|Episódio|Reportagem|Curta|Charge|Livro|Vídeo|Entrevista"&amp;"""),
""Midiático"",
IF(REGEXMATCH(B106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6" s="183">
        <v>43011.0</v>
      </c>
      <c r="G106" s="15">
        <f t="shared" si="1"/>
        <v>2017</v>
      </c>
      <c r="H106" s="181" t="s">
        <v>347</v>
      </c>
      <c r="I106" s="18" t="s">
        <v>712</v>
      </c>
      <c r="J106" s="169" t="str">
        <f>IFERROR(__xludf.DUMMYFUNCTION("REGEXEXTRACT(S106, ""\.\s(.*?)\s*YouTube"")"),"O massacre do Carandiru completa 25 anos, nenhum dos envolvidos responderam pelos crimes.")</f>
        <v>O massacre do Carandiru completa 25 anos, nenhum dos envolvidos responderam pelos crimes.</v>
      </c>
      <c r="K106" s="16" t="s">
        <v>83</v>
      </c>
      <c r="L106" s="18" t="s">
        <v>329</v>
      </c>
      <c r="M106" s="15" t="str">
        <f>IFERROR(__xludf.DUMMYFUNCTION("IF(REGEXMATCH(S106, ""Companhia das Letras""), ""Companhia das Letras"",
IF(REGEXMATCH(S106, ""Labortexto Editorial""), ""Labortexto Editorial"",
IF(REGEXMATCH(S106, ""Geração Editorial""), ""Geração Editorial"",
IF(REGEXMATCH(S106, ""Editora Imprensa Ofi"&amp;"cial|Imprensa Oficial""), ""Editora Imprensa Oficial"",
IF(REGEXMATCH(S106, ""Folha Online""), ""Folha Online"",
IF(REGEXMATCH(S106, ""FGV DIREITO SP|FGV Direito SP""), ""FGV DIREITO SP"",
IF(REGEXMATCH(S106, ""massacrecarandiru\.org\.br""), ""Memória Mas"&amp;"sacre Carandiru"",
IF(REGEXMATCH(S106, ""Itaú Cultural""), ""YouTube (Itaú Cultural)"",
IF(REGEXMATCH(S106, ""Passa Palavra""), ""Vimeo (Passa Palavra)"",
IF(REGEXMATCH(S106, ""rede2deoutubro\.blogspot""), ""Blogspot (Rede 02 de Outubro)"",
IF(REGEXMATCH("&amp;"S106, ""Rede TVT""), ""YouTube (Rede TVT)"",
IF(REGEXMATCH(S106, ""Esquerda Diário""), ""Esquerda Diário"",
IF(REGEXMATCH(S106, ""GZH""), ""GZH"",
IF(REGEXMATCH(S106, ""TVPUC""), ""TVPUC"",
IF(REGEXMATCH(S106, ""Mídia Ninja.*Facebook""), ""Facebook (Mídia"&amp;" Ninja)"",
IF(REGEXMATCH(S106, ""Memórias Carandiru.*Instagram""), ""Instagram (Memórias Carandiru)"",
IF(REGEXMATCH(S106, ""Frente pelo Desencarceramento SP""), ""YouTube (Frente Pelo Desencarceramento SP)"",
IF(REGEXMATCH(S106, ""TV ABA""), ""YouTube (T"&amp;"V ABA)"",
IF(REGEXMATCH(S106, ""TV SENADO""), ""YouTube (TV Senado)"",
IF(REGEXMATCH(S106, ""Google Arts &amp; Culture""), ""Google Arts &amp; Culture (Memória Massacre Carandiru)"",
IF(REGEXMATCH(S106, ""Anistia Internacional|ANISTIA INTERNACIONAL""), ""Anistia "&amp;"Internacional"",
IF(REGEXMATCH(S106, ""47\.mostra|47a Mostra""), ""47a Mostra Internacional de Cinema em São Paulo"",
IF(REGEXMATCH(S106, ""Canal USP""), ""YouTube (Canal USP)"",
IF(AND(
  REGEXMATCH(S106, ""(?i)(teses?\.usp\.br|dissertacoes?\.usp\.br|rep"&amp;"ositorio\.usp\.br)""),
  NOT(REGEXMATCH(S106, ""Canal USP""))
), ""Biblioteca Digital de Teses e Dissertações da USP"",
IF(REGEXMATCH(S106, ""SINTRAJUSC""), ""SINTRAJUSC"",
IF(REGEXMATCH(S106, ""Agência Brasil|Agencia Brasil""), ""Agência Brasil"",
IF(REG"&amp;"EXMATCH(S106, ""Brasil de Fato""), ""Brasil de Fato"",
IF(REGEXMATCH(S106, ""Ponte Jornalismo|pontejornalismo""), ""Ponte Jornalismo"",
IF(REGEXMATCH(S106, ""letras\.mus\.br|Letras,""), ""Letras"",
IF(REGEXMATCH(S106, ""YouTube|youtube""), 
   ""YouTube "&amp;"(""&amp;
   IF(REGEXMATCH(S106, ""Itaú Cultural""), ""Itaú Cultural"",
   IF(REGEXMATCH(S106, ""Rede TVT""), ""Rede TVT"",
   IF(REGEXMATCH(S106, ""Frente pelo Desencarceramento SP""), ""Frente Pelo Desencarceramento SP"",
   IF(REGEXMATCH(S106, ""TV ABA""), "&amp;"""TV ABA"",
   IF(REGEXMATCH(S106, ""TV SENADO""), ""TV Senado"",
   IF(REGEXMATCH(S106, ""Canal USP""), ""Canal USP"",
   IF(REGEXMATCH(S106, ""Douer, Zack|Zack Douer""), ""Douer Zack"",
   IF(REGEXMATCH(S106, ""PRISIONEIRO 84\.901|PRISIONEIRO 84""), ""P"&amp;"risioneiro 84.901"",
   IF(REGEXMATCH(S106, ""^[^,]*, ""), 
        PROPER(REGEXREPLACE(REGEXEXTRACT(S106, ""^([^.]*)\.""), ""^([^,]*), (.*)"", ""$2 $1"")),
        PROPER(REGEXEXTRACT(S106, ""^([^.]*)\.""))
   )))))))))&amp;"")"",
IF(REGEXMATCH(S106, ""Spot"&amp;"ify|spotify""), 
   ""Spotify (""&amp;
   IF(REGEXMATCH(S106, ""ESTRANHO SORRISO""), ""Estranho Sorriso"",
   PROPER(REGEXEXTRACT(S106, ""^([^.]*)\.""))
   )&amp;"")"",
IF(REGEXMATCH(S106, ""Vimeo|vimeo""), 
   ""Vimeo (""&amp;
   IF(REGEXMATCH(S106, ""Passa Palavra"&amp;"""), ""Passa Palavra"",
   PROPER(REGEXEXTRACT(S106, ""^([^.]*)\.""))
   )&amp;"")"",
IF(REGEXMATCH(S106, ""Blogspot""), 
   ""Blogspot (""&amp;
   IF(REGEXMATCH(S106, ""rede2deoutubro""), ""Rede 02 de Outubro"",
   PROPER(REGEXEXTRACT(S106, ""^([^.]*)\.""))
   "&amp;")&amp;"")"",
IF(REGEXMATCH(S106, ""Facebook""), 
   ""Facebook (""&amp;
   IF(REGEXMATCH(S106, ""Mídia Ninja""), ""Mídia Ninja"",
   PROPER(REGEXEXTRACT(S106, ""^([^.]*)\.""))
   )&amp;"")"",
IF(REGEXMATCH(S106, ""Instagram""), 
   ""Instagram (""&amp;
   IF(REGEXMATCH"&amp;"(S106, ""Memórias Carandiru""), ""Memórias Carandiru"",
   PROPER(REGEXEXTRACT(S106, ""^([^.]*)\.""))
   )&amp;"")"",
IF(REGEXMATCH(S106, ""Folha de S\. Paulo|FOLHA DE S\. PAULO""), ""Folha de S. Paulo"",
IF(REGEXMATCH(S106, ""O Estado de S\. Paulo|ESTADAO"""&amp;"), ""O Estado de S. Paulo"",
IF(REGEXMATCH(S106, ""salasecreta""), ""Wordpress (Sala Secreta)"",
IF(REGEXMATCH(S106, ""Wikipedia|Wikipédia|WIKIPÉDIA""), ""Wikipedia"",
IF(REGEXMATCH(S106, ""VEJA|Veja""), ""Veja Abril"",
IF(REGEXMATCH(S378, ""Rede Globo|RE"&amp;"DE GLOBO""), ""Rede Globo"",
IF(REGEXMATCH(S378, ""G1|globo\.com""), ""G1"",
IF(REGEXMATCH(S106, ""Deutsche Welle|DW\.com""), ""Deutsche Welle"",
IF(REGEXMATCH(S106, ""CIDH|Comissão Interamericana""), ""Comissão Interamericana de Direitos Humanos (CIDH)"""&amp;",
IF(REGEXMATCH(S106, ""Pastoral Carcerária""), ""Pastoral Carcerária"",
IF(REGEXMATCH(S106, ""Esquerda Web""), ""Esquerda Web"",
IF(REGEXMATCH(S106, ""ONU|Organização das Nações Unidas""), ""ONU Brasil"",
IF(REGEXMATCH(S106, ""Quilombo Invisível""), ""Qu"&amp;"ilombo Invisível"",
IF(REGEXMATCH(S106, ""ALESP|Assembleia Legislativa""), ""ALESP"",
IF(REGEXMATCH(S106, ""Revista Opera""), ""Revista Opera"",
IF(REGEXMATCH(S106, ""SP Escola de Teatro""), ""SP Escola de Teatro"",
IF(REGEXMATCH(S106, ""EMC|Espaço Memóri"&amp;"a Carandiru""), ""EMC Espaço Memória Carandiru"",
IF(REGEXMATCH(S106, ""^RAMOS, Nuno|Nuno Ramos""), ""Nuno Ramos"",
IF(REGEXMATCH(S106, ""^VELOSO, Caetano|Caetano Veloso""), ""YouTube (Caetano Veloso)"",
IF(REGEXMATCH(S106, ""^FATOS REAIS""), ""YouTube ("&amp;"Fatos Reais - Topic)"",
IF(REGEXMATCH(S106, ""^SALA SECRETA""), ""Wordpress (Sala Secreta)"",
PROPER(REGEXEXTRACT(S106, ""^([^.]*)\.""))
))))))))))))))))))))))))))))))))))))))))))))))))))))))))"),"YouTube (Tv Brasil)")</f>
        <v>YouTube (Tv Brasil)</v>
      </c>
      <c r="N106" s="11" t="s">
        <v>47</v>
      </c>
      <c r="O106" s="14" t="s">
        <v>374</v>
      </c>
      <c r="P106" s="171">
        <v>45946.0</v>
      </c>
      <c r="Q106" s="11" t="s">
        <v>154</v>
      </c>
      <c r="R106" s="70" t="str">
        <f t="shared" si="8"/>
        <v>Aqui</v>
      </c>
      <c r="S106" s="75" t="s">
        <v>713</v>
      </c>
    </row>
    <row r="107">
      <c r="A107" s="11">
        <v>105.0</v>
      </c>
      <c r="B107" s="11" t="s">
        <v>714</v>
      </c>
      <c r="C107" s="122" t="s">
        <v>165</v>
      </c>
      <c r="D107" s="13" t="str">
        <f>IFERROR(__xludf.DUMMYFUNCTION("IF(B107="""","""",IF(OR(
  REGEXMATCH(B107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REGEXMATCH(B107,""público|Imediato|artística|teatral|memória"")
),""Público Imediato"",
IF(REGEXMATCH(B107,""Música|Álbum|Filme|Documentário|Série|Podc"&amp;"ast|Rádio|Audiotour|Entrevista|Reportagem|Crônica|Relatório|Abaixo-assinado|Manifesto|Petição|Poema|Livro|Fotografia|Curta|Live|Webinário|Charge|Leitura pública|Vídeo""),
""Público Mediado"","""")))
"),"")</f>
        <v/>
      </c>
      <c r="E107" s="13" t="str">
        <f>IFERROR(__xludf.DUMMYFUNCTION("IF(B107="""","""",IF(OR(
  REGEXMATCH(B107,""Live|Webinário|Virtual""),
  REGEXMATCH(B107,""online"")
),""Virtual"",
IF(REGEXMATCH(B107,""Música|Álbum|Filme|Documentário|Série|Podcast|Rádio|Audiotour|Episódio|Reportagem|Curta|Charge|Livro|Vídeo|Entrevista"&amp;"""),
""Midiático"",
IF(REGEXMATCH(B107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107" s="171">
        <v>43392.0</v>
      </c>
      <c r="G107" s="15">
        <f t="shared" si="1"/>
        <v>2018</v>
      </c>
      <c r="H107" s="11" t="s">
        <v>715</v>
      </c>
      <c r="I107" s="18" t="s">
        <v>716</v>
      </c>
      <c r="J107" s="17" t="s">
        <v>605</v>
      </c>
      <c r="K107" s="16" t="s">
        <v>26</v>
      </c>
      <c r="L107" s="18" t="s">
        <v>606</v>
      </c>
      <c r="M107" s="15" t="str">
        <f>IFERROR(__xludf.DUMMYFUNCTION("IF(REGEXMATCH(S107, ""Companhia das Letras""), ""Companhia das Letras"",
IF(REGEXMATCH(S107, ""Labortexto Editorial""), ""Labortexto Editorial"",
IF(REGEXMATCH(S107, ""Geração Editorial""), ""Geração Editorial"",
IF(REGEXMATCH(S107, ""Editora Imprensa Ofi"&amp;"cial|Imprensa Oficial""), ""Editora Imprensa Oficial"",
IF(REGEXMATCH(S107, ""Folha Online""), ""Folha Online"",
IF(REGEXMATCH(S107, ""FGV DIREITO SP|FGV Direito SP""), ""FGV DIREITO SP"",
IF(REGEXMATCH(S107, ""massacrecarandiru\.org\.br""), ""Memória Mas"&amp;"sacre Carandiru"",
IF(REGEXMATCH(S107, ""Itaú Cultural""), ""YouTube (Itaú Cultural)"",
IF(REGEXMATCH(S107, ""Passa Palavra""), ""Vimeo (Passa Palavra)"",
IF(REGEXMATCH(S107, ""rede2deoutubro\.blogspot""), ""Blogspot (Rede 02 de Outubro)"",
IF(REGEXMATCH("&amp;"S107, ""Rede TVT""), ""YouTube (Rede TVT)"",
IF(REGEXMATCH(S107, ""Esquerda Diário""), ""Esquerda Diário"",
IF(REGEXMATCH(S107, ""GZH""), ""GZH"",
IF(REGEXMATCH(S107, ""TVPUC""), ""TVPUC"",
IF(REGEXMATCH(S107, ""Mídia Ninja.*Facebook""), ""Facebook (Mídia"&amp;" Ninja)"",
IF(REGEXMATCH(S107, ""Memórias Carandiru.*Instagram""), ""Instagram (Memórias Carandiru)"",
IF(REGEXMATCH(S107, ""Frente pelo Desencarceramento SP""), ""YouTube (Frente Pelo Desencarceramento SP)"",
IF(REGEXMATCH(S107, ""TV ABA""), ""YouTube (T"&amp;"V ABA)"",
IF(REGEXMATCH(S107, ""TV SENADO""), ""YouTube (TV Senado)"",
IF(REGEXMATCH(S107, ""Google Arts &amp; Culture""), ""Google Arts &amp; Culture (Memória Massacre Carandiru)"",
IF(REGEXMATCH(S107, ""Anistia Internacional|ANISTIA INTERNACIONAL""), ""Anistia "&amp;"Internacional"",
IF(REGEXMATCH(S107, ""47\.mostra|47a Mostra""), ""47a Mostra Internacional de Cinema em São Paulo"",
IF(REGEXMATCH(S107, ""Canal USP""), ""YouTube (Canal USP)"",
IF(AND(
  REGEXMATCH(S107, ""(?i)(teses?\.usp\.br|dissertacoes?\.usp\.br|rep"&amp;"ositorio\.usp\.br)""),
  NOT(REGEXMATCH(S107, ""Canal USP""))
), ""Biblioteca Digital de Teses e Dissertações da USP"",
IF(REGEXMATCH(S107, ""SINTRAJUSC""), ""SINTRAJUSC"",
IF(REGEXMATCH(S107, ""Agência Brasil|Agencia Brasil""), ""Agência Brasil"",
IF(REG"&amp;"EXMATCH(S107, ""Brasil de Fato""), ""Brasil de Fato"",
IF(REGEXMATCH(S107, ""Ponte Jornalismo|pontejornalismo""), ""Ponte Jornalismo"",
IF(REGEXMATCH(S107, ""letras\.mus\.br|Letras,""), ""Letras"",
IF(REGEXMATCH(S107, ""YouTube|youtube""), 
   ""YouTube "&amp;"(""&amp;
   IF(REGEXMATCH(S107, ""Itaú Cultural""), ""Itaú Cultural"",
   IF(REGEXMATCH(S107, ""Rede TVT""), ""Rede TVT"",
   IF(REGEXMATCH(S107, ""Frente pelo Desencarceramento SP""), ""Frente Pelo Desencarceramento SP"",
   IF(REGEXMATCH(S107, ""TV ABA""), "&amp;"""TV ABA"",
   IF(REGEXMATCH(S107, ""TV SENADO""), ""TV Senado"",
   IF(REGEXMATCH(S107, ""Canal USP""), ""Canal USP"",
   IF(REGEXMATCH(S107, ""Douer, Zack|Zack Douer""), ""Douer Zack"",
   IF(REGEXMATCH(S107, ""PRISIONEIRO 84\.901|PRISIONEIRO 84""), ""P"&amp;"risioneiro 84.901"",
   IF(REGEXMATCH(S107, ""^[^,]*, ""), 
        PROPER(REGEXREPLACE(REGEXEXTRACT(S107, ""^([^.]*)\.""), ""^([^,]*), (.*)"", ""$2 $1"")),
        PROPER(REGEXEXTRACT(S107, ""^([^.]*)\.""))
   )))))))))&amp;"")"",
IF(REGEXMATCH(S107, ""Spot"&amp;"ify|spotify""), 
   ""Spotify (""&amp;
   IF(REGEXMATCH(S107, ""ESTRANHO SORRISO""), ""Estranho Sorriso"",
   PROPER(REGEXEXTRACT(S107, ""^([^.]*)\.""))
   )&amp;"")"",
IF(REGEXMATCH(S107, ""Vimeo|vimeo""), 
   ""Vimeo (""&amp;
   IF(REGEXMATCH(S107, ""Passa Palavra"&amp;"""), ""Passa Palavra"",
   PROPER(REGEXEXTRACT(S107, ""^([^.]*)\.""))
   )&amp;"")"",
IF(REGEXMATCH(S107, ""Blogspot""), 
   ""Blogspot (""&amp;
   IF(REGEXMATCH(S107, ""rede2deoutubro""), ""Rede 02 de Outubro"",
   PROPER(REGEXEXTRACT(S107, ""^([^.]*)\.""))
   "&amp;")&amp;"")"",
IF(REGEXMATCH(S107, ""Facebook""), 
   ""Facebook (""&amp;
   IF(REGEXMATCH(S107, ""Mídia Ninja""), ""Mídia Ninja"",
   PROPER(REGEXEXTRACT(S107, ""^([^.]*)\.""))
   )&amp;"")"",
IF(REGEXMATCH(S107, ""Instagram""), 
   ""Instagram (""&amp;
   IF(REGEXMATCH"&amp;"(S107, ""Memórias Carandiru""), ""Memórias Carandiru"",
   PROPER(REGEXEXTRACT(S107, ""^([^.]*)\.""))
   )&amp;"")"",
IF(REGEXMATCH(S107, ""Folha de S\. Paulo|FOLHA DE S\. PAULO""), ""Folha de S. Paulo"",
IF(REGEXMATCH(S107, ""O Estado de S\. Paulo|ESTADAO"""&amp;"), ""O Estado de S. Paulo"",
IF(REGEXMATCH(S107, ""salasecreta""), ""Wordpress (Sala Secreta)"",
IF(REGEXMATCH(S107, ""Wikipedia|Wikipédia|WIKIPÉDIA""), ""Wikipedia"",
IF(REGEXMATCH(S107, ""VEJA|Veja""), ""Veja Abril"",
IF(REGEXMATCH(S379, ""Rede Globo|RE"&amp;"DE GLOBO""), ""Rede Globo"",
IF(REGEXMATCH(S379, ""G1|globo\.com""), ""G1"",
IF(REGEXMATCH(S107, ""Deutsche Welle|DW\.com""), ""Deutsche Welle"",
IF(REGEXMATCH(S107, ""CIDH|Comissão Interamericana""), ""Comissão Interamericana de Direitos Humanos (CIDH)"""&amp;",
IF(REGEXMATCH(S107, ""Pastoral Carcerária""), ""Pastoral Carcerária"",
IF(REGEXMATCH(S107, ""Esquerda Web""), ""Esquerda Web"",
IF(REGEXMATCH(S107, ""ONU|Organização das Nações Unidas""), ""ONU Brasil"",
IF(REGEXMATCH(S107, ""Quilombo Invisível""), ""Qu"&amp;"ilombo Invisível"",
IF(REGEXMATCH(S107, ""ALESP|Assembleia Legislativa""), ""ALESP"",
IF(REGEXMATCH(S107, ""Revista Opera""), ""Revista Opera"",
IF(REGEXMATCH(S107, ""SP Escola de Teatro""), ""SP Escola de Teatro"",
IF(REGEXMATCH(S107, ""EMC|Espaço Memóri"&amp;"a Carandiru""), ""EMC Espaço Memória Carandiru"",
IF(REGEXMATCH(S107, ""^RAMOS, Nuno|Nuno Ramos""), ""Nuno Ramos"",
IF(REGEXMATCH(S107, ""^VELOSO, Caetano|Caetano Veloso""), ""YouTube (Caetano Veloso)"",
IF(REGEXMATCH(S107, ""^FATOS REAIS""), ""YouTube ("&amp;"Fatos Reais - Topic)"",
IF(REGEXMATCH(S107, ""^SALA SECRETA""), ""Wordpress (Sala Secreta)"",
PROPER(REGEXEXTRACT(S107, ""^([^.]*)\.""))
))))))))))))))))))))))))))))))))))))))))))))))))))))))))"),"Quilombo Invisível")</f>
        <v>Quilombo Invisível</v>
      </c>
      <c r="N107" s="11" t="s">
        <v>47</v>
      </c>
      <c r="O107" s="11" t="s">
        <v>221</v>
      </c>
      <c r="P107" s="51">
        <v>45855.0</v>
      </c>
      <c r="Q107" s="11" t="s">
        <v>154</v>
      </c>
      <c r="R107" s="70" t="str">
        <f t="shared" si="8"/>
        <v>Aqui</v>
      </c>
      <c r="S107" s="75" t="s">
        <v>607</v>
      </c>
    </row>
    <row r="108">
      <c r="A108" s="11">
        <v>106.0</v>
      </c>
      <c r="B108" s="11" t="s">
        <v>485</v>
      </c>
      <c r="C108" s="12" t="str">
        <f>IFERROR(__xludf.DUMMYFUNCTION("IF(B108="""","""",IF(OR(
  REGEXMATCH(B108,""Performance|Instalação|Álbum|Música|Poema|Livro|Filme|Documentário|Recitação|Espetáculo|Peça|Intervenção|Desfile|Fotografia|Exposição|Charge|Grafite|Leitura pública|Fabricação de cachaça artesanal""),
  REGEXMA"&amp;"TCH(B108,""dança|teatral|artístico|musical|artística"")
),""Manifestação artístico-cultural"",
IF(OR(
  REGEXMATCH(B108,""Crônica|Série|Reportagem|Podcast|Audiotour|Entrevista|Vídeo|Rádio""),
  REGEXMATCH(B108,""midiática"")
),""Produção midiática"","""")"&amp;"))
"),"Manifestação artístico-cultural")</f>
        <v>Manifestação artístico-cultural</v>
      </c>
      <c r="D108" s="13" t="str">
        <f>IFERROR(__xludf.DUMMYFUNCTION("IF(B108="""","""",IF(OR(
  REGEXMATCH(B108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REGEXMATCH(B108,""público|Imediato|artística|teatral|memória"")
),""Público Imediato"",
IF(REGEXMATCH(B108,""Música|Álbum|Filme|Documentário|Série|Podc"&amp;"ast|Rádio|Audiotour|Entrevista|Reportagem|Crônica|Relatório|Abaixo-assinado|Manifesto|Petição|Poema|Livro|Fotografia|Curta|Live|Webinário|Charge|Leitura pública|Vídeo""),
""Público Mediado"","""")))
"),"Público Imediato")</f>
        <v>Público Imediato</v>
      </c>
      <c r="E108" s="13" t="str">
        <f>IFERROR(__xludf.DUMMYFUNCTION("IF(B108="""","""",IF(OR(
  REGEXMATCH(B108,""Live|Webinário|Virtual""),
  REGEXMATCH(B108,""online"")
),""Virtual"",
IF(REGEXMATCH(B108,""Música|Álbum|Filme|Documentário|Série|Podcast|Rádio|Audiotour|Episódio|Reportagem|Curta|Charge|Livro|Vídeo|Entrevista"&amp;"""),
""Midiático"",
IF(REGEXMATCH(B108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8" s="11">
        <v>2018.0</v>
      </c>
      <c r="G108" s="15">
        <f t="shared" si="1"/>
        <v>2018</v>
      </c>
      <c r="H108" s="11" t="s">
        <v>603</v>
      </c>
      <c r="I108" s="16" t="s">
        <v>717</v>
      </c>
      <c r="J108" s="202" t="s">
        <v>718</v>
      </c>
      <c r="K108" s="16" t="s">
        <v>91</v>
      </c>
      <c r="L108" s="18" t="s">
        <v>94</v>
      </c>
      <c r="M108" s="15" t="str">
        <f>IFERROR(__xludf.DUMMYFUNCTION("IF(REGEXMATCH(S108, ""Companhia das Letras""), ""Companhia das Letras"",
IF(REGEXMATCH(S108, ""Labortexto Editorial""), ""Labortexto Editorial"",
IF(REGEXMATCH(S108, ""Geração Editorial""), ""Geração Editorial"",
IF(REGEXMATCH(S108, ""Editora Imprensa Ofi"&amp;"cial|Imprensa Oficial""), ""Editora Imprensa Oficial"",
IF(REGEXMATCH(S108, ""Folha Online""), ""Folha Online"",
IF(REGEXMATCH(S108, ""FGV DIREITO SP|FGV Direito SP""), ""FGV DIREITO SP"",
IF(REGEXMATCH(S108, ""massacrecarandiru\.org\.br""), ""Memória Mas"&amp;"sacre Carandiru"",
IF(REGEXMATCH(S108, ""Itaú Cultural""), ""YouTube (Itaú Cultural)"",
IF(REGEXMATCH(S108, ""Passa Palavra""), ""Vimeo (Passa Palavra)"",
IF(REGEXMATCH(S108, ""rede2deoutubro\.blogspot""), ""Blogspot (Rede 02 de Outubro)"",
IF(REGEXMATCH("&amp;"S108, ""Rede TVT""), ""YouTube (Rede TVT)"",
IF(REGEXMATCH(S108, ""Esquerda Diário""), ""Esquerda Diário"",
IF(REGEXMATCH(S108, ""GZH""), ""GZH"",
IF(REGEXMATCH(S108, ""TVPUC""), ""TVPUC"",
IF(REGEXMATCH(S108, ""Mídia Ninja.*Facebook""), ""Facebook (Mídia"&amp;" Ninja)"",
IF(REGEXMATCH(S108, ""Memórias Carandiru.*Instagram""), ""Instagram (Memórias Carandiru)"",
IF(REGEXMATCH(S108, ""Frente pelo Desencarceramento SP""), ""YouTube (Frente Pelo Desencarceramento SP)"",
IF(REGEXMATCH(S108, ""TV ABA""), ""YouTube (T"&amp;"V ABA)"",
IF(REGEXMATCH(S108, ""TV SENADO""), ""YouTube (TV Senado)"",
IF(REGEXMATCH(S108, ""Google Arts &amp; Culture""), ""Google Arts &amp; Culture (Memória Massacre Carandiru)"",
IF(REGEXMATCH(S108, ""Anistia Internacional|ANISTIA INTERNACIONAL""), ""Anistia "&amp;"Internacional"",
IF(REGEXMATCH(S108, ""47\.mostra|47a Mostra""), ""47a Mostra Internacional de Cinema em São Paulo"",
IF(REGEXMATCH(S108, ""Canal USP""), ""YouTube (Canal USP)"",
IF(AND(
  REGEXMATCH(S108, ""(?i)(teses?\.usp\.br|dissertacoes?\.usp\.br|rep"&amp;"ositorio\.usp\.br)""),
  NOT(REGEXMATCH(S108, ""Canal USP""))
), ""Biblioteca Digital de Teses e Dissertações da USP"",
IF(REGEXMATCH(S108, ""SINTRAJUSC""), ""SINTRAJUSC"",
IF(REGEXMATCH(S108, ""Agência Brasil|Agencia Brasil""), ""Agência Brasil"",
IF(REG"&amp;"EXMATCH(S108, ""Brasil de Fato""), ""Brasil de Fato"",
IF(REGEXMATCH(S108, ""Ponte Jornalismo|pontejornalismo""), ""Ponte Jornalismo"",
IF(REGEXMATCH(S108, ""letras\.mus\.br|Letras,""), ""Letras"",
IF(REGEXMATCH(S108, ""YouTube|youtube""), 
   ""YouTube "&amp;"(""&amp;
   IF(REGEXMATCH(S108, ""Itaú Cultural""), ""Itaú Cultural"",
   IF(REGEXMATCH(S108, ""Rede TVT""), ""Rede TVT"",
   IF(REGEXMATCH(S108, ""Frente pelo Desencarceramento SP""), ""Frente Pelo Desencarceramento SP"",
   IF(REGEXMATCH(S108, ""TV ABA""), "&amp;"""TV ABA"",
   IF(REGEXMATCH(S108, ""TV SENADO""), ""TV Senado"",
   IF(REGEXMATCH(S108, ""Canal USP""), ""Canal USP"",
   IF(REGEXMATCH(S108, ""Douer, Zack|Zack Douer""), ""Douer Zack"",
   IF(REGEXMATCH(S108, ""PRISIONEIRO 84\.901|PRISIONEIRO 84""), ""P"&amp;"risioneiro 84.901"",
   IF(REGEXMATCH(S108, ""^[^,]*, ""), 
        PROPER(REGEXREPLACE(REGEXEXTRACT(S108, ""^([^.]*)\.""), ""^([^,]*), (.*)"", ""$2 $1"")),
        PROPER(REGEXEXTRACT(S108, ""^([^.]*)\.""))
   )))))))))&amp;"")"",
IF(REGEXMATCH(S108, ""Spot"&amp;"ify|spotify""), 
   ""Spotify (""&amp;
   IF(REGEXMATCH(S108, ""ESTRANHO SORRISO""), ""Estranho Sorriso"",
   PROPER(REGEXEXTRACT(S108, ""^([^.]*)\.""))
   )&amp;"")"",
IF(REGEXMATCH(S108, ""Vimeo|vimeo""), 
   ""Vimeo (""&amp;
   IF(REGEXMATCH(S108, ""Passa Palavra"&amp;"""), ""Passa Palavra"",
   PROPER(REGEXEXTRACT(S108, ""^([^.]*)\.""))
   )&amp;"")"",
IF(REGEXMATCH(S108, ""Blogspot""), 
   ""Blogspot (""&amp;
   IF(REGEXMATCH(S108, ""rede2deoutubro""), ""Rede 02 de Outubro"",
   PROPER(REGEXEXTRACT(S108, ""^([^.]*)\.""))
   "&amp;")&amp;"")"",
IF(REGEXMATCH(S108, ""Facebook""), 
   ""Facebook (""&amp;
   IF(REGEXMATCH(S108, ""Mídia Ninja""), ""Mídia Ninja"",
   PROPER(REGEXEXTRACT(S108, ""^([^.]*)\.""))
   )&amp;"")"",
IF(REGEXMATCH(S108, ""Instagram""), 
   ""Instagram (""&amp;
   IF(REGEXMATCH"&amp;"(S108, ""Memórias Carandiru""), ""Memórias Carandiru"",
   PROPER(REGEXEXTRACT(S108, ""^([^.]*)\.""))
   )&amp;"")"",
IF(REGEXMATCH(S108, ""Folha de S\. Paulo|FOLHA DE S\. PAULO""), ""Folha de S. Paulo"",
IF(REGEXMATCH(S108, ""O Estado de S\. Paulo|ESTADAO"""&amp;"), ""O Estado de S. Paulo"",
IF(REGEXMATCH(S108, ""salasecreta""), ""Wordpress (Sala Secreta)"",
IF(REGEXMATCH(S108, ""Wikipedia|Wikipédia|WIKIPÉDIA""), ""Wikipedia"",
IF(REGEXMATCH(S108, ""VEJA|Veja""), ""Veja Abril"",
IF(REGEXMATCH(S380, ""Rede Globo|RE"&amp;"DE GLOBO""), ""Rede Globo"",
IF(REGEXMATCH(S380, ""G1|globo\.com""), ""G1"",
IF(REGEXMATCH(S108, ""Deutsche Welle|DW\.com""), ""Deutsche Welle"",
IF(REGEXMATCH(S108, ""CIDH|Comissão Interamericana""), ""Comissão Interamericana de Direitos Humanos (CIDH)"""&amp;",
IF(REGEXMATCH(S108, ""Pastoral Carcerária""), ""Pastoral Carcerária"",
IF(REGEXMATCH(S108, ""Esquerda Web""), ""Esquerda Web"",
IF(REGEXMATCH(S108, ""ONU|Organização das Nações Unidas""), ""ONU Brasil"",
IF(REGEXMATCH(S108, ""Quilombo Invisível""), ""Qu"&amp;"ilombo Invisível"",
IF(REGEXMATCH(S108, ""ALESP|Assembleia Legislativa""), ""ALESP"",
IF(REGEXMATCH(S108, ""Revista Opera""), ""Revista Opera"",
IF(REGEXMATCH(S108, ""SP Escola de Teatro""), ""SP Escola de Teatro"",
IF(REGEXMATCH(S108, ""EMC|Espaço Memóri"&amp;"a Carandiru""), ""EMC Espaço Memória Carandiru"",
IF(REGEXMATCH(S108, ""^RAMOS, Nuno|Nuno Ramos""), ""Nuno Ramos"",
IF(REGEXMATCH(S108, ""^VELOSO, Caetano|Caetano Veloso""), ""YouTube (Caetano Veloso)"",
IF(REGEXMATCH(S108, ""^FATOS REAIS""), ""YouTube ("&amp;"Fatos Reais - Topic)"",
IF(REGEXMATCH(S108, ""^SALA SECRETA""), ""Wordpress (Sala Secreta)"",
PROPER(REGEXEXTRACT(S108, ""^([^.]*)\.""))
))))))))))))))))))))))))))))))))))))))))))))))))))))))))"),"Biblioteca Digital de Teses e Dissertações da USP")</f>
        <v>Biblioteca Digital de Teses e Dissertações da USP</v>
      </c>
      <c r="N108" s="11" t="s">
        <v>47</v>
      </c>
      <c r="O108" s="14" t="s">
        <v>477</v>
      </c>
      <c r="P108" s="171">
        <v>45945.0</v>
      </c>
      <c r="Q108" s="11" t="s">
        <v>154</v>
      </c>
      <c r="R108" s="70" t="str">
        <f t="shared" si="8"/>
        <v>Aqui</v>
      </c>
      <c r="S108" s="172" t="s">
        <v>479</v>
      </c>
    </row>
    <row r="109">
      <c r="A109" s="11">
        <v>107.0</v>
      </c>
      <c r="B109" s="11" t="s">
        <v>719</v>
      </c>
      <c r="C109" s="12" t="str">
        <f>IFERROR(__xludf.DUMMYFUNCTION("IF(B109="""","""",IF(OR(
  REGEXMATCH(B109,""Performance|Instalação|Álbum|Música|Poema|Livro|Filme|Documentário|Recitação|Espetáculo|Peça|Intervenção|Desfile|Fotografia|Exposição|Charge|Grafite|Leitura pública|Fabricação de cachaça artesanal""),
  REGEXMA"&amp;"TCH(B109,""dança|teatral|artístico|musical|artística"")
),""Manifestação artístico-cultural"",
IF(OR(
  REGEXMATCH(B109,""Crônica|Série|Reportagem|Podcast|Audiotour|Entrevista|Vídeo|Rádio""),
  REGEXMATCH(B109,""midiática"")
),""Produção midiática"","""")"&amp;"))
"),"Manifestação artístico-cultural")</f>
        <v>Manifestação artístico-cultural</v>
      </c>
      <c r="D109" s="13" t="str">
        <f>IFERROR(__xludf.DUMMYFUNCTION("IF(B109="""","""",IF(OR(
  REGEXMATCH(B109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REGEXMATCH(B109,""público|Imediato|artística|teatral|memória"")
),""Público Imediato"",
IF(REGEXMATCH(B109,""Música|Álbum|Filme|Documentário|Série|Podc"&amp;"ast|Rádio|Audiotour|Entrevista|Reportagem|Crônica|Relatório|Abaixo-assinado|Manifesto|Petição|Poema|Livro|Fotografia|Curta|Live|Webinário|Charge|Leitura pública|Vídeo""),
""Público Mediado"","""")))
"),"Público Imediato")</f>
        <v>Público Imediato</v>
      </c>
      <c r="E109" s="13" t="str">
        <f>IFERROR(__xludf.DUMMYFUNCTION("IF(B109="""","""",IF(OR(
  REGEXMATCH(B109,""Live|Webinário|Virtual""),
  REGEXMATCH(B109,""online"")
),""Virtual"",
IF(REGEXMATCH(B109,""Música|Álbum|Filme|Documentário|Série|Podcast|Rádio|Audiotour|Episódio|Reportagem|Curta|Charge|Livro|Vídeo|Entrevista"&amp;"""),
""Midiático"",
IF(REGEXMATCH(B109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9" s="11">
        <v>2018.0</v>
      </c>
      <c r="G109" s="15">
        <f t="shared" si="1"/>
        <v>2018</v>
      </c>
      <c r="H109" s="207" t="s">
        <v>23</v>
      </c>
      <c r="I109" s="16" t="s">
        <v>720</v>
      </c>
      <c r="J109" s="17" t="s">
        <v>721</v>
      </c>
      <c r="K109" s="16" t="s">
        <v>91</v>
      </c>
      <c r="L109" s="18" t="s">
        <v>475</v>
      </c>
      <c r="M109" s="15" t="str">
        <f>IFERROR(__xludf.DUMMYFUNCTION("IF(REGEXMATCH(S109, ""Companhia das Letras""), ""Companhia das Letras"",
IF(REGEXMATCH(S109, ""Labortexto Editorial""), ""Labortexto Editorial"",
IF(REGEXMATCH(S109, ""Geração Editorial""), ""Geração Editorial"",
IF(REGEXMATCH(S109, ""Editora Imprensa Ofi"&amp;"cial|Imprensa Oficial""), ""Editora Imprensa Oficial"",
IF(REGEXMATCH(S109, ""Folha Online""), ""Folha Online"",
IF(REGEXMATCH(S109, ""FGV DIREITO SP|FGV Direito SP""), ""FGV DIREITO SP"",
IF(REGEXMATCH(S109, ""massacrecarandiru\.org\.br""), ""Memória Mas"&amp;"sacre Carandiru"",
IF(REGEXMATCH(S109, ""Itaú Cultural""), ""YouTube (Itaú Cultural)"",
IF(REGEXMATCH(S109, ""Passa Palavra""), ""Vimeo (Passa Palavra)"",
IF(REGEXMATCH(S109, ""rede2deoutubro\.blogspot""), ""Blogspot (Rede 02 de Outubro)"",
IF(REGEXMATCH("&amp;"S109, ""Rede TVT""), ""YouTube (Rede TVT)"",
IF(REGEXMATCH(S109, ""Esquerda Diário""), ""Esquerda Diário"",
IF(REGEXMATCH(S109, ""GZH""), ""GZH"",
IF(REGEXMATCH(S109, ""TVPUC""), ""TVPUC"",
IF(REGEXMATCH(S109, ""Mídia Ninja.*Facebook""), ""Facebook (Mídia"&amp;" Ninja)"",
IF(REGEXMATCH(S109, ""Memórias Carandiru.*Instagram""), ""Instagram (Memórias Carandiru)"",
IF(REGEXMATCH(S109, ""Frente pelo Desencarceramento SP""), ""YouTube (Frente Pelo Desencarceramento SP)"",
IF(REGEXMATCH(S109, ""TV ABA""), ""YouTube (T"&amp;"V ABA)"",
IF(REGEXMATCH(S109, ""TV SENADO""), ""YouTube (TV Senado)"",
IF(REGEXMATCH(S109, ""Google Arts &amp; Culture""), ""Google Arts &amp; Culture (Memória Massacre Carandiru)"",
IF(REGEXMATCH(S109, ""Anistia Internacional|ANISTIA INTERNACIONAL""), ""Anistia "&amp;"Internacional"",
IF(REGEXMATCH(S109, ""47\.mostra|47a Mostra""), ""47a Mostra Internacional de Cinema em São Paulo"",
IF(REGEXMATCH(S109, ""Canal USP""), ""YouTube (Canal USP)"",
IF(AND(
  REGEXMATCH(S109, ""(?i)(teses?\.usp\.br|dissertacoes?\.usp\.br|rep"&amp;"ositorio\.usp\.br)""),
  NOT(REGEXMATCH(S109, ""Canal USP""))
), ""Biblioteca Digital de Teses e Dissertações da USP"",
IF(REGEXMATCH(S109, ""SINTRAJUSC""), ""SINTRAJUSC"",
IF(REGEXMATCH(S109, ""Agência Brasil|Agencia Brasil""), ""Agência Brasil"",
IF(REG"&amp;"EXMATCH(S109, ""Brasil de Fato""), ""Brasil de Fato"",
IF(REGEXMATCH(S109, ""Ponte Jornalismo|pontejornalismo""), ""Ponte Jornalismo"",
IF(REGEXMATCH(S109, ""letras\.mus\.br|Letras,""), ""Letras"",
IF(REGEXMATCH(S109, ""YouTube|youtube""), 
   ""YouTube "&amp;"(""&amp;
   IF(REGEXMATCH(S109, ""Itaú Cultural""), ""Itaú Cultural"",
   IF(REGEXMATCH(S109, ""Rede TVT""), ""Rede TVT"",
   IF(REGEXMATCH(S109, ""Frente pelo Desencarceramento SP""), ""Frente Pelo Desencarceramento SP"",
   IF(REGEXMATCH(S109, ""TV ABA""), "&amp;"""TV ABA"",
   IF(REGEXMATCH(S109, ""TV SENADO""), ""TV Senado"",
   IF(REGEXMATCH(S109, ""Canal USP""), ""Canal USP"",
   IF(REGEXMATCH(S109, ""Douer, Zack|Zack Douer""), ""Douer Zack"",
   IF(REGEXMATCH(S109, ""PRISIONEIRO 84\.901|PRISIONEIRO 84""), ""P"&amp;"risioneiro 84.901"",
   IF(REGEXMATCH(S109, ""^[^,]*, ""), 
        PROPER(REGEXREPLACE(REGEXEXTRACT(S109, ""^([^.]*)\.""), ""^([^,]*), (.*)"", ""$2 $1"")),
        PROPER(REGEXEXTRACT(S109, ""^([^.]*)\.""))
   )))))))))&amp;"")"",
IF(REGEXMATCH(S109, ""Spot"&amp;"ify|spotify""), 
   ""Spotify (""&amp;
   IF(REGEXMATCH(S109, ""ESTRANHO SORRISO""), ""Estranho Sorriso"",
   PROPER(REGEXEXTRACT(S109, ""^([^.]*)\.""))
   )&amp;"")"",
IF(REGEXMATCH(S109, ""Vimeo|vimeo""), 
   ""Vimeo (""&amp;
   IF(REGEXMATCH(S109, ""Passa Palavra"&amp;"""), ""Passa Palavra"",
   PROPER(REGEXEXTRACT(S109, ""^([^.]*)\.""))
   )&amp;"")"",
IF(REGEXMATCH(S109, ""Blogspot""), 
   ""Blogspot (""&amp;
   IF(REGEXMATCH(S109, ""rede2deoutubro""), ""Rede 02 de Outubro"",
   PROPER(REGEXEXTRACT(S109, ""^([^.]*)\.""))
   "&amp;")&amp;"")"",
IF(REGEXMATCH(S109, ""Facebook""), 
   ""Facebook (""&amp;
   IF(REGEXMATCH(S109, ""Mídia Ninja""), ""Mídia Ninja"",
   PROPER(REGEXEXTRACT(S109, ""^([^.]*)\.""))
   )&amp;"")"",
IF(REGEXMATCH(S109, ""Instagram""), 
   ""Instagram (""&amp;
   IF(REGEXMATCH"&amp;"(S109, ""Memórias Carandiru""), ""Memórias Carandiru"",
   PROPER(REGEXEXTRACT(S109, ""^([^.]*)\.""))
   )&amp;"")"",
IF(REGEXMATCH(S109, ""Folha de S\. Paulo|FOLHA DE S\. PAULO""), ""Folha de S. Paulo"",
IF(REGEXMATCH(S109, ""O Estado de S\. Paulo|ESTADAO"""&amp;"), ""O Estado de S. Paulo"",
IF(REGEXMATCH(S109, ""salasecreta""), ""Wordpress (Sala Secreta)"",
IF(REGEXMATCH(S109, ""Wikipedia|Wikipédia|WIKIPÉDIA""), ""Wikipedia"",
IF(REGEXMATCH(S109, ""VEJA|Veja""), ""Veja Abril"",
IF(REGEXMATCH(S381, ""Rede Globo|RE"&amp;"DE GLOBO""), ""Rede Globo"",
IF(REGEXMATCH(S381, ""G1|globo\.com""), ""G1"",
IF(REGEXMATCH(S109, ""Deutsche Welle|DW\.com""), ""Deutsche Welle"",
IF(REGEXMATCH(S109, ""CIDH|Comissão Interamericana""), ""Comissão Interamericana de Direitos Humanos (CIDH)"""&amp;",
IF(REGEXMATCH(S109, ""Pastoral Carcerária""), ""Pastoral Carcerária"",
IF(REGEXMATCH(S109, ""Esquerda Web""), ""Esquerda Web"",
IF(REGEXMATCH(S109, ""ONU|Organização das Nações Unidas""), ""ONU Brasil"",
IF(REGEXMATCH(S109, ""Quilombo Invisível""), ""Qu"&amp;"ilombo Invisível"",
IF(REGEXMATCH(S109, ""ALESP|Assembleia Legislativa""), ""ALESP"",
IF(REGEXMATCH(S109, ""Revista Opera""), ""Revista Opera"",
IF(REGEXMATCH(S109, ""SP Escola de Teatro""), ""SP Escola de Teatro"",
IF(REGEXMATCH(S109, ""EMC|Espaço Memóri"&amp;"a Carandiru""), ""EMC Espaço Memória Carandiru"",
IF(REGEXMATCH(S109, ""^RAMOS, Nuno|Nuno Ramos""), ""Nuno Ramos"",
IF(REGEXMATCH(S109, ""^VELOSO, Caetano|Caetano Veloso""), ""YouTube (Caetano Veloso)"",
IF(REGEXMATCH(S109, ""^FATOS REAIS""), ""YouTube ("&amp;"Fatos Reais - Topic)"",
IF(REGEXMATCH(S109, ""^SALA SECRETA""), ""Wordpress (Sala Secreta)"",
PROPER(REGEXEXTRACT(S109, ""^([^.]*)\.""))
))))))))))))))))))))))))))))))))))))))))))))))))))))))))"),"Biblioteca Digital de Teses e Dissertações da USP")</f>
        <v>Biblioteca Digital de Teses e Dissertações da USP</v>
      </c>
      <c r="N109" s="11" t="s">
        <v>47</v>
      </c>
      <c r="O109" s="14" t="s">
        <v>477</v>
      </c>
      <c r="P109" s="171">
        <v>45945.0</v>
      </c>
      <c r="Q109" s="11" t="s">
        <v>154</v>
      </c>
      <c r="R109" s="70" t="str">
        <f t="shared" si="8"/>
        <v>Aqui</v>
      </c>
      <c r="S109" s="172" t="s">
        <v>479</v>
      </c>
    </row>
    <row r="110">
      <c r="A110" s="11">
        <v>108.0</v>
      </c>
      <c r="B110" s="11" t="s">
        <v>496</v>
      </c>
      <c r="C110" s="122" t="s">
        <v>165</v>
      </c>
      <c r="D110" s="13" t="str">
        <f>IFERROR(__xludf.DUMMYFUNCTION("IF(B110="""","""",IF(OR(
  REGEXMATCH(B110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REGEXMATCH(B110,""público|Imediato|artística|teatral|memória"")
),""Público Imediato"",
IF(REGEXMATCH(B110,""Música|Álbum|Filme|Documentário|Série|Podc"&amp;"ast|Rádio|Audiotour|Entrevista|Reportagem|Crônica|Relatório|Abaixo-assinado|Manifesto|Petição|Poema|Livro|Fotografia|Curta|Live|Webinário|Charge|Leitura pública|Vídeo""),
""Público Mediado"","""")))
"),"Público Imediato")</f>
        <v>Público Imediato</v>
      </c>
      <c r="E110" s="13" t="str">
        <f>IFERROR(__xludf.DUMMYFUNCTION("IF(B110="""","""",IF(OR(
  REGEXMATCH(B110,""Live|Webinário|Virtual""),
  REGEXMATCH(B110,""online"")
),""Virtual"",
IF(REGEXMATCH(B110,""Música|Álbum|Filme|Documentário|Série|Podcast|Rádio|Audiotour|Episódio|Reportagem|Curta|Charge|Livro|Vídeo|Entrevista"&amp;"""),
""Midiático"",
IF(REGEXMATCH(B110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0" s="183">
        <v>43740.0</v>
      </c>
      <c r="G110" s="15">
        <f t="shared" si="1"/>
        <v>2019</v>
      </c>
      <c r="H110" s="11" t="s">
        <v>722</v>
      </c>
      <c r="I110" s="191" t="s">
        <v>498</v>
      </c>
      <c r="J110" s="17" t="s">
        <v>723</v>
      </c>
      <c r="K110" s="16" t="s">
        <v>26</v>
      </c>
      <c r="L110" s="18" t="s">
        <v>489</v>
      </c>
      <c r="M110" s="15" t="str">
        <f>IFERROR(__xludf.DUMMYFUNCTION("IF(REGEXMATCH(S110, ""Companhia das Letras""), ""Companhia das Letras"",
IF(REGEXMATCH(S110, ""Labortexto Editorial""), ""Labortexto Editorial"",
IF(REGEXMATCH(S110, ""Geração Editorial""), ""Geração Editorial"",
IF(REGEXMATCH(S110, ""Editora Imprensa Ofi"&amp;"cial|Imprensa Oficial""), ""Editora Imprensa Oficial"",
IF(REGEXMATCH(S110, ""Folha Online""), ""Folha Online"",
IF(REGEXMATCH(S110, ""FGV DIREITO SP|FGV Direito SP""), ""FGV DIREITO SP"",
IF(REGEXMATCH(S110, ""massacrecarandiru\.org\.br""), ""Memória Mas"&amp;"sacre Carandiru"",
IF(REGEXMATCH(S110, ""Itaú Cultural""), ""YouTube (Itaú Cultural)"",
IF(REGEXMATCH(S110, ""Passa Palavra""), ""Vimeo (Passa Palavra)"",
IF(REGEXMATCH(S110, ""rede2deoutubro\.blogspot""), ""Blogspot (Rede 02 de Outubro)"",
IF(REGEXMATCH("&amp;"S110, ""Rede TVT""), ""YouTube (Rede TVT)"",
IF(REGEXMATCH(S110, ""Esquerda Diário""), ""Esquerda Diário"",
IF(REGEXMATCH(S110, ""GZH""), ""GZH"",
IF(REGEXMATCH(S110, ""TVPUC""), ""TVPUC"",
IF(REGEXMATCH(S110, ""Mídia Ninja.*Facebook""), ""Facebook (Mídia"&amp;" Ninja)"",
IF(REGEXMATCH(S110, ""Memórias Carandiru.*Instagram""), ""Instagram (Memórias Carandiru)"",
IF(REGEXMATCH(S110, ""Frente pelo Desencarceramento SP""), ""YouTube (Frente Pelo Desencarceramento SP)"",
IF(REGEXMATCH(S110, ""TV ABA""), ""YouTube (T"&amp;"V ABA)"",
IF(REGEXMATCH(S110, ""TV SENADO""), ""YouTube (TV Senado)"",
IF(REGEXMATCH(S110, ""Google Arts &amp; Culture""), ""Google Arts &amp; Culture (Memória Massacre Carandiru)"",
IF(REGEXMATCH(S110, ""Anistia Internacional|ANISTIA INTERNACIONAL""), ""Anistia "&amp;"Internacional"",
IF(REGEXMATCH(S110, ""47\.mostra|47a Mostra""), ""47a Mostra Internacional de Cinema em São Paulo"",
IF(REGEXMATCH(S110, ""Canal USP""), ""YouTube (Canal USP)"",
IF(AND(
  REGEXMATCH(S110, ""(?i)(teses?\.usp\.br|dissertacoes?\.usp\.br|rep"&amp;"ositorio\.usp\.br)""),
  NOT(REGEXMATCH(S110, ""Canal USP""))
), ""Biblioteca Digital de Teses e Dissertações da USP"",
IF(REGEXMATCH(S110, ""SINTRAJUSC""), ""SINTRAJUSC"",
IF(REGEXMATCH(S110, ""Agência Brasil|Agencia Brasil""), ""Agência Brasil"",
IF(REG"&amp;"EXMATCH(S110, ""Brasil de Fato""), ""Brasil de Fato"",
IF(REGEXMATCH(S110, ""Ponte Jornalismo|pontejornalismo""), ""Ponte Jornalismo"",
IF(REGEXMATCH(S110, ""letras\.mus\.br|Letras,""), ""Letras"",
IF(REGEXMATCH(S110, ""YouTube|youtube""), 
   ""YouTube "&amp;"(""&amp;
   IF(REGEXMATCH(S110, ""Itaú Cultural""), ""Itaú Cultural"",
   IF(REGEXMATCH(S110, ""Rede TVT""), ""Rede TVT"",
   IF(REGEXMATCH(S110, ""Frente pelo Desencarceramento SP""), ""Frente Pelo Desencarceramento SP"",
   IF(REGEXMATCH(S110, ""TV ABA""), "&amp;"""TV ABA"",
   IF(REGEXMATCH(S110, ""TV SENADO""), ""TV Senado"",
   IF(REGEXMATCH(S110, ""Canal USP""), ""Canal USP"",
   IF(REGEXMATCH(S110, ""Douer, Zack|Zack Douer""), ""Douer Zack"",
   IF(REGEXMATCH(S110, ""PRISIONEIRO 84\.901|PRISIONEIRO 84""), ""P"&amp;"risioneiro 84.901"",
   IF(REGEXMATCH(S110, ""^[^,]*, ""), 
        PROPER(REGEXREPLACE(REGEXEXTRACT(S110, ""^([^.]*)\.""), ""^([^,]*), (.*)"", ""$2 $1"")),
        PROPER(REGEXEXTRACT(S110, ""^([^.]*)\.""))
   )))))))))&amp;"")"",
IF(REGEXMATCH(S110, ""Spot"&amp;"ify|spotify""), 
   ""Spotify (""&amp;
   IF(REGEXMATCH(S110, ""ESTRANHO SORRISO""), ""Estranho Sorriso"",
   PROPER(REGEXEXTRACT(S110, ""^([^.]*)\.""))
   )&amp;"")"",
IF(REGEXMATCH(S110, ""Vimeo|vimeo""), 
   ""Vimeo (""&amp;
   IF(REGEXMATCH(S110, ""Passa Palavra"&amp;"""), ""Passa Palavra"",
   PROPER(REGEXEXTRACT(S110, ""^([^.]*)\.""))
   )&amp;"")"",
IF(REGEXMATCH(S110, ""Blogspot""), 
   ""Blogspot (""&amp;
   IF(REGEXMATCH(S110, ""rede2deoutubro""), ""Rede 02 de Outubro"",
   PROPER(REGEXEXTRACT(S110, ""^([^.]*)\.""))
   "&amp;")&amp;"")"",
IF(REGEXMATCH(S110, ""Facebook""), 
   ""Facebook (""&amp;
   IF(REGEXMATCH(S110, ""Mídia Ninja""), ""Mídia Ninja"",
   PROPER(REGEXEXTRACT(S110, ""^([^.]*)\.""))
   )&amp;"")"",
IF(REGEXMATCH(S110, ""Instagram""), 
   ""Instagram (""&amp;
   IF(REGEXMATCH"&amp;"(S110, ""Memórias Carandiru""), ""Memórias Carandiru"",
   PROPER(REGEXEXTRACT(S110, ""^([^.]*)\.""))
   )&amp;"")"",
IF(REGEXMATCH(S110, ""Folha de S\. Paulo|FOLHA DE S\. PAULO""), ""Folha de S. Paulo"",
IF(REGEXMATCH(S110, ""O Estado de S\. Paulo|ESTADAO"""&amp;"), ""O Estado de S. Paulo"",
IF(REGEXMATCH(S110, ""salasecreta""), ""Wordpress (Sala Secreta)"",
IF(REGEXMATCH(S110, ""Wikipedia|Wikipédia|WIKIPÉDIA""), ""Wikipedia"",
IF(REGEXMATCH(S110, ""VEJA|Veja""), ""Veja Abril"",
IF(REGEXMATCH(S382, ""Rede Globo|RE"&amp;"DE GLOBO""), ""Rede Globo"",
IF(REGEXMATCH(S382, ""G1|globo\.com""), ""G1"",
IF(REGEXMATCH(S110, ""Deutsche Welle|DW\.com""), ""Deutsche Welle"",
IF(REGEXMATCH(S110, ""CIDH|Comissão Interamericana""), ""Comissão Interamericana de Direitos Humanos (CIDH)"""&amp;",
IF(REGEXMATCH(S110, ""Pastoral Carcerária""), ""Pastoral Carcerária"",
IF(REGEXMATCH(S110, ""Esquerda Web""), ""Esquerda Web"",
IF(REGEXMATCH(S110, ""ONU|Organização das Nações Unidas""), ""ONU Brasil"",
IF(REGEXMATCH(S110, ""Quilombo Invisível""), ""Qu"&amp;"ilombo Invisível"",
IF(REGEXMATCH(S110, ""ALESP|Assembleia Legislativa""), ""ALESP"",
IF(REGEXMATCH(S110, ""Revista Opera""), ""Revista Opera"",
IF(REGEXMATCH(S110, ""SP Escola de Teatro""), ""SP Escola de Teatro"",
IF(REGEXMATCH(S110, ""EMC|Espaço Memóri"&amp;"a Carandiru""), ""EMC Espaço Memória Carandiru"",
IF(REGEXMATCH(S110, ""^RAMOS, Nuno|Nuno Ramos""), ""Nuno Ramos"",
IF(REGEXMATCH(S110, ""^VELOSO, Caetano|Caetano Veloso""), ""YouTube (Caetano Veloso)"",
IF(REGEXMATCH(S110, ""^FATOS REAIS""), ""YouTube ("&amp;"Fatos Reais - Topic)"",
IF(REGEXMATCH(S110, ""^SALA SECRETA""), ""Wordpress (Sala Secreta)"",
PROPER(REGEXEXTRACT(S110, ""^([^.]*)\.""))
))))))))))))))))))))))))))))))))))))))))))))))))))))))))"),"Brasil de Fato")</f>
        <v>Brasil de Fato</v>
      </c>
      <c r="N110" s="11" t="s">
        <v>47</v>
      </c>
      <c r="O110" s="11" t="s">
        <v>221</v>
      </c>
      <c r="P110" s="51">
        <v>45854.0</v>
      </c>
      <c r="Q110" s="11" t="s">
        <v>154</v>
      </c>
      <c r="R110" s="70" t="str">
        <f t="shared" si="8"/>
        <v>Aqui</v>
      </c>
      <c r="S110" s="75" t="s">
        <v>724</v>
      </c>
    </row>
    <row r="111">
      <c r="A111" s="11">
        <v>109.0</v>
      </c>
      <c r="B111" s="11" t="s">
        <v>725</v>
      </c>
      <c r="C111" s="122" t="s">
        <v>165</v>
      </c>
      <c r="D111" s="13" t="str">
        <f>IFERROR(__xludf.DUMMYFUNCTION("IF(B111="""","""",IF(OR(
  REGEXMATCH(B111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REGEXMATCH(B111,""público|Imediato|artística|teatral|memória"")
),""Público Imediato"",
IF(REGEXMATCH(B111,""Música|Álbum|Filme|Documentário|Série|Podc"&amp;"ast|Rádio|Audiotour|Entrevista|Reportagem|Crônica|Relatório|Abaixo-assinado|Manifesto|Petição|Poema|Livro|Fotografia|Curta|Live|Webinário|Charge|Leitura pública|Vídeo""),
""Público Mediado"","""")))
"),"Público Imediato")</f>
        <v>Público Imediato</v>
      </c>
      <c r="E111" s="13" t="str">
        <f>IFERROR(__xludf.DUMMYFUNCTION("IF(B111="""","""",IF(OR(
  REGEXMATCH(B111,""Live|Webinário|Virtual""),
  REGEXMATCH(B111,""online"")
),""Virtual"",
IF(REGEXMATCH(B111,""Música|Álbum|Filme|Documentário|Série|Podcast|Rádio|Audiotour|Episódio|Reportagem|Curta|Charge|Livro|Vídeo|Entrevista"&amp;"""),
""Midiático"",
IF(REGEXMATCH(B111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1" s="183">
        <v>43741.0</v>
      </c>
      <c r="G111" s="15">
        <f t="shared" si="1"/>
        <v>2019</v>
      </c>
      <c r="H111" s="11" t="s">
        <v>726</v>
      </c>
      <c r="I111" s="191" t="s">
        <v>498</v>
      </c>
      <c r="J111" s="17" t="s">
        <v>727</v>
      </c>
      <c r="K111" s="16" t="s">
        <v>26</v>
      </c>
      <c r="L111" s="18" t="s">
        <v>489</v>
      </c>
      <c r="M111" s="15" t="str">
        <f>IFERROR(__xludf.DUMMYFUNCTION("IF(REGEXMATCH(S111, ""Companhia das Letras""), ""Companhia das Letras"",
IF(REGEXMATCH(S111, ""Labortexto Editorial""), ""Labortexto Editorial"",
IF(REGEXMATCH(S111, ""Geração Editorial""), ""Geração Editorial"",
IF(REGEXMATCH(S111, ""Editora Imprensa Ofi"&amp;"cial|Imprensa Oficial""), ""Editora Imprensa Oficial"",
IF(REGEXMATCH(S111, ""Folha Online""), ""Folha Online"",
IF(REGEXMATCH(S111, ""FGV DIREITO SP|FGV Direito SP""), ""FGV DIREITO SP"",
IF(REGEXMATCH(S111, ""massacrecarandiru\.org\.br""), ""Memória Mas"&amp;"sacre Carandiru"",
IF(REGEXMATCH(S111, ""Itaú Cultural""), ""YouTube (Itaú Cultural)"",
IF(REGEXMATCH(S111, ""Passa Palavra""), ""Vimeo (Passa Palavra)"",
IF(REGEXMATCH(S111, ""rede2deoutubro\.blogspot""), ""Blogspot (Rede 02 de Outubro)"",
IF(REGEXMATCH("&amp;"S111, ""Rede TVT""), ""YouTube (Rede TVT)"",
IF(REGEXMATCH(S111, ""Esquerda Diário""), ""Esquerda Diário"",
IF(REGEXMATCH(S111, ""GZH""), ""GZH"",
IF(REGEXMATCH(S111, ""TVPUC""), ""TVPUC"",
IF(REGEXMATCH(S111, ""Mídia Ninja.*Facebook""), ""Facebook (Mídia"&amp;" Ninja)"",
IF(REGEXMATCH(S111, ""Memórias Carandiru.*Instagram""), ""Instagram (Memórias Carandiru)"",
IF(REGEXMATCH(S111, ""Frente pelo Desencarceramento SP""), ""YouTube (Frente Pelo Desencarceramento SP)"",
IF(REGEXMATCH(S111, ""TV ABA""), ""YouTube (T"&amp;"V ABA)"",
IF(REGEXMATCH(S111, ""TV SENADO""), ""YouTube (TV Senado)"",
IF(REGEXMATCH(S111, ""Google Arts &amp; Culture""), ""Google Arts &amp; Culture (Memória Massacre Carandiru)"",
IF(REGEXMATCH(S111, ""Anistia Internacional|ANISTIA INTERNACIONAL""), ""Anistia "&amp;"Internacional"",
IF(REGEXMATCH(S111, ""47\.mostra|47a Mostra""), ""47a Mostra Internacional de Cinema em São Paulo"",
IF(REGEXMATCH(S111, ""Canal USP""), ""YouTube (Canal USP)"",
IF(AND(
  REGEXMATCH(S111, ""(?i)(teses?\.usp\.br|dissertacoes?\.usp\.br|rep"&amp;"ositorio\.usp\.br)""),
  NOT(REGEXMATCH(S111, ""Canal USP""))
), ""Biblioteca Digital de Teses e Dissertações da USP"",
IF(REGEXMATCH(S111, ""SINTRAJUSC""), ""SINTRAJUSC"",
IF(REGEXMATCH(S111, ""Agência Brasil|Agencia Brasil""), ""Agência Brasil"",
IF(REG"&amp;"EXMATCH(S111, ""Brasil de Fato""), ""Brasil de Fato"",
IF(REGEXMATCH(S111, ""Ponte Jornalismo|pontejornalismo""), ""Ponte Jornalismo"",
IF(REGEXMATCH(S111, ""letras\.mus\.br|Letras,""), ""Letras"",
IF(REGEXMATCH(S111, ""YouTube|youtube""), 
   ""YouTube "&amp;"(""&amp;
   IF(REGEXMATCH(S111, ""Itaú Cultural""), ""Itaú Cultural"",
   IF(REGEXMATCH(S111, ""Rede TVT""), ""Rede TVT"",
   IF(REGEXMATCH(S111, ""Frente pelo Desencarceramento SP""), ""Frente Pelo Desencarceramento SP"",
   IF(REGEXMATCH(S111, ""TV ABA""), "&amp;"""TV ABA"",
   IF(REGEXMATCH(S111, ""TV SENADO""), ""TV Senado"",
   IF(REGEXMATCH(S111, ""Canal USP""), ""Canal USP"",
   IF(REGEXMATCH(S111, ""Douer, Zack|Zack Douer""), ""Douer Zack"",
   IF(REGEXMATCH(S111, ""PRISIONEIRO 84\.901|PRISIONEIRO 84""), ""P"&amp;"risioneiro 84.901"",
   IF(REGEXMATCH(S111, ""^[^,]*, ""), 
        PROPER(REGEXREPLACE(REGEXEXTRACT(S111, ""^([^.]*)\.""), ""^([^,]*), (.*)"", ""$2 $1"")),
        PROPER(REGEXEXTRACT(S111, ""^([^.]*)\.""))
   )))))))))&amp;"")"",
IF(REGEXMATCH(S111, ""Spot"&amp;"ify|spotify""), 
   ""Spotify (""&amp;
   IF(REGEXMATCH(S111, ""ESTRANHO SORRISO""), ""Estranho Sorriso"",
   PROPER(REGEXEXTRACT(S111, ""^([^.]*)\.""))
   )&amp;"")"",
IF(REGEXMATCH(S111, ""Vimeo|vimeo""), 
   ""Vimeo (""&amp;
   IF(REGEXMATCH(S111, ""Passa Palavra"&amp;"""), ""Passa Palavra"",
   PROPER(REGEXEXTRACT(S111, ""^([^.]*)\.""))
   )&amp;"")"",
IF(REGEXMATCH(S111, ""Blogspot""), 
   ""Blogspot (""&amp;
   IF(REGEXMATCH(S111, ""rede2deoutubro""), ""Rede 02 de Outubro"",
   PROPER(REGEXEXTRACT(S111, ""^([^.]*)\.""))
   "&amp;")&amp;"")"",
IF(REGEXMATCH(S111, ""Facebook""), 
   ""Facebook (""&amp;
   IF(REGEXMATCH(S111, ""Mídia Ninja""), ""Mídia Ninja"",
   PROPER(REGEXEXTRACT(S111, ""^([^.]*)\.""))
   )&amp;"")"",
IF(REGEXMATCH(S111, ""Instagram""), 
   ""Instagram (""&amp;
   IF(REGEXMATCH"&amp;"(S111, ""Memórias Carandiru""), ""Memórias Carandiru"",
   PROPER(REGEXEXTRACT(S111, ""^([^.]*)\.""))
   )&amp;"")"",
IF(REGEXMATCH(S111, ""Folha de S\. Paulo|FOLHA DE S\. PAULO""), ""Folha de S. Paulo"",
IF(REGEXMATCH(S111, ""O Estado de S\. Paulo|ESTADAO"""&amp;"), ""O Estado de S. Paulo"",
IF(REGEXMATCH(S111, ""salasecreta""), ""Wordpress (Sala Secreta)"",
IF(REGEXMATCH(S111, ""Wikipedia|Wikipédia|WIKIPÉDIA""), ""Wikipedia"",
IF(REGEXMATCH(S111, ""VEJA|Veja""), ""Veja Abril"",
IF(REGEXMATCH(S383, ""Rede Globo|RE"&amp;"DE GLOBO""), ""Rede Globo"",
IF(REGEXMATCH(S383, ""G1|globo\.com""), ""G1"",
IF(REGEXMATCH(S111, ""Deutsche Welle|DW\.com""), ""Deutsche Welle"",
IF(REGEXMATCH(S111, ""CIDH|Comissão Interamericana""), ""Comissão Interamericana de Direitos Humanos (CIDH)"""&amp;",
IF(REGEXMATCH(S111, ""Pastoral Carcerária""), ""Pastoral Carcerária"",
IF(REGEXMATCH(S111, ""Esquerda Web""), ""Esquerda Web"",
IF(REGEXMATCH(S111, ""ONU|Organização das Nações Unidas""), ""ONU Brasil"",
IF(REGEXMATCH(S111, ""Quilombo Invisível""), ""Qu"&amp;"ilombo Invisível"",
IF(REGEXMATCH(S111, ""ALESP|Assembleia Legislativa""), ""ALESP"",
IF(REGEXMATCH(S111, ""Revista Opera""), ""Revista Opera"",
IF(REGEXMATCH(S111, ""SP Escola de Teatro""), ""SP Escola de Teatro"",
IF(REGEXMATCH(S111, ""EMC|Espaço Memóri"&amp;"a Carandiru""), ""EMC Espaço Memória Carandiru"",
IF(REGEXMATCH(S111, ""^RAMOS, Nuno|Nuno Ramos""), ""Nuno Ramos"",
IF(REGEXMATCH(S111, ""^VELOSO, Caetano|Caetano Veloso""), ""YouTube (Caetano Veloso)"",
IF(REGEXMATCH(S111, ""^FATOS REAIS""), ""YouTube ("&amp;"Fatos Reais - Topic)"",
IF(REGEXMATCH(S111, ""^SALA SECRETA""), ""Wordpress (Sala Secreta)"",
PROPER(REGEXEXTRACT(S111, ""^([^.]*)\.""))
))))))))))))))))))))))))))))))))))))))))))))))))))))))))"),"Facebook (Mídia Ninja)")</f>
        <v>Facebook (Mídia Ninja)</v>
      </c>
      <c r="N111" s="11" t="s">
        <v>47</v>
      </c>
      <c r="O111" s="11" t="s">
        <v>221</v>
      </c>
      <c r="P111" s="51">
        <v>45854.0</v>
      </c>
      <c r="Q111" s="11" t="s">
        <v>154</v>
      </c>
      <c r="R111" s="70" t="str">
        <f t="shared" si="8"/>
        <v>Aqui</v>
      </c>
      <c r="S111" s="75" t="s">
        <v>728</v>
      </c>
    </row>
    <row r="112">
      <c r="A112" s="11">
        <v>110.0</v>
      </c>
      <c r="B112" s="11" t="s">
        <v>729</v>
      </c>
      <c r="C112" s="122" t="s">
        <v>165</v>
      </c>
      <c r="D112" s="13" t="str">
        <f>IFERROR(__xludf.DUMMYFUNCTION("IF(B112="""","""",IF(OR(
  REGEXMATCH(B112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REGEXMATCH(B112,""público|Imediato|artística|teatral|memória"")
),""Público Imediato"",
IF(REGEXMATCH(B112,""Música|Álbum|Filme|Documentário|Série|Podc"&amp;"ast|Rádio|Audiotour|Entrevista|Reportagem|Crônica|Relatório|Abaixo-assinado|Manifesto|Petição|Poema|Livro|Fotografia|Curta|Live|Webinário|Charge|Leitura pública|Vídeo""),
""Público Mediado"","""")))
"),"Público Imediato")</f>
        <v>Público Imediato</v>
      </c>
      <c r="E112" s="13" t="str">
        <f>IFERROR(__xludf.DUMMYFUNCTION("IF(B112="""","""",IF(OR(
  REGEXMATCH(B112,""Live|Webinário|Virtual""),
  REGEXMATCH(B112,""online"")
),""Virtual"",
IF(REGEXMATCH(B112,""Música|Álbum|Filme|Documentário|Série|Podcast|Rádio|Audiotour|Episódio|Reportagem|Curta|Charge|Livro|Vídeo|Entrevista"&amp;"""),
""Midiático"",
IF(REGEXMATCH(B112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2" s="183">
        <v>43748.0</v>
      </c>
      <c r="G112" s="15">
        <f t="shared" si="1"/>
        <v>2019</v>
      </c>
      <c r="H112" s="11" t="s">
        <v>730</v>
      </c>
      <c r="I112" s="18" t="s">
        <v>731</v>
      </c>
      <c r="J112" s="17" t="s">
        <v>605</v>
      </c>
      <c r="K112" s="208" t="s">
        <v>26</v>
      </c>
      <c r="L112" s="209" t="s">
        <v>606</v>
      </c>
      <c r="M112" s="15" t="str">
        <f>IFERROR(__xludf.DUMMYFUNCTION("IF(REGEXMATCH(S112, ""Companhia das Letras""), ""Companhia das Letras"",
IF(REGEXMATCH(S112, ""Labortexto Editorial""), ""Labortexto Editorial"",
IF(REGEXMATCH(S112, ""Geração Editorial""), ""Geração Editorial"",
IF(REGEXMATCH(S112, ""Editora Imprensa Ofi"&amp;"cial|Imprensa Oficial""), ""Editora Imprensa Oficial"",
IF(REGEXMATCH(S112, ""Folha Online""), ""Folha Online"",
IF(REGEXMATCH(S112, ""FGV DIREITO SP|FGV Direito SP""), ""FGV DIREITO SP"",
IF(REGEXMATCH(S112, ""massacrecarandiru\.org\.br""), ""Memória Mas"&amp;"sacre Carandiru"",
IF(REGEXMATCH(S112, ""Itaú Cultural""), ""YouTube (Itaú Cultural)"",
IF(REGEXMATCH(S112, ""Passa Palavra""), ""Vimeo (Passa Palavra)"",
IF(REGEXMATCH(S112, ""rede2deoutubro\.blogspot""), ""Blogspot (Rede 02 de Outubro)"",
IF(REGEXMATCH("&amp;"S112, ""Rede TVT""), ""YouTube (Rede TVT)"",
IF(REGEXMATCH(S112, ""Esquerda Diário""), ""Esquerda Diário"",
IF(REGEXMATCH(S112, ""GZH""), ""GZH"",
IF(REGEXMATCH(S112, ""TVPUC""), ""TVPUC"",
IF(REGEXMATCH(S112, ""Mídia Ninja.*Facebook""), ""Facebook (Mídia"&amp;" Ninja)"",
IF(REGEXMATCH(S112, ""Memórias Carandiru.*Instagram""), ""Instagram (Memórias Carandiru)"",
IF(REGEXMATCH(S112, ""Frente pelo Desencarceramento SP""), ""YouTube (Frente Pelo Desencarceramento SP)"",
IF(REGEXMATCH(S112, ""TV ABA""), ""YouTube (T"&amp;"V ABA)"",
IF(REGEXMATCH(S112, ""TV SENADO""), ""YouTube (TV Senado)"",
IF(REGEXMATCH(S112, ""Google Arts &amp; Culture""), ""Google Arts &amp; Culture (Memória Massacre Carandiru)"",
IF(REGEXMATCH(S112, ""Anistia Internacional|ANISTIA INTERNACIONAL""), ""Anistia "&amp;"Internacional"",
IF(REGEXMATCH(S112, ""47\.mostra|47a Mostra""), ""47a Mostra Internacional de Cinema em São Paulo"",
IF(REGEXMATCH(S112, ""Canal USP""), ""YouTube (Canal USP)"",
IF(AND(
  REGEXMATCH(S112, ""(?i)(teses?\.usp\.br|dissertacoes?\.usp\.br|rep"&amp;"ositorio\.usp\.br)""),
  NOT(REGEXMATCH(S112, ""Canal USP""))
), ""Biblioteca Digital de Teses e Dissertações da USP"",
IF(REGEXMATCH(S112, ""SINTRAJUSC""), ""SINTRAJUSC"",
IF(REGEXMATCH(S112, ""Agência Brasil|Agencia Brasil""), ""Agência Brasil"",
IF(REG"&amp;"EXMATCH(S112, ""Brasil de Fato""), ""Brasil de Fato"",
IF(REGEXMATCH(S112, ""Ponte Jornalismo|pontejornalismo""), ""Ponte Jornalismo"",
IF(REGEXMATCH(S112, ""letras\.mus\.br|Letras,""), ""Letras"",
IF(REGEXMATCH(S112, ""YouTube|youtube""), 
   ""YouTube "&amp;"(""&amp;
   IF(REGEXMATCH(S112, ""Itaú Cultural""), ""Itaú Cultural"",
   IF(REGEXMATCH(S112, ""Rede TVT""), ""Rede TVT"",
   IF(REGEXMATCH(S112, ""Frente pelo Desencarceramento SP""), ""Frente Pelo Desencarceramento SP"",
   IF(REGEXMATCH(S112, ""TV ABA""), "&amp;"""TV ABA"",
   IF(REGEXMATCH(S112, ""TV SENADO""), ""TV Senado"",
   IF(REGEXMATCH(S112, ""Canal USP""), ""Canal USP"",
   IF(REGEXMATCH(S112, ""Douer, Zack|Zack Douer""), ""Douer Zack"",
   IF(REGEXMATCH(S112, ""PRISIONEIRO 84\.901|PRISIONEIRO 84""), ""P"&amp;"risioneiro 84.901"",
   IF(REGEXMATCH(S112, ""^[^,]*, ""), 
        PROPER(REGEXREPLACE(REGEXEXTRACT(S112, ""^([^.]*)\.""), ""^([^,]*), (.*)"", ""$2 $1"")),
        PROPER(REGEXEXTRACT(S112, ""^([^.]*)\.""))
   )))))))))&amp;"")"",
IF(REGEXMATCH(S112, ""Spot"&amp;"ify|spotify""), 
   ""Spotify (""&amp;
   IF(REGEXMATCH(S112, ""ESTRANHO SORRISO""), ""Estranho Sorriso"",
   PROPER(REGEXEXTRACT(S112, ""^([^.]*)\.""))
   )&amp;"")"",
IF(REGEXMATCH(S112, ""Vimeo|vimeo""), 
   ""Vimeo (""&amp;
   IF(REGEXMATCH(S112, ""Passa Palavra"&amp;"""), ""Passa Palavra"",
   PROPER(REGEXEXTRACT(S112, ""^([^.]*)\.""))
   )&amp;"")"",
IF(REGEXMATCH(S112, ""Blogspot""), 
   ""Blogspot (""&amp;
   IF(REGEXMATCH(S112, ""rede2deoutubro""), ""Rede 02 de Outubro"",
   PROPER(REGEXEXTRACT(S112, ""^([^.]*)\.""))
   "&amp;")&amp;"")"",
IF(REGEXMATCH(S112, ""Facebook""), 
   ""Facebook (""&amp;
   IF(REGEXMATCH(S112, ""Mídia Ninja""), ""Mídia Ninja"",
   PROPER(REGEXEXTRACT(S112, ""^([^.]*)\.""))
   )&amp;"")"",
IF(REGEXMATCH(S112, ""Instagram""), 
   ""Instagram (""&amp;
   IF(REGEXMATCH"&amp;"(S112, ""Memórias Carandiru""), ""Memórias Carandiru"",
   PROPER(REGEXEXTRACT(S112, ""^([^.]*)\.""))
   )&amp;"")"",
IF(REGEXMATCH(S112, ""Folha de S\. Paulo|FOLHA DE S\. PAULO""), ""Folha de S. Paulo"",
IF(REGEXMATCH(S112, ""O Estado de S\. Paulo|ESTADAO"""&amp;"), ""O Estado de S. Paulo"",
IF(REGEXMATCH(S112, ""salasecreta""), ""Wordpress (Sala Secreta)"",
IF(REGEXMATCH(S112, ""Wikipedia|Wikipédia|WIKIPÉDIA""), ""Wikipedia"",
IF(REGEXMATCH(S112, ""VEJA|Veja""), ""Veja Abril"",
IF(REGEXMATCH(S384, ""Rede Globo|RE"&amp;"DE GLOBO""), ""Rede Globo"",
IF(REGEXMATCH(S384, ""G1|globo\.com""), ""G1"",
IF(REGEXMATCH(S112, ""Deutsche Welle|DW\.com""), ""Deutsche Welle"",
IF(REGEXMATCH(S112, ""CIDH|Comissão Interamericana""), ""Comissão Interamericana de Direitos Humanos (CIDH)"""&amp;",
IF(REGEXMATCH(S112, ""Pastoral Carcerária""), ""Pastoral Carcerária"",
IF(REGEXMATCH(S112, ""Esquerda Web""), ""Esquerda Web"",
IF(REGEXMATCH(S112, ""ONU|Organização das Nações Unidas""), ""ONU Brasil"",
IF(REGEXMATCH(S112, ""Quilombo Invisível""), ""Qu"&amp;"ilombo Invisível"",
IF(REGEXMATCH(S112, ""ALESP|Assembleia Legislativa""), ""ALESP"",
IF(REGEXMATCH(S112, ""Revista Opera""), ""Revista Opera"",
IF(REGEXMATCH(S112, ""SP Escola de Teatro""), ""SP Escola de Teatro"",
IF(REGEXMATCH(S112, ""EMC|Espaço Memóri"&amp;"a Carandiru""), ""EMC Espaço Memória Carandiru"",
IF(REGEXMATCH(S112, ""^RAMOS, Nuno|Nuno Ramos""), ""Nuno Ramos"",
IF(REGEXMATCH(S112, ""^VELOSO, Caetano|Caetano Veloso""), ""YouTube (Caetano Veloso)"",
IF(REGEXMATCH(S112, ""^FATOS REAIS""), ""YouTube ("&amp;"Fatos Reais - Topic)"",
IF(REGEXMATCH(S112, ""^SALA SECRETA""), ""Wordpress (Sala Secreta)"",
PROPER(REGEXEXTRACT(S112, ""^([^.]*)\.""))
))))))))))))))))))))))))))))))))))))))))))))))))))))))))"),"Quilombo Invisível")</f>
        <v>Quilombo Invisível</v>
      </c>
      <c r="N112" s="11" t="s">
        <v>47</v>
      </c>
      <c r="O112" s="11" t="s">
        <v>221</v>
      </c>
      <c r="P112" s="51">
        <v>45855.0</v>
      </c>
      <c r="Q112" s="11" t="s">
        <v>154</v>
      </c>
      <c r="R112" s="70" t="str">
        <f t="shared" si="8"/>
        <v>Aqui</v>
      </c>
      <c r="S112" s="75" t="s">
        <v>607</v>
      </c>
    </row>
    <row r="113">
      <c r="A113" s="11">
        <v>111.0</v>
      </c>
      <c r="B113" s="14" t="s">
        <v>732</v>
      </c>
      <c r="C113" s="122" t="s">
        <v>165</v>
      </c>
      <c r="D113" s="13" t="str">
        <f>IFERROR(__xludf.DUMMYFUNCTION("IF(B113="""","""",IF(OR(
  REGEXMATCH(B113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REGEXMATCH(B113,""público|Imediato|artística|teatral|memória"")
),""Público Imediato"",
IF(REGEXMATCH(B113,""Música|Álbum|Filme|Documentário|Série|Podc"&amp;"ast|Rádio|Audiotour|Entrevista|Reportagem|Crônica|Relatório|Abaixo-assinado|Manifesto|Petição|Poema|Livro|Fotografia|Curta|Live|Webinário|Charge|Leitura pública|Vídeo""),
""Público Mediado"","""")))
"),"Público Imediato")</f>
        <v>Público Imediato</v>
      </c>
      <c r="E113" s="13" t="str">
        <f>IFERROR(__xludf.DUMMYFUNCTION("IF(B113="""","""",IF(OR(
  REGEXMATCH(B113,""Live|Webinário|Virtual""),
  REGEXMATCH(B113,""online"")
),""Virtual"",
IF(REGEXMATCH(B113,""Música|Álbum|Filme|Documentário|Série|Podcast|Rádio|Audiotour|Episódio|Reportagem|Curta|Charge|Livro|Vídeo|Entrevista"&amp;"""),
""Midiático"",
IF(REGEXMATCH(B113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3" s="186">
        <v>43778.0</v>
      </c>
      <c r="G113" s="15">
        <f t="shared" si="1"/>
        <v>2019</v>
      </c>
      <c r="H113" s="14" t="s">
        <v>733</v>
      </c>
      <c r="I113" s="177" t="s">
        <v>734</v>
      </c>
      <c r="J113" s="202" t="s">
        <v>735</v>
      </c>
      <c r="K113" s="16" t="s">
        <v>736</v>
      </c>
      <c r="L113" s="18" t="s">
        <v>489</v>
      </c>
      <c r="M113" s="15" t="str">
        <f>IFERROR(__xludf.DUMMYFUNCTION("IF(REGEXMATCH(S113, ""Companhia das Letras""), ""Companhia das Letras"",
IF(REGEXMATCH(S113, ""Labortexto Editorial""), ""Labortexto Editorial"",
IF(REGEXMATCH(S113, ""Geração Editorial""), ""Geração Editorial"",
IF(REGEXMATCH(S113, ""Editora Imprensa Ofi"&amp;"cial|Imprensa Oficial""), ""Editora Imprensa Oficial"",
IF(REGEXMATCH(S113, ""Folha Online""), ""Folha Online"",
IF(REGEXMATCH(S113, ""FGV DIREITO SP|FGV Direito SP""), ""FGV DIREITO SP"",
IF(REGEXMATCH(S113, ""massacrecarandiru\.org\.br""), ""Memória Mas"&amp;"sacre Carandiru"",
IF(REGEXMATCH(S113, ""Itaú Cultural""), ""YouTube (Itaú Cultural)"",
IF(REGEXMATCH(S113, ""Passa Palavra""), ""Vimeo (Passa Palavra)"",
IF(REGEXMATCH(S113, ""rede2deoutubro\.blogspot""), ""Blogspot (Rede 02 de Outubro)"",
IF(REGEXMATCH("&amp;"S113, ""Rede TVT""), ""YouTube (Rede TVT)"",
IF(REGEXMATCH(S113, ""Esquerda Diário""), ""Esquerda Diário"",
IF(REGEXMATCH(S113, ""GZH""), ""GZH"",
IF(REGEXMATCH(S113, ""TVPUC""), ""TVPUC"",
IF(REGEXMATCH(S113, ""Mídia Ninja.*Facebook""), ""Facebook (Mídia"&amp;" Ninja)"",
IF(REGEXMATCH(S113, ""Memórias Carandiru.*Instagram""), ""Instagram (Memórias Carandiru)"",
IF(REGEXMATCH(S113, ""Frente pelo Desencarceramento SP""), ""YouTube (Frente Pelo Desencarceramento SP)"",
IF(REGEXMATCH(S113, ""TV ABA""), ""YouTube (T"&amp;"V ABA)"",
IF(REGEXMATCH(S113, ""TV SENADO""), ""YouTube (TV Senado)"",
IF(REGEXMATCH(S113, ""Google Arts &amp; Culture""), ""Google Arts &amp; Culture (Memória Massacre Carandiru)"",
IF(REGEXMATCH(S113, ""Anistia Internacional|ANISTIA INTERNACIONAL""), ""Anistia "&amp;"Internacional"",
IF(REGEXMATCH(S113, ""47\.mostra|47a Mostra""), ""47a Mostra Internacional de Cinema em São Paulo"",
IF(REGEXMATCH(S113, ""Canal USP""), ""YouTube (Canal USP)"",
IF(AND(
  REGEXMATCH(S113, ""(?i)(teses?\.usp\.br|dissertacoes?\.usp\.br|rep"&amp;"ositorio\.usp\.br)""),
  NOT(REGEXMATCH(S113, ""Canal USP""))
), ""Biblioteca Digital de Teses e Dissertações da USP"",
IF(REGEXMATCH(S113, ""SINTRAJUSC""), ""SINTRAJUSC"",
IF(REGEXMATCH(S113, ""Agência Brasil|Agencia Brasil""), ""Agência Brasil"",
IF(REG"&amp;"EXMATCH(S113, ""Brasil de Fato""), ""Brasil de Fato"",
IF(REGEXMATCH(S113, ""Ponte Jornalismo|pontejornalismo""), ""Ponte Jornalismo"",
IF(REGEXMATCH(S113, ""letras\.mus\.br|Letras,""), ""Letras"",
IF(REGEXMATCH(S113, ""YouTube|youtube""), 
   ""YouTube "&amp;"(""&amp;
   IF(REGEXMATCH(S113, ""Itaú Cultural""), ""Itaú Cultural"",
   IF(REGEXMATCH(S113, ""Rede TVT""), ""Rede TVT"",
   IF(REGEXMATCH(S113, ""Frente pelo Desencarceramento SP""), ""Frente Pelo Desencarceramento SP"",
   IF(REGEXMATCH(S113, ""TV ABA""), "&amp;"""TV ABA"",
   IF(REGEXMATCH(S113, ""TV SENADO""), ""TV Senado"",
   IF(REGEXMATCH(S113, ""Canal USP""), ""Canal USP"",
   IF(REGEXMATCH(S113, ""Douer, Zack|Zack Douer""), ""Douer Zack"",
   IF(REGEXMATCH(S113, ""PRISIONEIRO 84\.901|PRISIONEIRO 84""), ""P"&amp;"risioneiro 84.901"",
   IF(REGEXMATCH(S113, ""^[^,]*, ""), 
        PROPER(REGEXREPLACE(REGEXEXTRACT(S113, ""^([^.]*)\.""), ""^([^,]*), (.*)"", ""$2 $1"")),
        PROPER(REGEXEXTRACT(S113, ""^([^.]*)\.""))
   )))))))))&amp;"")"",
IF(REGEXMATCH(S113, ""Spot"&amp;"ify|spotify""), 
   ""Spotify (""&amp;
   IF(REGEXMATCH(S113, ""ESTRANHO SORRISO""), ""Estranho Sorriso"",
   PROPER(REGEXEXTRACT(S113, ""^([^.]*)\.""))
   )&amp;"")"",
IF(REGEXMATCH(S113, ""Vimeo|vimeo""), 
   ""Vimeo (""&amp;
   IF(REGEXMATCH(S113, ""Passa Palavra"&amp;"""), ""Passa Palavra"",
   PROPER(REGEXEXTRACT(S113, ""^([^.]*)\.""))
   )&amp;"")"",
IF(REGEXMATCH(S113, ""Blogspot""), 
   ""Blogspot (""&amp;
   IF(REGEXMATCH(S113, ""rede2deoutubro""), ""Rede 02 de Outubro"",
   PROPER(REGEXEXTRACT(S113, ""^([^.]*)\.""))
   "&amp;")&amp;"")"",
IF(REGEXMATCH(S113, ""Facebook""), 
   ""Facebook (""&amp;
   IF(REGEXMATCH(S113, ""Mídia Ninja""), ""Mídia Ninja"",
   PROPER(REGEXEXTRACT(S113, ""^([^.]*)\.""))
   )&amp;"")"",
IF(REGEXMATCH(S113, ""Instagram""), 
   ""Instagram (""&amp;
   IF(REGEXMATCH"&amp;"(S113, ""Memórias Carandiru""), ""Memórias Carandiru"",
   PROPER(REGEXEXTRACT(S113, ""^([^.]*)\.""))
   )&amp;"")"",
IF(REGEXMATCH(S113, ""Folha de S\. Paulo|FOLHA DE S\. PAULO""), ""Folha de S. Paulo"",
IF(REGEXMATCH(S113, ""O Estado de S\. Paulo|ESTADAO"""&amp;"), ""O Estado de S. Paulo"",
IF(REGEXMATCH(S113, ""salasecreta""), ""Wordpress (Sala Secreta)"",
IF(REGEXMATCH(S113, ""Wikipedia|Wikipédia|WIKIPÉDIA""), ""Wikipedia"",
IF(REGEXMATCH(S113, ""VEJA|Veja""), ""Veja Abril"",
IF(REGEXMATCH(S385, ""Rede Globo|RE"&amp;"DE GLOBO""), ""Rede Globo"",
IF(REGEXMATCH(S385, ""G1|globo\.com""), ""G1"",
IF(REGEXMATCH(S113, ""Deutsche Welle|DW\.com""), ""Deutsche Welle"",
IF(REGEXMATCH(S113, ""CIDH|Comissão Interamericana""), ""Comissão Interamericana de Direitos Humanos (CIDH)"""&amp;",
IF(REGEXMATCH(S113, ""Pastoral Carcerária""), ""Pastoral Carcerária"",
IF(REGEXMATCH(S113, ""Esquerda Web""), ""Esquerda Web"",
IF(REGEXMATCH(S113, ""ONU|Organização das Nações Unidas""), ""ONU Brasil"",
IF(REGEXMATCH(S113, ""Quilombo Invisível""), ""Qu"&amp;"ilombo Invisível"",
IF(REGEXMATCH(S113, ""ALESP|Assembleia Legislativa""), ""ALESP"",
IF(REGEXMATCH(S113, ""Revista Opera""), ""Revista Opera"",
IF(REGEXMATCH(S113, ""SP Escola de Teatro""), ""SP Escola de Teatro"",
IF(REGEXMATCH(S113, ""EMC|Espaço Memóri"&amp;"a Carandiru""), ""EMC Espaço Memória Carandiru"",
IF(REGEXMATCH(S113, ""^RAMOS, Nuno|Nuno Ramos""), ""Nuno Ramos"",
IF(REGEXMATCH(S113, ""^VELOSO, Caetano|Caetano Veloso""), ""YouTube (Caetano Veloso)"",
IF(REGEXMATCH(S113, ""^FATOS REAIS""), ""YouTube ("&amp;"Fatos Reais - Topic)"",
IF(REGEXMATCH(S113, ""^SALA SECRETA""), ""Wordpress (Sala Secreta)"",
PROPER(REGEXEXTRACT(S113, ""^([^.]*)\.""))
))))))))))))))))))))))))))))))))))))))))))))))))))))))))"),"Instagram (Memórias Carandiru)")</f>
        <v>Instagram (Memórias Carandiru)</v>
      </c>
      <c r="N113" s="11" t="s">
        <v>47</v>
      </c>
      <c r="O113" s="14" t="s">
        <v>149</v>
      </c>
      <c r="P113" s="186">
        <v>45857.0</v>
      </c>
      <c r="Q113" s="11" t="s">
        <v>154</v>
      </c>
      <c r="R113" s="70" t="str">
        <f t="shared" si="8"/>
        <v>Aqui</v>
      </c>
      <c r="S113" s="75" t="s">
        <v>737</v>
      </c>
    </row>
    <row r="114">
      <c r="A114" s="11">
        <v>112.0</v>
      </c>
      <c r="B114" s="14" t="s">
        <v>729</v>
      </c>
      <c r="C114" s="122" t="s">
        <v>165</v>
      </c>
      <c r="D114" s="13" t="str">
        <f>IFERROR(__xludf.DUMMYFUNCTION("IF(B114="""","""",IF(OR(
  REGEXMATCH(B114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REGEXMATCH(B114,""público|Imediato|artística|teatral|memória"")
),""Público Imediato"",
IF(REGEXMATCH(B114,""Música|Álbum|Filme|Documentário|Série|Podc"&amp;"ast|Rádio|Audiotour|Entrevista|Reportagem|Crônica|Relatório|Abaixo-assinado|Manifesto|Petição|Poema|Livro|Fotografia|Curta|Live|Webinário|Charge|Leitura pública|Vídeo""),
""Público Mediado"","""")))
"),"Público Imediato")</f>
        <v>Público Imediato</v>
      </c>
      <c r="E114" s="13" t="str">
        <f>IFERROR(__xludf.DUMMYFUNCTION("IF(B114="""","""",IF(OR(
  REGEXMATCH(B114,""Live|Webinário|Virtual""),
  REGEXMATCH(B114,""online"")
),""Virtual"",
IF(REGEXMATCH(B114,""Música|Álbum|Filme|Documentário|Série|Podcast|Rádio|Audiotour|Episódio|Reportagem|Curta|Charge|Livro|Vídeo|Entrevista"&amp;"""),
""Midiático"",
IF(REGEXMATCH(B114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4" s="186">
        <v>43808.0</v>
      </c>
      <c r="G114" s="15">
        <f t="shared" si="1"/>
        <v>2019</v>
      </c>
      <c r="H114" s="14" t="s">
        <v>733</v>
      </c>
      <c r="I114" s="177" t="s">
        <v>738</v>
      </c>
      <c r="J114" s="202" t="s">
        <v>739</v>
      </c>
      <c r="K114" s="16" t="s">
        <v>736</v>
      </c>
      <c r="L114" s="18" t="s">
        <v>489</v>
      </c>
      <c r="M114" s="15" t="str">
        <f>IFERROR(__xludf.DUMMYFUNCTION("IF(REGEXMATCH(S114, ""Companhia das Letras""), ""Companhia das Letras"",
IF(REGEXMATCH(S114, ""Labortexto Editorial""), ""Labortexto Editorial"",
IF(REGEXMATCH(S114, ""Geração Editorial""), ""Geração Editorial"",
IF(REGEXMATCH(S114, ""Editora Imprensa Ofi"&amp;"cial|Imprensa Oficial""), ""Editora Imprensa Oficial"",
IF(REGEXMATCH(S114, ""Folha Online""), ""Folha Online"",
IF(REGEXMATCH(S114, ""FGV DIREITO SP|FGV Direito SP""), ""FGV DIREITO SP"",
IF(REGEXMATCH(S114, ""massacrecarandiru\.org\.br""), ""Memória Mas"&amp;"sacre Carandiru"",
IF(REGEXMATCH(S114, ""Itaú Cultural""), ""YouTube (Itaú Cultural)"",
IF(REGEXMATCH(S114, ""Passa Palavra""), ""Vimeo (Passa Palavra)"",
IF(REGEXMATCH(S114, ""rede2deoutubro\.blogspot""), ""Blogspot (Rede 02 de Outubro)"",
IF(REGEXMATCH("&amp;"S114, ""Rede TVT""), ""YouTube (Rede TVT)"",
IF(REGEXMATCH(S114, ""Esquerda Diário""), ""Esquerda Diário"",
IF(REGEXMATCH(S114, ""GZH""), ""GZH"",
IF(REGEXMATCH(S114, ""TVPUC""), ""TVPUC"",
IF(REGEXMATCH(S114, ""Mídia Ninja.*Facebook""), ""Facebook (Mídia"&amp;" Ninja)"",
IF(REGEXMATCH(S114, ""Memórias Carandiru.*Instagram""), ""Instagram (Memórias Carandiru)"",
IF(REGEXMATCH(S114, ""Frente pelo Desencarceramento SP""), ""YouTube (Frente Pelo Desencarceramento SP)"",
IF(REGEXMATCH(S114, ""TV ABA""), ""YouTube (T"&amp;"V ABA)"",
IF(REGEXMATCH(S114, ""TV SENADO""), ""YouTube (TV Senado)"",
IF(REGEXMATCH(S114, ""Google Arts &amp; Culture""), ""Google Arts &amp; Culture (Memória Massacre Carandiru)"",
IF(REGEXMATCH(S114, ""Anistia Internacional|ANISTIA INTERNACIONAL""), ""Anistia "&amp;"Internacional"",
IF(REGEXMATCH(S114, ""47\.mostra|47a Mostra""), ""47a Mostra Internacional de Cinema em São Paulo"",
IF(REGEXMATCH(S114, ""Canal USP""), ""YouTube (Canal USP)"",
IF(AND(
  REGEXMATCH(S114, ""(?i)(teses?\.usp\.br|dissertacoes?\.usp\.br|rep"&amp;"ositorio\.usp\.br)""),
  NOT(REGEXMATCH(S114, ""Canal USP""))
), ""Biblioteca Digital de Teses e Dissertações da USP"",
IF(REGEXMATCH(S114, ""SINTRAJUSC""), ""SINTRAJUSC"",
IF(REGEXMATCH(S114, ""Agência Brasil|Agencia Brasil""), ""Agência Brasil"",
IF(REG"&amp;"EXMATCH(S114, ""Brasil de Fato""), ""Brasil de Fato"",
IF(REGEXMATCH(S114, ""Ponte Jornalismo|pontejornalismo""), ""Ponte Jornalismo"",
IF(REGEXMATCH(S114, ""letras\.mus\.br|Letras,""), ""Letras"",
IF(REGEXMATCH(S114, ""YouTube|youtube""), 
   ""YouTube "&amp;"(""&amp;
   IF(REGEXMATCH(S114, ""Itaú Cultural""), ""Itaú Cultural"",
   IF(REGEXMATCH(S114, ""Rede TVT""), ""Rede TVT"",
   IF(REGEXMATCH(S114, ""Frente pelo Desencarceramento SP""), ""Frente Pelo Desencarceramento SP"",
   IF(REGEXMATCH(S114, ""TV ABA""), "&amp;"""TV ABA"",
   IF(REGEXMATCH(S114, ""TV SENADO""), ""TV Senado"",
   IF(REGEXMATCH(S114, ""Canal USP""), ""Canal USP"",
   IF(REGEXMATCH(S114, ""Douer, Zack|Zack Douer""), ""Douer Zack"",
   IF(REGEXMATCH(S114, ""PRISIONEIRO 84\.901|PRISIONEIRO 84""), ""P"&amp;"risioneiro 84.901"",
   IF(REGEXMATCH(S114, ""^[^,]*, ""), 
        PROPER(REGEXREPLACE(REGEXEXTRACT(S114, ""^([^.]*)\.""), ""^([^,]*), (.*)"", ""$2 $1"")),
        PROPER(REGEXEXTRACT(S114, ""^([^.]*)\.""))
   )))))))))&amp;"")"",
IF(REGEXMATCH(S114, ""Spot"&amp;"ify|spotify""), 
   ""Spotify (""&amp;
   IF(REGEXMATCH(S114, ""ESTRANHO SORRISO""), ""Estranho Sorriso"",
   PROPER(REGEXEXTRACT(S114, ""^([^.]*)\.""))
   )&amp;"")"",
IF(REGEXMATCH(S114, ""Vimeo|vimeo""), 
   ""Vimeo (""&amp;
   IF(REGEXMATCH(S114, ""Passa Palavra"&amp;"""), ""Passa Palavra"",
   PROPER(REGEXEXTRACT(S114, ""^([^.]*)\.""))
   )&amp;"")"",
IF(REGEXMATCH(S114, ""Blogspot""), 
   ""Blogspot (""&amp;
   IF(REGEXMATCH(S114, ""rede2deoutubro""), ""Rede 02 de Outubro"",
   PROPER(REGEXEXTRACT(S114, ""^([^.]*)\.""))
   "&amp;")&amp;"")"",
IF(REGEXMATCH(S114, ""Facebook""), 
   ""Facebook (""&amp;
   IF(REGEXMATCH(S114, ""Mídia Ninja""), ""Mídia Ninja"",
   PROPER(REGEXEXTRACT(S114, ""^([^.]*)\.""))
   )&amp;"")"",
IF(REGEXMATCH(S114, ""Instagram""), 
   ""Instagram (""&amp;
   IF(REGEXMATCH"&amp;"(S114, ""Memórias Carandiru""), ""Memórias Carandiru"",
   PROPER(REGEXEXTRACT(S114, ""^([^.]*)\.""))
   )&amp;"")"",
IF(REGEXMATCH(S114, ""Folha de S\. Paulo|FOLHA DE S\. PAULO""), ""Folha de S. Paulo"",
IF(REGEXMATCH(S114, ""O Estado de S\. Paulo|ESTADAO"""&amp;"), ""O Estado de S. Paulo"",
IF(REGEXMATCH(S114, ""salasecreta""), ""Wordpress (Sala Secreta)"",
IF(REGEXMATCH(S114, ""Wikipedia|Wikipédia|WIKIPÉDIA""), ""Wikipedia"",
IF(REGEXMATCH(S114, ""VEJA|Veja""), ""Veja Abril"",
IF(REGEXMATCH(S386, ""Rede Globo|RE"&amp;"DE GLOBO""), ""Rede Globo"",
IF(REGEXMATCH(S386, ""G1|globo\.com""), ""G1"",
IF(REGEXMATCH(S114, ""Deutsche Welle|DW\.com""), ""Deutsche Welle"",
IF(REGEXMATCH(S114, ""CIDH|Comissão Interamericana""), ""Comissão Interamericana de Direitos Humanos (CIDH)"""&amp;",
IF(REGEXMATCH(S114, ""Pastoral Carcerária""), ""Pastoral Carcerária"",
IF(REGEXMATCH(S114, ""Esquerda Web""), ""Esquerda Web"",
IF(REGEXMATCH(S114, ""ONU|Organização das Nações Unidas""), ""ONU Brasil"",
IF(REGEXMATCH(S114, ""Quilombo Invisível""), ""Qu"&amp;"ilombo Invisível"",
IF(REGEXMATCH(S114, ""ALESP|Assembleia Legislativa""), ""ALESP"",
IF(REGEXMATCH(S114, ""Revista Opera""), ""Revista Opera"",
IF(REGEXMATCH(S114, ""SP Escola de Teatro""), ""SP Escola de Teatro"",
IF(REGEXMATCH(S114, ""EMC|Espaço Memóri"&amp;"a Carandiru""), ""EMC Espaço Memória Carandiru"",
IF(REGEXMATCH(S114, ""^RAMOS, Nuno|Nuno Ramos""), ""Nuno Ramos"",
IF(REGEXMATCH(S114, ""^VELOSO, Caetano|Caetano Veloso""), ""YouTube (Caetano Veloso)"",
IF(REGEXMATCH(S114, ""^FATOS REAIS""), ""YouTube ("&amp;"Fatos Reais - Topic)"",
IF(REGEXMATCH(S114, ""^SALA SECRETA""), ""Wordpress (Sala Secreta)"",
PROPER(REGEXEXTRACT(S114, ""^([^.]*)\.""))
))))))))))))))))))))))))))))))))))))))))))))))))))))))))"),"Instagram (Memórias Carandiru)")</f>
        <v>Instagram (Memórias Carandiru)</v>
      </c>
      <c r="N114" s="11" t="s">
        <v>47</v>
      </c>
      <c r="O114" s="14" t="s">
        <v>149</v>
      </c>
      <c r="P114" s="186">
        <v>45857.0</v>
      </c>
      <c r="Q114" s="11" t="s">
        <v>154</v>
      </c>
      <c r="R114" s="70" t="str">
        <f t="shared" si="8"/>
        <v>Aqui</v>
      </c>
      <c r="S114" s="75" t="s">
        <v>740</v>
      </c>
    </row>
    <row r="115">
      <c r="A115" s="11">
        <v>113.0</v>
      </c>
      <c r="B115" s="14" t="s">
        <v>732</v>
      </c>
      <c r="C115" s="122" t="s">
        <v>165</v>
      </c>
      <c r="D115" s="13" t="str">
        <f>IFERROR(__xludf.DUMMYFUNCTION("IF(B115="""","""",IF(OR(
  REGEXMATCH(B115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REGEXMATCH(B115,""público|Imediato|artística|teatral|memória"")
),""Público Imediato"",
IF(REGEXMATCH(B115,""Música|Álbum|Filme|Documentário|Série|Podc"&amp;"ast|Rádio|Audiotour|Entrevista|Reportagem|Crônica|Relatório|Abaixo-assinado|Manifesto|Petição|Poema|Livro|Fotografia|Curta|Live|Webinário|Charge|Leitura pública|Vídeo""),
""Público Mediado"","""")))
"),"Público Imediato")</f>
        <v>Público Imediato</v>
      </c>
      <c r="E115" s="13" t="str">
        <f>IFERROR(__xludf.DUMMYFUNCTION("IF(B115="""","""",IF(OR(
  REGEXMATCH(B115,""Live|Webinário|Virtual""),
  REGEXMATCH(B115,""online"")
),""Virtual"",
IF(REGEXMATCH(B115,""Música|Álbum|Filme|Documentário|Série|Podcast|Rádio|Audiotour|Episódio|Reportagem|Curta|Charge|Livro|Vídeo|Entrevista"&amp;"""),
""Midiático"",
IF(REGEXMATCH(B115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5" s="186">
        <v>43897.0</v>
      </c>
      <c r="G115" s="15">
        <f t="shared" si="1"/>
        <v>2020</v>
      </c>
      <c r="H115" s="14" t="s">
        <v>733</v>
      </c>
      <c r="I115" s="177" t="s">
        <v>741</v>
      </c>
      <c r="J115" s="175" t="s">
        <v>742</v>
      </c>
      <c r="K115" s="16" t="s">
        <v>736</v>
      </c>
      <c r="L115" s="18" t="s">
        <v>489</v>
      </c>
      <c r="M115" s="15" t="str">
        <f>IFERROR(__xludf.DUMMYFUNCTION("IF(REGEXMATCH(S115, ""Companhia das Letras""), ""Companhia das Letras"",
IF(REGEXMATCH(S115, ""Labortexto Editorial""), ""Labortexto Editorial"",
IF(REGEXMATCH(S115, ""Geração Editorial""), ""Geração Editorial"",
IF(REGEXMATCH(S115, ""Editora Imprensa Ofi"&amp;"cial|Imprensa Oficial""), ""Editora Imprensa Oficial"",
IF(REGEXMATCH(S115, ""Folha Online""), ""Folha Online"",
IF(REGEXMATCH(S115, ""FGV DIREITO SP|FGV Direito SP""), ""FGV DIREITO SP"",
IF(REGEXMATCH(S115, ""massacrecarandiru\.org\.br""), ""Memória Mas"&amp;"sacre Carandiru"",
IF(REGEXMATCH(S115, ""Itaú Cultural""), ""YouTube (Itaú Cultural)"",
IF(REGEXMATCH(S115, ""Passa Palavra""), ""Vimeo (Passa Palavra)"",
IF(REGEXMATCH(S115, ""rede2deoutubro\.blogspot""), ""Blogspot (Rede 02 de Outubro)"",
IF(REGEXMATCH("&amp;"S115, ""Rede TVT""), ""YouTube (Rede TVT)"",
IF(REGEXMATCH(S115, ""Esquerda Diário""), ""Esquerda Diário"",
IF(REGEXMATCH(S115, ""GZH""), ""GZH"",
IF(REGEXMATCH(S115, ""TVPUC""), ""TVPUC"",
IF(REGEXMATCH(S115, ""Mídia Ninja.*Facebook""), ""Facebook (Mídia"&amp;" Ninja)"",
IF(REGEXMATCH(S115, ""Memórias Carandiru.*Instagram""), ""Instagram (Memórias Carandiru)"",
IF(REGEXMATCH(S115, ""Frente pelo Desencarceramento SP""), ""YouTube (Frente Pelo Desencarceramento SP)"",
IF(REGEXMATCH(S115, ""TV ABA""), ""YouTube (T"&amp;"V ABA)"",
IF(REGEXMATCH(S115, ""TV SENADO""), ""YouTube (TV Senado)"",
IF(REGEXMATCH(S115, ""Google Arts &amp; Culture""), ""Google Arts &amp; Culture (Memória Massacre Carandiru)"",
IF(REGEXMATCH(S115, ""Anistia Internacional|ANISTIA INTERNACIONAL""), ""Anistia "&amp;"Internacional"",
IF(REGEXMATCH(S115, ""47\.mostra|47a Mostra""), ""47a Mostra Internacional de Cinema em São Paulo"",
IF(REGEXMATCH(S115, ""Canal USP""), ""YouTube (Canal USP)"",
IF(AND(
  REGEXMATCH(S115, ""(?i)(teses?\.usp\.br|dissertacoes?\.usp\.br|rep"&amp;"ositorio\.usp\.br)""),
  NOT(REGEXMATCH(S115, ""Canal USP""))
), ""Biblioteca Digital de Teses e Dissertações da USP"",
IF(REGEXMATCH(S115, ""SINTRAJUSC""), ""SINTRAJUSC"",
IF(REGEXMATCH(S115, ""Agência Brasil|Agencia Brasil""), ""Agência Brasil"",
IF(REG"&amp;"EXMATCH(S115, ""Brasil de Fato""), ""Brasil de Fato"",
IF(REGEXMATCH(S115, ""Ponte Jornalismo|pontejornalismo""), ""Ponte Jornalismo"",
IF(REGEXMATCH(S115, ""letras\.mus\.br|Letras,""), ""Letras"",
IF(REGEXMATCH(S115, ""YouTube|youtube""), 
   ""YouTube "&amp;"(""&amp;
   IF(REGEXMATCH(S115, ""Itaú Cultural""), ""Itaú Cultural"",
   IF(REGEXMATCH(S115, ""Rede TVT""), ""Rede TVT"",
   IF(REGEXMATCH(S115, ""Frente pelo Desencarceramento SP""), ""Frente Pelo Desencarceramento SP"",
   IF(REGEXMATCH(S115, ""TV ABA""), "&amp;"""TV ABA"",
   IF(REGEXMATCH(S115, ""TV SENADO""), ""TV Senado"",
   IF(REGEXMATCH(S115, ""Canal USP""), ""Canal USP"",
   IF(REGEXMATCH(S115, ""Douer, Zack|Zack Douer""), ""Douer Zack"",
   IF(REGEXMATCH(S115, ""PRISIONEIRO 84\.901|PRISIONEIRO 84""), ""P"&amp;"risioneiro 84.901"",
   IF(REGEXMATCH(S115, ""^[^,]*, ""), 
        PROPER(REGEXREPLACE(REGEXEXTRACT(S115, ""^([^.]*)\.""), ""^([^,]*), (.*)"", ""$2 $1"")),
        PROPER(REGEXEXTRACT(S115, ""^([^.]*)\.""))
   )))))))))&amp;"")"",
IF(REGEXMATCH(S115, ""Spot"&amp;"ify|spotify""), 
   ""Spotify (""&amp;
   IF(REGEXMATCH(S115, ""ESTRANHO SORRISO""), ""Estranho Sorriso"",
   PROPER(REGEXEXTRACT(S115, ""^([^.]*)\.""))
   )&amp;"")"",
IF(REGEXMATCH(S115, ""Vimeo|vimeo""), 
   ""Vimeo (""&amp;
   IF(REGEXMATCH(S115, ""Passa Palavra"&amp;"""), ""Passa Palavra"",
   PROPER(REGEXEXTRACT(S115, ""^([^.]*)\.""))
   )&amp;"")"",
IF(REGEXMATCH(S115, ""Blogspot""), 
   ""Blogspot (""&amp;
   IF(REGEXMATCH(S115, ""rede2deoutubro""), ""Rede 02 de Outubro"",
   PROPER(REGEXEXTRACT(S115, ""^([^.]*)\.""))
   "&amp;")&amp;"")"",
IF(REGEXMATCH(S115, ""Facebook""), 
   ""Facebook (""&amp;
   IF(REGEXMATCH(S115, ""Mídia Ninja""), ""Mídia Ninja"",
   PROPER(REGEXEXTRACT(S115, ""^([^.]*)\.""))
   )&amp;"")"",
IF(REGEXMATCH(S115, ""Instagram""), 
   ""Instagram (""&amp;
   IF(REGEXMATCH"&amp;"(S115, ""Memórias Carandiru""), ""Memórias Carandiru"",
   PROPER(REGEXEXTRACT(S115, ""^([^.]*)\.""))
   )&amp;"")"",
IF(REGEXMATCH(S115, ""Folha de S\. Paulo|FOLHA DE S\. PAULO""), ""Folha de S. Paulo"",
IF(REGEXMATCH(S115, ""O Estado de S\. Paulo|ESTADAO"""&amp;"), ""O Estado de S. Paulo"",
IF(REGEXMATCH(S115, ""salasecreta""), ""Wordpress (Sala Secreta)"",
IF(REGEXMATCH(S115, ""Wikipedia|Wikipédia|WIKIPÉDIA""), ""Wikipedia"",
IF(REGEXMATCH(S115, ""VEJA|Veja""), ""Veja Abril"",
IF(REGEXMATCH(S387, ""Rede Globo|RE"&amp;"DE GLOBO""), ""Rede Globo"",
IF(REGEXMATCH(S387, ""G1|globo\.com""), ""G1"",
IF(REGEXMATCH(S115, ""Deutsche Welle|DW\.com""), ""Deutsche Welle"",
IF(REGEXMATCH(S115, ""CIDH|Comissão Interamericana""), ""Comissão Interamericana de Direitos Humanos (CIDH)"""&amp;",
IF(REGEXMATCH(S115, ""Pastoral Carcerária""), ""Pastoral Carcerária"",
IF(REGEXMATCH(S115, ""Esquerda Web""), ""Esquerda Web"",
IF(REGEXMATCH(S115, ""ONU|Organização das Nações Unidas""), ""ONU Brasil"",
IF(REGEXMATCH(S115, ""Quilombo Invisível""), ""Qu"&amp;"ilombo Invisível"",
IF(REGEXMATCH(S115, ""ALESP|Assembleia Legislativa""), ""ALESP"",
IF(REGEXMATCH(S115, ""Revista Opera""), ""Revista Opera"",
IF(REGEXMATCH(S115, ""SP Escola de Teatro""), ""SP Escola de Teatro"",
IF(REGEXMATCH(S115, ""EMC|Espaço Memóri"&amp;"a Carandiru""), ""EMC Espaço Memória Carandiru"",
IF(REGEXMATCH(S115, ""^RAMOS, Nuno|Nuno Ramos""), ""Nuno Ramos"",
IF(REGEXMATCH(S115, ""^VELOSO, Caetano|Caetano Veloso""), ""YouTube (Caetano Veloso)"",
IF(REGEXMATCH(S115, ""^FATOS REAIS""), ""YouTube ("&amp;"Fatos Reais - Topic)"",
IF(REGEXMATCH(S115, ""^SALA SECRETA""), ""Wordpress (Sala Secreta)"",
PROPER(REGEXEXTRACT(S115, ""^([^.]*)\.""))
))))))))))))))))))))))))))))))))))))))))))))))))))))))))"),"Instagram (Memórias Carandiru)")</f>
        <v>Instagram (Memórias Carandiru)</v>
      </c>
      <c r="N115" s="11" t="s">
        <v>47</v>
      </c>
      <c r="O115" s="14" t="s">
        <v>149</v>
      </c>
      <c r="P115" s="186">
        <v>45857.0</v>
      </c>
      <c r="Q115" s="11" t="s">
        <v>154</v>
      </c>
      <c r="R115" s="70" t="str">
        <f t="shared" si="8"/>
        <v>Aqui</v>
      </c>
      <c r="S115" s="75" t="s">
        <v>743</v>
      </c>
    </row>
    <row r="116">
      <c r="A116" s="11">
        <v>114.0</v>
      </c>
      <c r="B116" s="14" t="s">
        <v>485</v>
      </c>
      <c r="C116" s="12" t="str">
        <f>IFERROR(__xludf.DUMMYFUNCTION("IF(B116="""","""",IF(OR(
  REGEXMATCH(B116,""Performance|Instalação|Álbum|Música|Poema|Livro|Filme|Documentário|Recitação|Espetáculo|Peça|Intervenção|Desfile|Fotografia|Exposição|Charge|Grafite|Leitura pública|Fabricação de cachaça artesanal""),
  REGEXMA"&amp;"TCH(B116,""dança|teatral|artístico|musical|artística"")
),""Manifestação artístico-cultural"",
IF(OR(
  REGEXMATCH(B116,""Crônica|Série|Reportagem|Podcast|Audiotour|Entrevista|Vídeo|Rádio""),
  REGEXMATCH(B116,""midiática"")
),""Produção midiática"","""")"&amp;"))
"),"Manifestação artístico-cultural")</f>
        <v>Manifestação artístico-cultural</v>
      </c>
      <c r="D116" s="13" t="str">
        <f>IFERROR(__xludf.DUMMYFUNCTION("IF(B116="""","""",IF(OR(
  REGEXMATCH(B116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REGEXMATCH(B116,""público|Imediato|artística|teatral|memória"")
),""Público Imediato"",
IF(REGEXMATCH(B116,""Música|Álbum|Filme|Documentário|Série|Podc"&amp;"ast|Rádio|Audiotour|Entrevista|Reportagem|Crônica|Relatório|Abaixo-assinado|Manifesto|Petição|Poema|Livro|Fotografia|Curta|Live|Webinário|Charge|Leitura pública|Vídeo""),
""Público Mediado"","""")))
"),"Público Imediato")</f>
        <v>Público Imediato</v>
      </c>
      <c r="E116" s="13" t="str">
        <f>IFERROR(__xludf.DUMMYFUNCTION("IF(B116="""","""",IF(OR(
  REGEXMATCH(B116,""Live|Webinário|Virtual""),
  REGEXMATCH(B116,""online"")
),""Virtual"",
IF(REGEXMATCH(B116,""Música|Álbum|Filme|Documentário|Série|Podcast|Rádio|Audiotour|Episódio|Reportagem|Curta|Charge|Livro|Vídeo|Entrevista"&amp;"""),
""Midiático"",
IF(REGEXMATCH(B116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6" s="186">
        <v>44007.0</v>
      </c>
      <c r="G116" s="15">
        <f t="shared" si="1"/>
        <v>2020</v>
      </c>
      <c r="H116" s="14" t="s">
        <v>733</v>
      </c>
      <c r="I116" s="177" t="s">
        <v>744</v>
      </c>
      <c r="J116" s="202" t="s">
        <v>745</v>
      </c>
      <c r="K116" s="16" t="s">
        <v>736</v>
      </c>
      <c r="L116" s="18" t="s">
        <v>489</v>
      </c>
      <c r="M116" s="15" t="str">
        <f>IFERROR(__xludf.DUMMYFUNCTION("IF(REGEXMATCH(S116, ""Companhia das Letras""), ""Companhia das Letras"",
IF(REGEXMATCH(S116, ""Labortexto Editorial""), ""Labortexto Editorial"",
IF(REGEXMATCH(S116, ""Geração Editorial""), ""Geração Editorial"",
IF(REGEXMATCH(S116, ""Editora Imprensa Ofi"&amp;"cial|Imprensa Oficial""), ""Editora Imprensa Oficial"",
IF(REGEXMATCH(S116, ""Folha Online""), ""Folha Online"",
IF(REGEXMATCH(S116, ""FGV DIREITO SP|FGV Direito SP""), ""FGV DIREITO SP"",
IF(REGEXMATCH(S116, ""massacrecarandiru\.org\.br""), ""Memória Mas"&amp;"sacre Carandiru"",
IF(REGEXMATCH(S116, ""Itaú Cultural""), ""YouTube (Itaú Cultural)"",
IF(REGEXMATCH(S116, ""Passa Palavra""), ""Vimeo (Passa Palavra)"",
IF(REGEXMATCH(S116, ""rede2deoutubro\.blogspot""), ""Blogspot (Rede 02 de Outubro)"",
IF(REGEXMATCH("&amp;"S116, ""Rede TVT""), ""YouTube (Rede TVT)"",
IF(REGEXMATCH(S116, ""Esquerda Diário""), ""Esquerda Diário"",
IF(REGEXMATCH(S116, ""GZH""), ""GZH"",
IF(REGEXMATCH(S116, ""TVPUC""), ""TVPUC"",
IF(REGEXMATCH(S116, ""Mídia Ninja.*Facebook""), ""Facebook (Mídia"&amp;" Ninja)"",
IF(REGEXMATCH(S116, ""Memórias Carandiru.*Instagram""), ""Instagram (Memórias Carandiru)"",
IF(REGEXMATCH(S116, ""Frente pelo Desencarceramento SP""), ""YouTube (Frente Pelo Desencarceramento SP)"",
IF(REGEXMATCH(S116, ""TV ABA""), ""YouTube (T"&amp;"V ABA)"",
IF(REGEXMATCH(S116, ""TV SENADO""), ""YouTube (TV Senado)"",
IF(REGEXMATCH(S116, ""Google Arts &amp; Culture""), ""Google Arts &amp; Culture (Memória Massacre Carandiru)"",
IF(REGEXMATCH(S116, ""Anistia Internacional|ANISTIA INTERNACIONAL""), ""Anistia "&amp;"Internacional"",
IF(REGEXMATCH(S116, ""47\.mostra|47a Mostra""), ""47a Mostra Internacional de Cinema em São Paulo"",
IF(REGEXMATCH(S116, ""Canal USP""), ""YouTube (Canal USP)"",
IF(AND(
  REGEXMATCH(S116, ""(?i)(teses?\.usp\.br|dissertacoes?\.usp\.br|rep"&amp;"ositorio\.usp\.br)""),
  NOT(REGEXMATCH(S116, ""Canal USP""))
), ""Biblioteca Digital de Teses e Dissertações da USP"",
IF(REGEXMATCH(S116, ""SINTRAJUSC""), ""SINTRAJUSC"",
IF(REGEXMATCH(S116, ""Agência Brasil|Agencia Brasil""), ""Agência Brasil"",
IF(REG"&amp;"EXMATCH(S116, ""Brasil de Fato""), ""Brasil de Fato"",
IF(REGEXMATCH(S116, ""Ponte Jornalismo|pontejornalismo""), ""Ponte Jornalismo"",
IF(REGEXMATCH(S116, ""letras\.mus\.br|Letras,""), ""Letras"",
IF(REGEXMATCH(S116, ""YouTube|youtube""), 
   ""YouTube "&amp;"(""&amp;
   IF(REGEXMATCH(S116, ""Itaú Cultural""), ""Itaú Cultural"",
   IF(REGEXMATCH(S116, ""Rede TVT""), ""Rede TVT"",
   IF(REGEXMATCH(S116, ""Frente pelo Desencarceramento SP""), ""Frente Pelo Desencarceramento SP"",
   IF(REGEXMATCH(S116, ""TV ABA""), "&amp;"""TV ABA"",
   IF(REGEXMATCH(S116, ""TV SENADO""), ""TV Senado"",
   IF(REGEXMATCH(S116, ""Canal USP""), ""Canal USP"",
   IF(REGEXMATCH(S116, ""Douer, Zack|Zack Douer""), ""Douer Zack"",
   IF(REGEXMATCH(S116, ""PRISIONEIRO 84\.901|PRISIONEIRO 84""), ""P"&amp;"risioneiro 84.901"",
   IF(REGEXMATCH(S116, ""^[^,]*, ""), 
        PROPER(REGEXREPLACE(REGEXEXTRACT(S116, ""^([^.]*)\.""), ""^([^,]*), (.*)"", ""$2 $1"")),
        PROPER(REGEXEXTRACT(S116, ""^([^.]*)\.""))
   )))))))))&amp;"")"",
IF(REGEXMATCH(S116, ""Spot"&amp;"ify|spotify""), 
   ""Spotify (""&amp;
   IF(REGEXMATCH(S116, ""ESTRANHO SORRISO""), ""Estranho Sorriso"",
   PROPER(REGEXEXTRACT(S116, ""^([^.]*)\.""))
   )&amp;"")"",
IF(REGEXMATCH(S116, ""Vimeo|vimeo""), 
   ""Vimeo (""&amp;
   IF(REGEXMATCH(S116, ""Passa Palavra"&amp;"""), ""Passa Palavra"",
   PROPER(REGEXEXTRACT(S116, ""^([^.]*)\.""))
   )&amp;"")"",
IF(REGEXMATCH(S116, ""Blogspot""), 
   ""Blogspot (""&amp;
   IF(REGEXMATCH(S116, ""rede2deoutubro""), ""Rede 02 de Outubro"",
   PROPER(REGEXEXTRACT(S116, ""^([^.]*)\.""))
   "&amp;")&amp;"")"",
IF(REGEXMATCH(S116, ""Facebook""), 
   ""Facebook (""&amp;
   IF(REGEXMATCH(S116, ""Mídia Ninja""), ""Mídia Ninja"",
   PROPER(REGEXEXTRACT(S116, ""^([^.]*)\.""))
   )&amp;"")"",
IF(REGEXMATCH(S116, ""Instagram""), 
   ""Instagram (""&amp;
   IF(REGEXMATCH"&amp;"(S116, ""Memórias Carandiru""), ""Memórias Carandiru"",
   PROPER(REGEXEXTRACT(S116, ""^([^.]*)\.""))
   )&amp;"")"",
IF(REGEXMATCH(S116, ""Folha de S\. Paulo|FOLHA DE S\. PAULO""), ""Folha de S. Paulo"",
IF(REGEXMATCH(S116, ""O Estado de S\. Paulo|ESTADAO"""&amp;"), ""O Estado de S. Paulo"",
IF(REGEXMATCH(S116, ""salasecreta""), ""Wordpress (Sala Secreta)"",
IF(REGEXMATCH(S116, ""Wikipedia|Wikipédia|WIKIPÉDIA""), ""Wikipedia"",
IF(REGEXMATCH(S116, ""VEJA|Veja""), ""Veja Abril"",
IF(REGEXMATCH(S388, ""Rede Globo|RE"&amp;"DE GLOBO""), ""Rede Globo"",
IF(REGEXMATCH(S388, ""G1|globo\.com""), ""G1"",
IF(REGEXMATCH(S116, ""Deutsche Welle|DW\.com""), ""Deutsche Welle"",
IF(REGEXMATCH(S116, ""CIDH|Comissão Interamericana""), ""Comissão Interamericana de Direitos Humanos (CIDH)"""&amp;",
IF(REGEXMATCH(S116, ""Pastoral Carcerária""), ""Pastoral Carcerária"",
IF(REGEXMATCH(S116, ""Esquerda Web""), ""Esquerda Web"",
IF(REGEXMATCH(S116, ""ONU|Organização das Nações Unidas""), ""ONU Brasil"",
IF(REGEXMATCH(S116, ""Quilombo Invisível""), ""Qu"&amp;"ilombo Invisível"",
IF(REGEXMATCH(S116, ""ALESP|Assembleia Legislativa""), ""ALESP"",
IF(REGEXMATCH(S116, ""Revista Opera""), ""Revista Opera"",
IF(REGEXMATCH(S116, ""SP Escola de Teatro""), ""SP Escola de Teatro"",
IF(REGEXMATCH(S116, ""EMC|Espaço Memóri"&amp;"a Carandiru""), ""EMC Espaço Memória Carandiru"",
IF(REGEXMATCH(S116, ""^RAMOS, Nuno|Nuno Ramos""), ""Nuno Ramos"",
IF(REGEXMATCH(S116, ""^VELOSO, Caetano|Caetano Veloso""), ""YouTube (Caetano Veloso)"",
IF(REGEXMATCH(S116, ""^FATOS REAIS""), ""YouTube ("&amp;"Fatos Reais - Topic)"",
IF(REGEXMATCH(S116, ""^SALA SECRETA""), ""Wordpress (Sala Secreta)"",
PROPER(REGEXEXTRACT(S116, ""^([^.]*)\.""))
))))))))))))))))))))))))))))))))))))))))))))))))))))))))"),"Instagram (Memórias Carandiru)")</f>
        <v>Instagram (Memórias Carandiru)</v>
      </c>
      <c r="N116" s="11" t="s">
        <v>47</v>
      </c>
      <c r="O116" s="14" t="s">
        <v>149</v>
      </c>
      <c r="P116" s="186">
        <v>45857.0</v>
      </c>
      <c r="Q116" s="11" t="s">
        <v>154</v>
      </c>
      <c r="R116" s="70" t="str">
        <f t="shared" si="8"/>
        <v>Aqui</v>
      </c>
      <c r="S116" s="75" t="s">
        <v>746</v>
      </c>
    </row>
    <row r="117">
      <c r="A117" s="11">
        <v>115.0</v>
      </c>
      <c r="B117" s="11" t="s">
        <v>496</v>
      </c>
      <c r="C117" s="122" t="s">
        <v>165</v>
      </c>
      <c r="D117" s="13" t="str">
        <f>IFERROR(__xludf.DUMMYFUNCTION("IF(B117="""","""",IF(OR(
  REGEXMATCH(B117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REGEXMATCH(B117,""público|Imediato|artística|teatral|memória"")
),""Público Imediato"",
IF(REGEXMATCH(B117,""Música|Álbum|Filme|Documentário|Série|Podc"&amp;"ast|Rádio|Audiotour|Entrevista|Reportagem|Crônica|Relatório|Abaixo-assinado|Manifesto|Petição|Poema|Livro|Fotografia|Curta|Live|Webinário|Charge|Leitura pública|Vídeo""),
""Público Mediado"","""")))
"),"Público Imediato")</f>
        <v>Público Imediato</v>
      </c>
      <c r="E117" s="13" t="str">
        <f>IFERROR(__xludf.DUMMYFUNCTION("IF(B117="""","""",IF(OR(
  REGEXMATCH(B117,""Live|Webinário|Virtual""),
  REGEXMATCH(B117,""online"")
),""Virtual"",
IF(REGEXMATCH(B117,""Música|Álbum|Filme|Documentário|Série|Podcast|Rádio|Audiotour|Episódio|Reportagem|Curta|Charge|Livro|Vídeo|Entrevista"&amp;"""),
""Midiático"",
IF(REGEXMATCH(B117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7" s="183">
        <v>44106.0</v>
      </c>
      <c r="G117" s="15">
        <f t="shared" si="1"/>
        <v>2020</v>
      </c>
      <c r="H117" s="11" t="s">
        <v>747</v>
      </c>
      <c r="I117" s="203" t="s">
        <v>498</v>
      </c>
      <c r="J117" s="17" t="s">
        <v>605</v>
      </c>
      <c r="K117" s="16" t="s">
        <v>26</v>
      </c>
      <c r="L117" s="18" t="s">
        <v>606</v>
      </c>
      <c r="M117" s="15" t="str">
        <f>IFERROR(__xludf.DUMMYFUNCTION("IF(REGEXMATCH(S117, ""Companhia das Letras""), ""Companhia das Letras"",
IF(REGEXMATCH(S117, ""Labortexto Editorial""), ""Labortexto Editorial"",
IF(REGEXMATCH(S117, ""Geração Editorial""), ""Geração Editorial"",
IF(REGEXMATCH(S117, ""Editora Imprensa Ofi"&amp;"cial|Imprensa Oficial""), ""Editora Imprensa Oficial"",
IF(REGEXMATCH(S117, ""Folha Online""), ""Folha Online"",
IF(REGEXMATCH(S117, ""FGV DIREITO SP|FGV Direito SP""), ""FGV DIREITO SP"",
IF(REGEXMATCH(S117, ""massacrecarandiru\.org\.br""), ""Memória Mas"&amp;"sacre Carandiru"",
IF(REGEXMATCH(S117, ""Itaú Cultural""), ""YouTube (Itaú Cultural)"",
IF(REGEXMATCH(S117, ""Passa Palavra""), ""Vimeo (Passa Palavra)"",
IF(REGEXMATCH(S117, ""rede2deoutubro\.blogspot""), ""Blogspot (Rede 02 de Outubro)"",
IF(REGEXMATCH("&amp;"S117, ""Rede TVT""), ""YouTube (Rede TVT)"",
IF(REGEXMATCH(S117, ""Esquerda Diário""), ""Esquerda Diário"",
IF(REGEXMATCH(S117, ""GZH""), ""GZH"",
IF(REGEXMATCH(S117, ""TVPUC""), ""TVPUC"",
IF(REGEXMATCH(S117, ""Mídia Ninja.*Facebook""), ""Facebook (Mídia"&amp;" Ninja)"",
IF(REGEXMATCH(S117, ""Memórias Carandiru.*Instagram""), ""Instagram (Memórias Carandiru)"",
IF(REGEXMATCH(S117, ""Frente pelo Desencarceramento SP""), ""YouTube (Frente Pelo Desencarceramento SP)"",
IF(REGEXMATCH(S117, ""TV ABA""), ""YouTube (T"&amp;"V ABA)"",
IF(REGEXMATCH(S117, ""TV SENADO""), ""YouTube (TV Senado)"",
IF(REGEXMATCH(S117, ""Google Arts &amp; Culture""), ""Google Arts &amp; Culture (Memória Massacre Carandiru)"",
IF(REGEXMATCH(S117, ""Anistia Internacional|ANISTIA INTERNACIONAL""), ""Anistia "&amp;"Internacional"",
IF(REGEXMATCH(S117, ""47\.mostra|47a Mostra""), ""47a Mostra Internacional de Cinema em São Paulo"",
IF(REGEXMATCH(S117, ""Canal USP""), ""YouTube (Canal USP)"",
IF(AND(
  REGEXMATCH(S117, ""(?i)(teses?\.usp\.br|dissertacoes?\.usp\.br|rep"&amp;"ositorio\.usp\.br)""),
  NOT(REGEXMATCH(S117, ""Canal USP""))
), ""Biblioteca Digital de Teses e Dissertações da USP"",
IF(REGEXMATCH(S117, ""SINTRAJUSC""), ""SINTRAJUSC"",
IF(REGEXMATCH(S117, ""Agência Brasil|Agencia Brasil""), ""Agência Brasil"",
IF(REG"&amp;"EXMATCH(S117, ""Brasil de Fato""), ""Brasil de Fato"",
IF(REGEXMATCH(S117, ""Ponte Jornalismo|pontejornalismo""), ""Ponte Jornalismo"",
IF(REGEXMATCH(S117, ""letras\.mus\.br|Letras,""), ""Letras"",
IF(REGEXMATCH(S117, ""YouTube|youtube""), 
   ""YouTube "&amp;"(""&amp;
   IF(REGEXMATCH(S117, ""Itaú Cultural""), ""Itaú Cultural"",
   IF(REGEXMATCH(S117, ""Rede TVT""), ""Rede TVT"",
   IF(REGEXMATCH(S117, ""Frente pelo Desencarceramento SP""), ""Frente Pelo Desencarceramento SP"",
   IF(REGEXMATCH(S117, ""TV ABA""), "&amp;"""TV ABA"",
   IF(REGEXMATCH(S117, ""TV SENADO""), ""TV Senado"",
   IF(REGEXMATCH(S117, ""Canal USP""), ""Canal USP"",
   IF(REGEXMATCH(S117, ""Douer, Zack|Zack Douer""), ""Douer Zack"",
   IF(REGEXMATCH(S117, ""PRISIONEIRO 84\.901|PRISIONEIRO 84""), ""P"&amp;"risioneiro 84.901"",
   IF(REGEXMATCH(S117, ""^[^,]*, ""), 
        PROPER(REGEXREPLACE(REGEXEXTRACT(S117, ""^([^.]*)\.""), ""^([^,]*), (.*)"", ""$2 $1"")),
        PROPER(REGEXEXTRACT(S117, ""^([^.]*)\.""))
   )))))))))&amp;"")"",
IF(REGEXMATCH(S117, ""Spot"&amp;"ify|spotify""), 
   ""Spotify (""&amp;
   IF(REGEXMATCH(S117, ""ESTRANHO SORRISO""), ""Estranho Sorriso"",
   PROPER(REGEXEXTRACT(S117, ""^([^.]*)\.""))
   )&amp;"")"",
IF(REGEXMATCH(S117, ""Vimeo|vimeo""), 
   ""Vimeo (""&amp;
   IF(REGEXMATCH(S117, ""Passa Palavra"&amp;"""), ""Passa Palavra"",
   PROPER(REGEXEXTRACT(S117, ""^([^.]*)\.""))
   )&amp;"")"",
IF(REGEXMATCH(S117, ""Blogspot""), 
   ""Blogspot (""&amp;
   IF(REGEXMATCH(S117, ""rede2deoutubro""), ""Rede 02 de Outubro"",
   PROPER(REGEXEXTRACT(S117, ""^([^.]*)\.""))
   "&amp;")&amp;"")"",
IF(REGEXMATCH(S117, ""Facebook""), 
   ""Facebook (""&amp;
   IF(REGEXMATCH(S117, ""Mídia Ninja""), ""Mídia Ninja"",
   PROPER(REGEXEXTRACT(S117, ""^([^.]*)\.""))
   )&amp;"")"",
IF(REGEXMATCH(S117, ""Instagram""), 
   ""Instagram (""&amp;
   IF(REGEXMATCH"&amp;"(S117, ""Memórias Carandiru""), ""Memórias Carandiru"",
   PROPER(REGEXEXTRACT(S117, ""^([^.]*)\.""))
   )&amp;"")"",
IF(REGEXMATCH(S117, ""Folha de S\. Paulo|FOLHA DE S\. PAULO""), ""Folha de S. Paulo"",
IF(REGEXMATCH(S117, ""O Estado de S\. Paulo|ESTADAO"""&amp;"), ""O Estado de S. Paulo"",
IF(REGEXMATCH(S117, ""salasecreta""), ""Wordpress (Sala Secreta)"",
IF(REGEXMATCH(S117, ""Wikipedia|Wikipédia|WIKIPÉDIA""), ""Wikipedia"",
IF(REGEXMATCH(S117, ""VEJA|Veja""), ""Veja Abril"",
IF(REGEXMATCH(S389, ""Rede Globo|RE"&amp;"DE GLOBO""), ""Rede Globo"",
IF(REGEXMATCH(S389, ""G1|globo\.com""), ""G1"",
IF(REGEXMATCH(S117, ""Deutsche Welle|DW\.com""), ""Deutsche Welle"",
IF(REGEXMATCH(S117, ""CIDH|Comissão Interamericana""), ""Comissão Interamericana de Direitos Humanos (CIDH)"""&amp;",
IF(REGEXMATCH(S117, ""Pastoral Carcerária""), ""Pastoral Carcerária"",
IF(REGEXMATCH(S117, ""Esquerda Web""), ""Esquerda Web"",
IF(REGEXMATCH(S117, ""ONU|Organização das Nações Unidas""), ""ONU Brasil"",
IF(REGEXMATCH(S117, ""Quilombo Invisível""), ""Qu"&amp;"ilombo Invisível"",
IF(REGEXMATCH(S117, ""ALESP|Assembleia Legislativa""), ""ALESP"",
IF(REGEXMATCH(S117, ""Revista Opera""), ""Revista Opera"",
IF(REGEXMATCH(S117, ""SP Escola de Teatro""), ""SP Escola de Teatro"",
IF(REGEXMATCH(S117, ""EMC|Espaço Memóri"&amp;"a Carandiru""), ""EMC Espaço Memória Carandiru"",
IF(REGEXMATCH(S117, ""^RAMOS, Nuno|Nuno Ramos""), ""Nuno Ramos"",
IF(REGEXMATCH(S117, ""^VELOSO, Caetano|Caetano Veloso""), ""YouTube (Caetano Veloso)"",
IF(REGEXMATCH(S117, ""^FATOS REAIS""), ""YouTube ("&amp;"Fatos Reais - Topic)"",
IF(REGEXMATCH(S117, ""^SALA SECRETA""), ""Wordpress (Sala Secreta)"",
PROPER(REGEXEXTRACT(S117, ""^([^.]*)\.""))
))))))))))))))))))))))))))))))))))))))))))))))))))))))))"),"Quilombo Invisível")</f>
        <v>Quilombo Invisível</v>
      </c>
      <c r="N117" s="11" t="s">
        <v>47</v>
      </c>
      <c r="O117" s="11" t="s">
        <v>221</v>
      </c>
      <c r="P117" s="51">
        <v>45855.0</v>
      </c>
      <c r="Q117" s="11" t="s">
        <v>154</v>
      </c>
      <c r="R117" s="70" t="str">
        <f t="shared" si="8"/>
        <v>Aqui</v>
      </c>
      <c r="S117" s="75" t="s">
        <v>607</v>
      </c>
    </row>
    <row r="118">
      <c r="A118" s="11">
        <v>116.0</v>
      </c>
      <c r="B118" s="11" t="s">
        <v>748</v>
      </c>
      <c r="C118" s="122" t="s">
        <v>165</v>
      </c>
      <c r="D118" s="13" t="str">
        <f>IFERROR(__xludf.DUMMYFUNCTION("IF(B118="""","""",IF(OR(
  REGEXMATCH(B118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REGEXMATCH(B118,""público|Imediato|artística|teatral|memória"")
),""Público Imediato"",
IF(REGEXMATCH(B118,""Música|Álbum|Filme|Documentário|Série|Podc"&amp;"ast|Rádio|Audiotour|Entrevista|Reportagem|Crônica|Relatório|Abaixo-assinado|Manifesto|Petição|Poema|Livro|Fotografia|Curta|Live|Webinário|Charge|Leitura pública|Vídeo""),
""Público Mediado"","""")))
"),"Público Mediado")</f>
        <v>Público Mediado</v>
      </c>
      <c r="E118" s="13" t="str">
        <f>IFERROR(__xludf.DUMMYFUNCTION("IF(B118="""","""",IF(OR(
  REGEXMATCH(B118,""Live|Webinário|Virtual""),
  REGEXMATCH(B118,""online"")
),""Virtual"",
IF(REGEXMATCH(B118,""Música|Álbum|Filme|Documentário|Série|Podcast|Rádio|Audiotour|Episódio|Reportagem|Curta|Charge|Livro|Vídeo|Entrevista"&amp;"""),
""Midiático"",
IF(REGEXMATCH(B118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18" s="183">
        <v>44107.0</v>
      </c>
      <c r="G118" s="15">
        <f t="shared" si="1"/>
        <v>2020</v>
      </c>
      <c r="H118" s="181" t="s">
        <v>347</v>
      </c>
      <c r="I118" s="18" t="s">
        <v>749</v>
      </c>
      <c r="J118" s="17" t="s">
        <v>750</v>
      </c>
      <c r="K118" s="16" t="s">
        <v>83</v>
      </c>
      <c r="L118" s="18" t="s">
        <v>329</v>
      </c>
      <c r="M118" s="15" t="str">
        <f>IFERROR(__xludf.DUMMYFUNCTION("IF(REGEXMATCH(S118, ""Companhia das Letras""), ""Companhia das Letras"",
IF(REGEXMATCH(S118, ""Labortexto Editorial""), ""Labortexto Editorial"",
IF(REGEXMATCH(S118, ""Geração Editorial""), ""Geração Editorial"",
IF(REGEXMATCH(S118, ""Editora Imprensa Ofi"&amp;"cial|Imprensa Oficial""), ""Editora Imprensa Oficial"",
IF(REGEXMATCH(S118, ""Folha Online""), ""Folha Online"",
IF(REGEXMATCH(S118, ""FGV DIREITO SP|FGV Direito SP""), ""FGV DIREITO SP"",
IF(REGEXMATCH(S118, ""massacrecarandiru\.org\.br""), ""Memória Mas"&amp;"sacre Carandiru"",
IF(REGEXMATCH(S118, ""Itaú Cultural""), ""YouTube (Itaú Cultural)"",
IF(REGEXMATCH(S118, ""Passa Palavra""), ""Vimeo (Passa Palavra)"",
IF(REGEXMATCH(S118, ""rede2deoutubro\.blogspot""), ""Blogspot (Rede 02 de Outubro)"",
IF(REGEXMATCH("&amp;"S118, ""Rede TVT""), ""YouTube (Rede TVT)"",
IF(REGEXMATCH(S118, ""Esquerda Diário""), ""Esquerda Diário"",
IF(REGEXMATCH(S118, ""GZH""), ""GZH"",
IF(REGEXMATCH(S118, ""TVPUC""), ""TVPUC"",
IF(REGEXMATCH(S118, ""Mídia Ninja.*Facebook""), ""Facebook (Mídia"&amp;" Ninja)"",
IF(REGEXMATCH(S118, ""Memórias Carandiru.*Instagram""), ""Instagram (Memórias Carandiru)"",
IF(REGEXMATCH(S118, ""Frente pelo Desencarceramento SP""), ""YouTube (Frente Pelo Desencarceramento SP)"",
IF(REGEXMATCH(S118, ""TV ABA""), ""YouTube (T"&amp;"V ABA)"",
IF(REGEXMATCH(S118, ""TV SENADO""), ""YouTube (TV Senado)"",
IF(REGEXMATCH(S118, ""Google Arts &amp; Culture""), ""Google Arts &amp; Culture (Memória Massacre Carandiru)"",
IF(REGEXMATCH(S118, ""Anistia Internacional|ANISTIA INTERNACIONAL""), ""Anistia "&amp;"Internacional"",
IF(REGEXMATCH(S118, ""47\.mostra|47a Mostra""), ""47a Mostra Internacional de Cinema em São Paulo"",
IF(REGEXMATCH(S118, ""Canal USP""), ""YouTube (Canal USP)"",
IF(AND(
  REGEXMATCH(S118, ""(?i)(teses?\.usp\.br|dissertacoes?\.usp\.br|rep"&amp;"ositorio\.usp\.br)""),
  NOT(REGEXMATCH(S118, ""Canal USP""))
), ""Biblioteca Digital de Teses e Dissertações da USP"",
IF(REGEXMATCH(S118, ""SINTRAJUSC""), ""SINTRAJUSC"",
IF(REGEXMATCH(S118, ""Agência Brasil|Agencia Brasil""), ""Agência Brasil"",
IF(REG"&amp;"EXMATCH(S118, ""Brasil de Fato""), ""Brasil de Fato"",
IF(REGEXMATCH(S118, ""Ponte Jornalismo|pontejornalismo""), ""Ponte Jornalismo"",
IF(REGEXMATCH(S118, ""letras\.mus\.br|Letras,""), ""Letras"",
IF(REGEXMATCH(S118, ""YouTube|youtube""), 
   ""YouTube "&amp;"(""&amp;
   IF(REGEXMATCH(S118, ""Itaú Cultural""), ""Itaú Cultural"",
   IF(REGEXMATCH(S118, ""Rede TVT""), ""Rede TVT"",
   IF(REGEXMATCH(S118, ""Frente pelo Desencarceramento SP""), ""Frente Pelo Desencarceramento SP"",
   IF(REGEXMATCH(S118, ""TV ABA""), "&amp;"""TV ABA"",
   IF(REGEXMATCH(S118, ""TV SENADO""), ""TV Senado"",
   IF(REGEXMATCH(S118, ""Canal USP""), ""Canal USP"",
   IF(REGEXMATCH(S118, ""Douer, Zack|Zack Douer""), ""Douer Zack"",
   IF(REGEXMATCH(S118, ""PRISIONEIRO 84\.901|PRISIONEIRO 84""), ""P"&amp;"risioneiro 84.901"",
   IF(REGEXMATCH(S118, ""^[^,]*, ""), 
        PROPER(REGEXREPLACE(REGEXEXTRACT(S118, ""^([^.]*)\.""), ""^([^,]*), (.*)"", ""$2 $1"")),
        PROPER(REGEXEXTRACT(S118, ""^([^.]*)\.""))
   )))))))))&amp;"")"",
IF(REGEXMATCH(S118, ""Spot"&amp;"ify|spotify""), 
   ""Spotify (""&amp;
   IF(REGEXMATCH(S118, ""ESTRANHO SORRISO""), ""Estranho Sorriso"",
   PROPER(REGEXEXTRACT(S118, ""^([^.]*)\.""))
   )&amp;"")"",
IF(REGEXMATCH(S118, ""Vimeo|vimeo""), 
   ""Vimeo (""&amp;
   IF(REGEXMATCH(S118, ""Passa Palavra"&amp;"""), ""Passa Palavra"",
   PROPER(REGEXEXTRACT(S118, ""^([^.]*)\.""))
   )&amp;"")"",
IF(REGEXMATCH(S118, ""Blogspot""), 
   ""Blogspot (""&amp;
   IF(REGEXMATCH(S118, ""rede2deoutubro""), ""Rede 02 de Outubro"",
   PROPER(REGEXEXTRACT(S118, ""^([^.]*)\.""))
   "&amp;")&amp;"")"",
IF(REGEXMATCH(S118, ""Facebook""), 
   ""Facebook (""&amp;
   IF(REGEXMATCH(S118, ""Mídia Ninja""), ""Mídia Ninja"",
   PROPER(REGEXEXTRACT(S118, ""^([^.]*)\.""))
   )&amp;"")"",
IF(REGEXMATCH(S118, ""Instagram""), 
   ""Instagram (""&amp;
   IF(REGEXMATCH"&amp;"(S118, ""Memórias Carandiru""), ""Memórias Carandiru"",
   PROPER(REGEXEXTRACT(S118, ""^([^.]*)\.""))
   )&amp;"")"",
IF(REGEXMATCH(S118, ""Folha de S\. Paulo|FOLHA DE S\. PAULO""), ""Folha de S. Paulo"",
IF(REGEXMATCH(S118, ""O Estado de S\. Paulo|ESTADAO"""&amp;"), ""O Estado de S. Paulo"",
IF(REGEXMATCH(S118, ""salasecreta""), ""Wordpress (Sala Secreta)"",
IF(REGEXMATCH(S118, ""Wikipedia|Wikipédia|WIKIPÉDIA""), ""Wikipedia"",
IF(REGEXMATCH(S118, ""VEJA|Veja""), ""Veja Abril"",
IF(REGEXMATCH(S390, ""Rede Globo|RE"&amp;"DE GLOBO""), ""Rede Globo"",
IF(REGEXMATCH(S390, ""G1|globo\.com""), ""G1"",
IF(REGEXMATCH(S118, ""Deutsche Welle|DW\.com""), ""Deutsche Welle"",
IF(REGEXMATCH(S118, ""CIDH|Comissão Interamericana""), ""Comissão Interamericana de Direitos Humanos (CIDH)"""&amp;",
IF(REGEXMATCH(S118, ""Pastoral Carcerária""), ""Pastoral Carcerária"",
IF(REGEXMATCH(S118, ""Esquerda Web""), ""Esquerda Web"",
IF(REGEXMATCH(S118, ""ONU|Organização das Nações Unidas""), ""ONU Brasil"",
IF(REGEXMATCH(S118, ""Quilombo Invisível""), ""Qu"&amp;"ilombo Invisível"",
IF(REGEXMATCH(S118, ""ALESP|Assembleia Legislativa""), ""ALESP"",
IF(REGEXMATCH(S118, ""Revista Opera""), ""Revista Opera"",
IF(REGEXMATCH(S118, ""SP Escola de Teatro""), ""SP Escola de Teatro"",
IF(REGEXMATCH(S118, ""EMC|Espaço Memóri"&amp;"a Carandiru""), ""EMC Espaço Memória Carandiru"",
IF(REGEXMATCH(S118, ""^RAMOS, Nuno|Nuno Ramos""), ""Nuno Ramos"",
IF(REGEXMATCH(S118, ""^VELOSO, Caetano|Caetano Veloso""), ""YouTube (Caetano Veloso)"",
IF(REGEXMATCH(S118, ""^FATOS REAIS""), ""YouTube ("&amp;"Fatos Reais - Topic)"",
IF(REGEXMATCH(S118, ""^SALA SECRETA""), ""Wordpress (Sala Secreta)"",
PROPER(REGEXEXTRACT(S118, ""^([^.]*)\.""))
))))))))))))))))))))))))))))))))))))))))))))))))))))))))"),"YouTube (Frente Pelo Desencarceramento SP)")</f>
        <v>YouTube (Frente Pelo Desencarceramento SP)</v>
      </c>
      <c r="N118" s="11" t="s">
        <v>47</v>
      </c>
      <c r="O118" s="11" t="s">
        <v>221</v>
      </c>
      <c r="P118" s="51">
        <v>45854.0</v>
      </c>
      <c r="Q118" s="11" t="s">
        <v>154</v>
      </c>
      <c r="R118" s="70" t="str">
        <f t="shared" si="8"/>
        <v>Aqui</v>
      </c>
      <c r="S118" s="75" t="s">
        <v>751</v>
      </c>
    </row>
    <row r="119">
      <c r="A119" s="11">
        <v>117.0</v>
      </c>
      <c r="B119" s="11" t="s">
        <v>752</v>
      </c>
      <c r="C119" s="122" t="s">
        <v>165</v>
      </c>
      <c r="D119" s="13" t="str">
        <f>IFERROR(__xludf.DUMMYFUNCTION("IF(B119="""","""",IF(OR(
  REGEXMATCH(B119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REGEXMATCH(B119,""público|Imediato|artística|teatral|memória"")
),""Público Imediato"",
IF(REGEXMATCH(B119,""Música|Álbum|Filme|Documentário|Série|Podc"&amp;"ast|Rádio|Audiotour|Entrevista|Reportagem|Crônica|Relatório|Abaixo-assinado|Manifesto|Petição|Poema|Livro|Fotografia|Curta|Live|Webinário|Charge|Leitura pública|Vídeo""),
""Público Mediado"","""")))
"),"Público Mediado")</f>
        <v>Público Mediado</v>
      </c>
      <c r="E119" s="13" t="str">
        <f>IFERROR(__xludf.DUMMYFUNCTION("IF(B119="""","""",IF(OR(
  REGEXMATCH(B119,""Live|Webinário|Virtual""),
  REGEXMATCH(B119,""online"")
),""Virtual"",
IF(REGEXMATCH(B119,""Música|Álbum|Filme|Documentário|Série|Podcast|Rádio|Audiotour|Episódio|Reportagem|Curta|Charge|Livro|Vídeo|Entrevista"&amp;"""),
""Midiático"",
IF(REGEXMATCH(B119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19" s="186">
        <v>44474.0</v>
      </c>
      <c r="G119" s="15">
        <f t="shared" si="1"/>
        <v>2021</v>
      </c>
      <c r="H119" s="181" t="s">
        <v>347</v>
      </c>
      <c r="I119" s="18" t="s">
        <v>753</v>
      </c>
      <c r="J119" s="17" t="s">
        <v>754</v>
      </c>
      <c r="K119" s="16" t="s">
        <v>83</v>
      </c>
      <c r="L119" s="18" t="s">
        <v>329</v>
      </c>
      <c r="M119" s="15" t="str">
        <f>IFERROR(__xludf.DUMMYFUNCTION("IF(REGEXMATCH(S119, ""Companhia das Letras""), ""Companhia das Letras"",
IF(REGEXMATCH(S119, ""Labortexto Editorial""), ""Labortexto Editorial"",
IF(REGEXMATCH(S119, ""Geração Editorial""), ""Geração Editorial"",
IF(REGEXMATCH(S119, ""Editora Imprensa Ofi"&amp;"cial|Imprensa Oficial""), ""Editora Imprensa Oficial"",
IF(REGEXMATCH(S119, ""Folha Online""), ""Folha Online"",
IF(REGEXMATCH(S119, ""FGV DIREITO SP|FGV Direito SP""), ""FGV DIREITO SP"",
IF(REGEXMATCH(S119, ""massacrecarandiru\.org\.br""), ""Memória Mas"&amp;"sacre Carandiru"",
IF(REGEXMATCH(S119, ""Itaú Cultural""), ""YouTube (Itaú Cultural)"",
IF(REGEXMATCH(S119, ""Passa Palavra""), ""Vimeo (Passa Palavra)"",
IF(REGEXMATCH(S119, ""rede2deoutubro\.blogspot""), ""Blogspot (Rede 02 de Outubro)"",
IF(REGEXMATCH("&amp;"S119, ""Rede TVT""), ""YouTube (Rede TVT)"",
IF(REGEXMATCH(S119, ""Esquerda Diário""), ""Esquerda Diário"",
IF(REGEXMATCH(S119, ""GZH""), ""GZH"",
IF(REGEXMATCH(S119, ""TVPUC""), ""TVPUC"",
IF(REGEXMATCH(S119, ""Mídia Ninja.*Facebook""), ""Facebook (Mídia"&amp;" Ninja)"",
IF(REGEXMATCH(S119, ""Memórias Carandiru.*Instagram""), ""Instagram (Memórias Carandiru)"",
IF(REGEXMATCH(S119, ""Frente pelo Desencarceramento SP""), ""YouTube (Frente Pelo Desencarceramento SP)"",
IF(REGEXMATCH(S119, ""TV ABA""), ""YouTube (T"&amp;"V ABA)"",
IF(REGEXMATCH(S119, ""TV SENADO""), ""YouTube (TV Senado)"",
IF(REGEXMATCH(S119, ""Google Arts &amp; Culture""), ""Google Arts &amp; Culture (Memória Massacre Carandiru)"",
IF(REGEXMATCH(S119, ""Anistia Internacional|ANISTIA INTERNACIONAL""), ""Anistia "&amp;"Internacional"",
IF(REGEXMATCH(S119, ""47\.mostra|47a Mostra""), ""47a Mostra Internacional de Cinema em São Paulo"",
IF(REGEXMATCH(S119, ""Canal USP""), ""YouTube (Canal USP)"",
IF(AND(
  REGEXMATCH(S119, ""(?i)(teses?\.usp\.br|dissertacoes?\.usp\.br|rep"&amp;"ositorio\.usp\.br)""),
  NOT(REGEXMATCH(S119, ""Canal USP""))
), ""Biblioteca Digital de Teses e Dissertações da USP"",
IF(REGEXMATCH(S119, ""SINTRAJUSC""), ""SINTRAJUSC"",
IF(REGEXMATCH(S119, ""Agência Brasil|Agencia Brasil""), ""Agência Brasil"",
IF(REG"&amp;"EXMATCH(S119, ""Brasil de Fato""), ""Brasil de Fato"",
IF(REGEXMATCH(S119, ""Ponte Jornalismo|pontejornalismo""), ""Ponte Jornalismo"",
IF(REGEXMATCH(S119, ""letras\.mus\.br|Letras,""), ""Letras"",
IF(REGEXMATCH(S119, ""YouTube|youtube""), 
   ""YouTube "&amp;"(""&amp;
   IF(REGEXMATCH(S119, ""Itaú Cultural""), ""Itaú Cultural"",
   IF(REGEXMATCH(S119, ""Rede TVT""), ""Rede TVT"",
   IF(REGEXMATCH(S119, ""Frente pelo Desencarceramento SP""), ""Frente Pelo Desencarceramento SP"",
   IF(REGEXMATCH(S119, ""TV ABA""), "&amp;"""TV ABA"",
   IF(REGEXMATCH(S119, ""TV SENADO""), ""TV Senado"",
   IF(REGEXMATCH(S119, ""Canal USP""), ""Canal USP"",
   IF(REGEXMATCH(S119, ""Douer, Zack|Zack Douer""), ""Douer Zack"",
   IF(REGEXMATCH(S119, ""PRISIONEIRO 84\.901|PRISIONEIRO 84""), ""P"&amp;"risioneiro 84.901"",
   IF(REGEXMATCH(S119, ""^[^,]*, ""), 
        PROPER(REGEXREPLACE(REGEXEXTRACT(S119, ""^([^.]*)\.""), ""^([^,]*), (.*)"", ""$2 $1"")),
        PROPER(REGEXEXTRACT(S119, ""^([^.]*)\.""))
   )))))))))&amp;"")"",
IF(REGEXMATCH(S119, ""Spot"&amp;"ify|spotify""), 
   ""Spotify (""&amp;
   IF(REGEXMATCH(S119, ""ESTRANHO SORRISO""), ""Estranho Sorriso"",
   PROPER(REGEXEXTRACT(S119, ""^([^.]*)\.""))
   )&amp;"")"",
IF(REGEXMATCH(S119, ""Vimeo|vimeo""), 
   ""Vimeo (""&amp;
   IF(REGEXMATCH(S119, ""Passa Palavra"&amp;"""), ""Passa Palavra"",
   PROPER(REGEXEXTRACT(S119, ""^([^.]*)\.""))
   )&amp;"")"",
IF(REGEXMATCH(S119, ""Blogspot""), 
   ""Blogspot (""&amp;
   IF(REGEXMATCH(S119, ""rede2deoutubro""), ""Rede 02 de Outubro"",
   PROPER(REGEXEXTRACT(S119, ""^([^.]*)\.""))
   "&amp;")&amp;"")"",
IF(REGEXMATCH(S119, ""Facebook""), 
   ""Facebook (""&amp;
   IF(REGEXMATCH(S119, ""Mídia Ninja""), ""Mídia Ninja"",
   PROPER(REGEXEXTRACT(S119, ""^([^.]*)\.""))
   )&amp;"")"",
IF(REGEXMATCH(S119, ""Instagram""), 
   ""Instagram (""&amp;
   IF(REGEXMATCH"&amp;"(S119, ""Memórias Carandiru""), ""Memórias Carandiru"",
   PROPER(REGEXEXTRACT(S119, ""^([^.]*)\.""))
   )&amp;"")"",
IF(REGEXMATCH(S119, ""Folha de S\. Paulo|FOLHA DE S\. PAULO""), ""Folha de S. Paulo"",
IF(REGEXMATCH(S119, ""O Estado de S\. Paulo|ESTADAO"""&amp;"), ""O Estado de S. Paulo"",
IF(REGEXMATCH(S119, ""salasecreta""), ""Wordpress (Sala Secreta)"",
IF(REGEXMATCH(S119, ""Wikipedia|Wikipédia|WIKIPÉDIA""), ""Wikipedia"",
IF(REGEXMATCH(S119, ""VEJA|Veja""), ""Veja Abril"",
IF(REGEXMATCH(S391, ""Rede Globo|RE"&amp;"DE GLOBO""), ""Rede Globo"",
IF(REGEXMATCH(S391, ""G1|globo\.com""), ""G1"",
IF(REGEXMATCH(S119, ""Deutsche Welle|DW\.com""), ""Deutsche Welle"",
IF(REGEXMATCH(S119, ""CIDH|Comissão Interamericana""), ""Comissão Interamericana de Direitos Humanos (CIDH)"""&amp;",
IF(REGEXMATCH(S119, ""Pastoral Carcerária""), ""Pastoral Carcerária"",
IF(REGEXMATCH(S119, ""Esquerda Web""), ""Esquerda Web"",
IF(REGEXMATCH(S119, ""ONU|Organização das Nações Unidas""), ""ONU Brasil"",
IF(REGEXMATCH(S119, ""Quilombo Invisível""), ""Qu"&amp;"ilombo Invisível"",
IF(REGEXMATCH(S119, ""ALESP|Assembleia Legislativa""), ""ALESP"",
IF(REGEXMATCH(S119, ""Revista Opera""), ""Revista Opera"",
IF(REGEXMATCH(S119, ""SP Escola de Teatro""), ""SP Escola de Teatro"",
IF(REGEXMATCH(S119, ""EMC|Espaço Memóri"&amp;"a Carandiru""), ""EMC Espaço Memória Carandiru"",
IF(REGEXMATCH(S119, ""^RAMOS, Nuno|Nuno Ramos""), ""Nuno Ramos"",
IF(REGEXMATCH(S119, ""^VELOSO, Caetano|Caetano Veloso""), ""YouTube (Caetano Veloso)"",
IF(REGEXMATCH(S119, ""^FATOS REAIS""), ""YouTube ("&amp;"Fatos Reais - Topic)"",
IF(REGEXMATCH(S119, ""^SALA SECRETA""), ""Wordpress (Sala Secreta)"",
PROPER(REGEXEXTRACT(S119, ""^([^.]*)\.""))
))))))))))))))))))))))))))))))))))))))))))))))))))))))))"),"YouTube (TV ABA)")</f>
        <v>YouTube (TV ABA)</v>
      </c>
      <c r="N119" s="11" t="s">
        <v>47</v>
      </c>
      <c r="O119" s="11" t="s">
        <v>755</v>
      </c>
      <c r="P119" s="51">
        <v>45855.0</v>
      </c>
      <c r="Q119" s="11" t="s">
        <v>154</v>
      </c>
      <c r="R119" s="70" t="str">
        <f t="shared" si="8"/>
        <v>Aqui</v>
      </c>
      <c r="S119" s="75" t="s">
        <v>756</v>
      </c>
    </row>
    <row r="120">
      <c r="A120" s="11">
        <v>118.0</v>
      </c>
      <c r="B120" s="11" t="s">
        <v>703</v>
      </c>
      <c r="C120" s="12" t="str">
        <f>IFERROR(__xludf.DUMMYFUNCTION("IF(B120="""","""",IF(OR(
  REGEXMATCH(B120,""Performance|Instalação|Álbum|Música|Poema|Livro|Filme|Documentário|Recitação|Espetáculo|Peça|Intervenção|Desfile|Fotografia|Exposição|Charge|Grafite|Leitura pública|Fabricação de cachaça artesanal""),
  REGEXMA"&amp;"TCH(B120,""dança|teatral|artístico|musical|artística"")
),""Manifestação artístico-cultural"",
IF(OR(
  REGEXMATCH(B120,""Crônica|Série|Reportagem|Podcast|Audiotour|Entrevista|Vídeo|Rádio""),
  REGEXMATCH(B120,""midiática"")
),""Produção midiática"","""")"&amp;"))
"),"Produção midiática")</f>
        <v>Produção midiática</v>
      </c>
      <c r="D120" s="13" t="str">
        <f>IFERROR(__xludf.DUMMYFUNCTION("IF(B120="""","""",IF(OR(
  REGEXMATCH(B120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REGEXMATCH(B120,""público|Imediato|artística|teatral|memória"")
),""Público Imediato"",
IF(REGEXMATCH(B120,""Música|Álbum|Filme|Documentário|Série|Podc"&amp;"ast|Rádio|Audiotour|Entrevista|Reportagem|Crônica|Relatório|Abaixo-assinado|Manifesto|Petição|Poema|Livro|Fotografia|Curta|Live|Webinário|Charge|Leitura pública|Vídeo""),
""Público Mediado"","""")))
"),"Público Mediado")</f>
        <v>Público Mediado</v>
      </c>
      <c r="E120" s="13" t="str">
        <f>IFERROR(__xludf.DUMMYFUNCTION("IF(B120="""","""",IF(OR(
  REGEXMATCH(B120,""Live|Webinário|Virtual""),
  REGEXMATCH(B120,""online"")
),""Virtual"",
IF(REGEXMATCH(B120,""Música|Álbum|Filme|Documentário|Série|Podcast|Rádio|Audiotour|Episódio|Reportagem|Curta|Charge|Livro|Vídeo|Entrevista"&amp;"""),
""Midiático"",
IF(REGEXMATCH(B120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0" s="183">
        <v>44472.0</v>
      </c>
      <c r="G120" s="15">
        <f t="shared" si="1"/>
        <v>2021</v>
      </c>
      <c r="H120" s="14" t="s">
        <v>23</v>
      </c>
      <c r="I120" s="18" t="s">
        <v>757</v>
      </c>
      <c r="J120" s="169" t="str">
        <f>IFERROR(__xludf.DUMMYFUNCTION("REGEXEXTRACT(S120, ""\.\s(.*?)\s*YouTube"")"),"Dia 3 de outubro de 1992.")</f>
        <v>Dia 3 de outubro de 1992.</v>
      </c>
      <c r="K120" s="16" t="s">
        <v>83</v>
      </c>
      <c r="L120" s="18" t="s">
        <v>329</v>
      </c>
      <c r="M120" s="15" t="str">
        <f>IFERROR(__xludf.DUMMYFUNCTION("IF(REGEXMATCH(S120, ""Companhia das Letras""), ""Companhia das Letras"",
IF(REGEXMATCH(S120, ""Labortexto Editorial""), ""Labortexto Editorial"",
IF(REGEXMATCH(S120, ""Geração Editorial""), ""Geração Editorial"",
IF(REGEXMATCH(S120, ""Editora Imprensa Ofi"&amp;"cial|Imprensa Oficial""), ""Editora Imprensa Oficial"",
IF(REGEXMATCH(S120, ""Folha Online""), ""Folha Online"",
IF(REGEXMATCH(S120, ""FGV DIREITO SP|FGV Direito SP""), ""FGV DIREITO SP"",
IF(REGEXMATCH(S120, ""massacrecarandiru\.org\.br""), ""Memória Mas"&amp;"sacre Carandiru"",
IF(REGEXMATCH(S120, ""Itaú Cultural""), ""YouTube (Itaú Cultural)"",
IF(REGEXMATCH(S120, ""Passa Palavra""), ""Vimeo (Passa Palavra)"",
IF(REGEXMATCH(S120, ""rede2deoutubro\.blogspot""), ""Blogspot (Rede 02 de Outubro)"",
IF(REGEXMATCH("&amp;"S120, ""Rede TVT""), ""YouTube (Rede TVT)"",
IF(REGEXMATCH(S120, ""Esquerda Diário""), ""Esquerda Diário"",
IF(REGEXMATCH(S120, ""GZH""), ""GZH"",
IF(REGEXMATCH(S120, ""TVPUC""), ""TVPUC"",
IF(REGEXMATCH(S120, ""Mídia Ninja.*Facebook""), ""Facebook (Mídia"&amp;" Ninja)"",
IF(REGEXMATCH(S120, ""Memórias Carandiru.*Instagram""), ""Instagram (Memórias Carandiru)"",
IF(REGEXMATCH(S120, ""Frente pelo Desencarceramento SP""), ""YouTube (Frente Pelo Desencarceramento SP)"",
IF(REGEXMATCH(S120, ""TV ABA""), ""YouTube (T"&amp;"V ABA)"",
IF(REGEXMATCH(S120, ""TV SENADO""), ""YouTube (TV Senado)"",
IF(REGEXMATCH(S120, ""Google Arts &amp; Culture""), ""Google Arts &amp; Culture (Memória Massacre Carandiru)"",
IF(REGEXMATCH(S120, ""Anistia Internacional|ANISTIA INTERNACIONAL""), ""Anistia "&amp;"Internacional"",
IF(REGEXMATCH(S120, ""47\.mostra|47a Mostra""), ""47a Mostra Internacional de Cinema em São Paulo"",
IF(REGEXMATCH(S120, ""Canal USP""), ""YouTube (Canal USP)"",
IF(AND(
  REGEXMATCH(S120, ""(?i)(teses?\.usp\.br|dissertacoes?\.usp\.br|rep"&amp;"ositorio\.usp\.br)""),
  NOT(REGEXMATCH(S120, ""Canal USP""))
), ""Biblioteca Digital de Teses e Dissertações da USP"",
IF(REGEXMATCH(S120, ""SINTRAJUSC""), ""SINTRAJUSC"",
IF(REGEXMATCH(S120, ""Agência Brasil|Agencia Brasil""), ""Agência Brasil"",
IF(REG"&amp;"EXMATCH(S120, ""Brasil de Fato""), ""Brasil de Fato"",
IF(REGEXMATCH(S120, ""Ponte Jornalismo|pontejornalismo""), ""Ponte Jornalismo"",
IF(REGEXMATCH(S120, ""letras\.mus\.br|Letras,""), ""Letras"",
IF(REGEXMATCH(S120, ""YouTube|youtube""), 
   ""YouTube "&amp;"(""&amp;
   IF(REGEXMATCH(S120, ""Itaú Cultural""), ""Itaú Cultural"",
   IF(REGEXMATCH(S120, ""Rede TVT""), ""Rede TVT"",
   IF(REGEXMATCH(S120, ""Frente pelo Desencarceramento SP""), ""Frente Pelo Desencarceramento SP"",
   IF(REGEXMATCH(S120, ""TV ABA""), "&amp;"""TV ABA"",
   IF(REGEXMATCH(S120, ""TV SENADO""), ""TV Senado"",
   IF(REGEXMATCH(S120, ""Canal USP""), ""Canal USP"",
   IF(REGEXMATCH(S120, ""Douer, Zack|Zack Douer""), ""Douer Zack"",
   IF(REGEXMATCH(S120, ""PRISIONEIRO 84\.901|PRISIONEIRO 84""), ""P"&amp;"risioneiro 84.901"",
   IF(REGEXMATCH(S120, ""^[^,]*, ""), 
        PROPER(REGEXREPLACE(REGEXEXTRACT(S120, ""^([^.]*)\.""), ""^([^,]*), (.*)"", ""$2 $1"")),
        PROPER(REGEXEXTRACT(S120, ""^([^.]*)\.""))
   )))))))))&amp;"")"",
IF(REGEXMATCH(S120, ""Spot"&amp;"ify|spotify""), 
   ""Spotify (""&amp;
   IF(REGEXMATCH(S120, ""ESTRANHO SORRISO""), ""Estranho Sorriso"",
   PROPER(REGEXEXTRACT(S120, ""^([^.]*)\.""))
   )&amp;"")"",
IF(REGEXMATCH(S120, ""Vimeo|vimeo""), 
   ""Vimeo (""&amp;
   IF(REGEXMATCH(S120, ""Passa Palavra"&amp;"""), ""Passa Palavra"",
   PROPER(REGEXEXTRACT(S120, ""^([^.]*)\.""))
   )&amp;"")"",
IF(REGEXMATCH(S120, ""Blogspot""), 
   ""Blogspot (""&amp;
   IF(REGEXMATCH(S120, ""rede2deoutubro""), ""Rede 02 de Outubro"",
   PROPER(REGEXEXTRACT(S120, ""^([^.]*)\.""))
   "&amp;")&amp;"")"",
IF(REGEXMATCH(S120, ""Facebook""), 
   ""Facebook (""&amp;
   IF(REGEXMATCH(S120, ""Mídia Ninja""), ""Mídia Ninja"",
   PROPER(REGEXEXTRACT(S120, ""^([^.]*)\.""))
   )&amp;"")"",
IF(REGEXMATCH(S120, ""Instagram""), 
   ""Instagram (""&amp;
   IF(REGEXMATCH"&amp;"(S120, ""Memórias Carandiru""), ""Memórias Carandiru"",
   PROPER(REGEXEXTRACT(S120, ""^([^.]*)\.""))
   )&amp;"")"",
IF(REGEXMATCH(S120, ""Folha de S\. Paulo|FOLHA DE S\. PAULO""), ""Folha de S. Paulo"",
IF(REGEXMATCH(S120, ""O Estado de S\. Paulo|ESTADAO"""&amp;"), ""O Estado de S. Paulo"",
IF(REGEXMATCH(S120, ""salasecreta""), ""Wordpress (Sala Secreta)"",
IF(REGEXMATCH(S120, ""Wikipedia|Wikipédia|WIKIPÉDIA""), ""Wikipedia"",
IF(REGEXMATCH(S120, ""VEJA|Veja""), ""Veja Abril"",
IF(REGEXMATCH(S392, ""Rede Globo|RE"&amp;"DE GLOBO""), ""Rede Globo"",
IF(REGEXMATCH(S392, ""G1|globo\.com""), ""G1"",
IF(REGEXMATCH(S120, ""Deutsche Welle|DW\.com""), ""Deutsche Welle"",
IF(REGEXMATCH(S120, ""CIDH|Comissão Interamericana""), ""Comissão Interamericana de Direitos Humanos (CIDH)"""&amp;",
IF(REGEXMATCH(S120, ""Pastoral Carcerária""), ""Pastoral Carcerária"",
IF(REGEXMATCH(S120, ""Esquerda Web""), ""Esquerda Web"",
IF(REGEXMATCH(S120, ""ONU|Organização das Nações Unidas""), ""ONU Brasil"",
IF(REGEXMATCH(S120, ""Quilombo Invisível""), ""Qu"&amp;"ilombo Invisível"",
IF(REGEXMATCH(S120, ""ALESP|Assembleia Legislativa""), ""ALESP"",
IF(REGEXMATCH(S120, ""Revista Opera""), ""Revista Opera"",
IF(REGEXMATCH(S120, ""SP Escola de Teatro""), ""SP Escola de Teatro"",
IF(REGEXMATCH(S120, ""EMC|Espaço Memóri"&amp;"a Carandiru""), ""EMC Espaço Memória Carandiru"",
IF(REGEXMATCH(S120, ""^RAMOS, Nuno|Nuno Ramos""), ""Nuno Ramos"",
IF(REGEXMATCH(S120, ""^VELOSO, Caetano|Caetano Veloso""), ""YouTube (Caetano Veloso)"",
IF(REGEXMATCH(S120, ""^FATOS REAIS""), ""YouTube ("&amp;"Fatos Reais - Topic)"",
IF(REGEXMATCH(S120, ""^SALA SECRETA""), ""Wordpress (Sala Secreta)"",
PROPER(REGEXEXTRACT(S120, ""^([^.]*)\.""))
))))))))))))))))))))))))))))))))))))))))))))))))))))))))"),"YouTube (Prisioneiro 84.901)")</f>
        <v>YouTube (Prisioneiro 84.901)</v>
      </c>
      <c r="N120" s="11" t="s">
        <v>47</v>
      </c>
      <c r="O120" s="14" t="s">
        <v>546</v>
      </c>
      <c r="P120" s="171">
        <v>45946.0</v>
      </c>
      <c r="Q120" s="11" t="s">
        <v>154</v>
      </c>
      <c r="R120" s="70" t="str">
        <f t="shared" si="8"/>
        <v>Aqui</v>
      </c>
      <c r="S120" s="75" t="s">
        <v>758</v>
      </c>
    </row>
    <row r="121">
      <c r="A121" s="11">
        <v>119.0</v>
      </c>
      <c r="B121" s="11" t="s">
        <v>211</v>
      </c>
      <c r="C121" s="12" t="str">
        <f>IFERROR(__xludf.DUMMYFUNCTION("IF(B121="""","""",IF(OR(
  REGEXMATCH(B121,""Performance|Instalação|Álbum|Música|Poema|Livro|Filme|Documentário|Recitação|Espetáculo|Peça|Intervenção|Desfile|Fotografia|Exposição|Charge|Grafite|Leitura pública|Fabricação de cachaça artesanal""),
  REGEXMA"&amp;"TCH(B121,""dança|teatral|artístico|musical|artística"")
),""Manifestação artístico-cultural"",
IF(OR(
  REGEXMATCH(B121,""Crônica|Série|Reportagem|Podcast|Audiotour|Entrevista|Vídeo|Rádio""),
  REGEXMATCH(B121,""midiática"")
),""Produção midiática"","""")"&amp;"))
"),"Manifestação artístico-cultural")</f>
        <v>Manifestação artístico-cultural</v>
      </c>
      <c r="D121" s="13" t="str">
        <f>IFERROR(__xludf.DUMMYFUNCTION("IF(B121="""","""",IF(OR(
  REGEXMATCH(B121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REGEXMATCH(B121,""público|Imediato|artística|teatral|memória"")
),""Público Imediato"",
IF(REGEXMATCH(B121,""Música|Álbum|Filme|Documentário|Série|Podc"&amp;"ast|Rádio|Audiotour|Entrevista|Reportagem|Crônica|Relatório|Abaixo-assinado|Manifesto|Petição|Poema|Livro|Fotografia|Curta|Live|Webinário|Charge|Leitura pública|Vídeo""),
""Público Mediado"","""")))
"),"Público Mediado")</f>
        <v>Público Mediado</v>
      </c>
      <c r="E121" s="13" t="str">
        <f>IFERROR(__xludf.DUMMYFUNCTION("IF(B121="""","""",IF(OR(
  REGEXMATCH(B121,""Live|Webinário|Virtual""),
  REGEXMATCH(B121,""online"")
),""Virtual"",
IF(REGEXMATCH(B121,""Música|Álbum|Filme|Documentário|Série|Podcast|Rádio|Audiotour|Episódio|Reportagem|Curta|Charge|Livro|Vídeo|Entrevista"&amp;"""),
""Midiático"",
IF(REGEXMATCH(B121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1" s="11">
        <v>2022.0</v>
      </c>
      <c r="G121" s="15">
        <f t="shared" si="1"/>
        <v>2022</v>
      </c>
      <c r="H121" s="11" t="s">
        <v>23</v>
      </c>
      <c r="I121" s="18" t="s">
        <v>443</v>
      </c>
      <c r="J121" s="17" t="s">
        <v>759</v>
      </c>
      <c r="K121" s="16" t="s">
        <v>222</v>
      </c>
      <c r="L121" s="18" t="s">
        <v>106</v>
      </c>
      <c r="M121" s="15" t="str">
        <f>IFERROR(__xludf.DUMMYFUNCTION("IF(REGEXMATCH(S121, ""Companhia das Letras""), ""Companhia das Letras"",
IF(REGEXMATCH(S121, ""Labortexto Editorial""), ""Labortexto Editorial"",
IF(REGEXMATCH(S121, ""Geração Editorial""), ""Geração Editorial"",
IF(REGEXMATCH(S121, ""Editora Imprensa Ofi"&amp;"cial|Imprensa Oficial""), ""Editora Imprensa Oficial"",
IF(REGEXMATCH(S121, ""Folha Online""), ""Folha Online"",
IF(REGEXMATCH(S121, ""FGV DIREITO SP|FGV Direito SP""), ""FGV DIREITO SP"",
IF(REGEXMATCH(S121, ""massacrecarandiru\.org\.br""), ""Memória Mas"&amp;"sacre Carandiru"",
IF(REGEXMATCH(S121, ""Itaú Cultural""), ""YouTube (Itaú Cultural)"",
IF(REGEXMATCH(S121, ""Passa Palavra""), ""Vimeo (Passa Palavra)"",
IF(REGEXMATCH(S121, ""rede2deoutubro\.blogspot""), ""Blogspot (Rede 02 de Outubro)"",
IF(REGEXMATCH("&amp;"S121, ""Rede TVT""), ""YouTube (Rede TVT)"",
IF(REGEXMATCH(S121, ""Esquerda Diário""), ""Esquerda Diário"",
IF(REGEXMATCH(S121, ""GZH""), ""GZH"",
IF(REGEXMATCH(S121, ""TVPUC""), ""TVPUC"",
IF(REGEXMATCH(S121, ""Mídia Ninja.*Facebook""), ""Facebook (Mídia"&amp;" Ninja)"",
IF(REGEXMATCH(S121, ""Memórias Carandiru.*Instagram""), ""Instagram (Memórias Carandiru)"",
IF(REGEXMATCH(S121, ""Frente pelo Desencarceramento SP""), ""YouTube (Frente Pelo Desencarceramento SP)"",
IF(REGEXMATCH(S121, ""TV ABA""), ""YouTube (T"&amp;"V ABA)"",
IF(REGEXMATCH(S121, ""TV SENADO""), ""YouTube (TV Senado)"",
IF(REGEXMATCH(S121, ""Google Arts &amp; Culture""), ""Google Arts &amp; Culture (Memória Massacre Carandiru)"",
IF(REGEXMATCH(S121, ""Anistia Internacional|ANISTIA INTERNACIONAL""), ""Anistia "&amp;"Internacional"",
IF(REGEXMATCH(S121, ""47\.mostra|47a Mostra""), ""47a Mostra Internacional de Cinema em São Paulo"",
IF(REGEXMATCH(S121, ""Canal USP""), ""YouTube (Canal USP)"",
IF(AND(
  REGEXMATCH(S121, ""(?i)(teses?\.usp\.br|dissertacoes?\.usp\.br|rep"&amp;"ositorio\.usp\.br)""),
  NOT(REGEXMATCH(S121, ""Canal USP""))
), ""Biblioteca Digital de Teses e Dissertações da USP"",
IF(REGEXMATCH(S121, ""SINTRAJUSC""), ""SINTRAJUSC"",
IF(REGEXMATCH(S121, ""Agência Brasil|Agencia Brasil""), ""Agência Brasil"",
IF(REG"&amp;"EXMATCH(S121, ""Brasil de Fato""), ""Brasil de Fato"",
IF(REGEXMATCH(S121, ""Ponte Jornalismo|pontejornalismo""), ""Ponte Jornalismo"",
IF(REGEXMATCH(S121, ""letras\.mus\.br|Letras,""), ""Letras"",
IF(REGEXMATCH(S121, ""YouTube|youtube""), 
   ""YouTube "&amp;"(""&amp;
   IF(REGEXMATCH(S121, ""Itaú Cultural""), ""Itaú Cultural"",
   IF(REGEXMATCH(S121, ""Rede TVT""), ""Rede TVT"",
   IF(REGEXMATCH(S121, ""Frente pelo Desencarceramento SP""), ""Frente Pelo Desencarceramento SP"",
   IF(REGEXMATCH(S121, ""TV ABA""), "&amp;"""TV ABA"",
   IF(REGEXMATCH(S121, ""TV SENADO""), ""TV Senado"",
   IF(REGEXMATCH(S121, ""Canal USP""), ""Canal USP"",
   IF(REGEXMATCH(S121, ""Douer, Zack|Zack Douer""), ""Douer Zack"",
   IF(REGEXMATCH(S121, ""PRISIONEIRO 84\.901|PRISIONEIRO 84""), ""P"&amp;"risioneiro 84.901"",
   IF(REGEXMATCH(S121, ""^[^,]*, ""), 
        PROPER(REGEXREPLACE(REGEXEXTRACT(S121, ""^([^.]*)\.""), ""^([^,]*), (.*)"", ""$2 $1"")),
        PROPER(REGEXEXTRACT(S121, ""^([^.]*)\.""))
   )))))))))&amp;"")"",
IF(REGEXMATCH(S121, ""Spot"&amp;"ify|spotify""), 
   ""Spotify (""&amp;
   IF(REGEXMATCH(S121, ""ESTRANHO SORRISO""), ""Estranho Sorriso"",
   PROPER(REGEXEXTRACT(S121, ""^([^.]*)\.""))
   )&amp;"")"",
IF(REGEXMATCH(S121, ""Vimeo|vimeo""), 
   ""Vimeo (""&amp;
   IF(REGEXMATCH(S121, ""Passa Palavra"&amp;"""), ""Passa Palavra"",
   PROPER(REGEXEXTRACT(S121, ""^([^.]*)\.""))
   )&amp;"")"",
IF(REGEXMATCH(S121, ""Blogspot""), 
   ""Blogspot (""&amp;
   IF(REGEXMATCH(S121, ""rede2deoutubro""), ""Rede 02 de Outubro"",
   PROPER(REGEXEXTRACT(S121, ""^([^.]*)\.""))
   "&amp;")&amp;"")"",
IF(REGEXMATCH(S121, ""Facebook""), 
   ""Facebook (""&amp;
   IF(REGEXMATCH(S121, ""Mídia Ninja""), ""Mídia Ninja"",
   PROPER(REGEXEXTRACT(S121, ""^([^.]*)\.""))
   )&amp;"")"",
IF(REGEXMATCH(S121, ""Instagram""), 
   ""Instagram (""&amp;
   IF(REGEXMATCH"&amp;"(S121, ""Memórias Carandiru""), ""Memórias Carandiru"",
   PROPER(REGEXEXTRACT(S121, ""^([^.]*)\.""))
   )&amp;"")"",
IF(REGEXMATCH(S121, ""Folha de S\. Paulo|FOLHA DE S\. PAULO""), ""Folha de S. Paulo"",
IF(REGEXMATCH(S121, ""O Estado de S\. Paulo|ESTADAO"""&amp;"), ""O Estado de S. Paulo"",
IF(REGEXMATCH(S121, ""salasecreta""), ""Wordpress (Sala Secreta)"",
IF(REGEXMATCH(S121, ""Wikipedia|Wikipédia|WIKIPÉDIA""), ""Wikipedia"",
IF(REGEXMATCH(S121, ""VEJA|Veja""), ""Veja Abril"",
IF(REGEXMATCH(S393, ""Rede Globo|RE"&amp;"DE GLOBO""), ""Rede Globo"",
IF(REGEXMATCH(S393, ""G1|globo\.com""), ""G1"",
IF(REGEXMATCH(S121, ""Deutsche Welle|DW\.com""), ""Deutsche Welle"",
IF(REGEXMATCH(S121, ""CIDH|Comissão Interamericana""), ""Comissão Interamericana de Direitos Humanos (CIDH)"""&amp;",
IF(REGEXMATCH(S121, ""Pastoral Carcerária""), ""Pastoral Carcerária"",
IF(REGEXMATCH(S121, ""Esquerda Web""), ""Esquerda Web"",
IF(REGEXMATCH(S121, ""ONU|Organização das Nações Unidas""), ""ONU Brasil"",
IF(REGEXMATCH(S121, ""Quilombo Invisível""), ""Qu"&amp;"ilombo Invisível"",
IF(REGEXMATCH(S121, ""ALESP|Assembleia Legislativa""), ""ALESP"",
IF(REGEXMATCH(S121, ""Revista Opera""), ""Revista Opera"",
IF(REGEXMATCH(S121, ""SP Escola de Teatro""), ""SP Escola de Teatro"",
IF(REGEXMATCH(S121, ""EMC|Espaço Memóri"&amp;"a Carandiru""), ""EMC Espaço Memória Carandiru"",
IF(REGEXMATCH(S121, ""^RAMOS, Nuno|Nuno Ramos""), ""Nuno Ramos"",
IF(REGEXMATCH(S121, ""^VELOSO, Caetano|Caetano Veloso""), ""YouTube (Caetano Veloso)"",
IF(REGEXMATCH(S121, ""^FATOS REAIS""), ""YouTube ("&amp;"Fatos Reais - Topic)"",
IF(REGEXMATCH(S121, ""^SALA SECRETA""), ""Wordpress (Sala Secreta)"",
PROPER(REGEXEXTRACT(S121, ""^([^.]*)\.""))
))))))))))))))))))))))))))))))))))))))))))))))))))))))))"),"Letras")</f>
        <v>Letras</v>
      </c>
      <c r="N121" s="11" t="s">
        <v>47</v>
      </c>
      <c r="O121" s="11" t="s">
        <v>149</v>
      </c>
      <c r="P121" s="51">
        <v>45856.0</v>
      </c>
      <c r="Q121" s="11" t="s">
        <v>154</v>
      </c>
      <c r="R121" s="70" t="str">
        <f t="shared" si="8"/>
        <v>Aqui</v>
      </c>
      <c r="S121" s="180" t="s">
        <v>760</v>
      </c>
    </row>
    <row r="122">
      <c r="A122" s="11">
        <v>120.0</v>
      </c>
      <c r="B122" s="14" t="s">
        <v>761</v>
      </c>
      <c r="C122" s="122" t="s">
        <v>165</v>
      </c>
      <c r="D122" s="13" t="str">
        <f>IFERROR(__xludf.DUMMYFUNCTION("IF(B122="""","""",IF(OR(
  REGEXMATCH(B122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REGEXMATCH(B122,""público|Imediato|artística|teatral|memória"")
),""Público Imediato"",
IF(REGEXMATCH(B122,""Música|Álbum|Filme|Documentário|Série|Podc"&amp;"ast|Rádio|Audiotour|Entrevista|Reportagem|Crônica|Relatório|Abaixo-assinado|Manifesto|Petição|Poema|Livro|Fotografia|Curta|Live|Webinário|Charge|Leitura pública|Vídeo""),
""Público Mediado"","""")))
"),"Público Imediato")</f>
        <v>Público Imediato</v>
      </c>
      <c r="E122" s="13" t="str">
        <f>IFERROR(__xludf.DUMMYFUNCTION("IF(B122="""","""",IF(OR(
  REGEXMATCH(B122,""Live|Webinário|Virtual""),
  REGEXMATCH(B122,""online"")
),""Virtual"",
IF(REGEXMATCH(B122,""Música|Álbum|Filme|Documentário|Série|Podcast|Rádio|Audiotour|Episódio|Reportagem|Curta|Charge|Livro|Vídeo|Entrevista"&amp;"""),
""Midiático"",
IF(REGEXMATCH(B122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2" s="186">
        <v>44793.0</v>
      </c>
      <c r="G122" s="15">
        <f t="shared" si="1"/>
        <v>2022</v>
      </c>
      <c r="H122" s="14" t="s">
        <v>733</v>
      </c>
      <c r="I122" s="177" t="s">
        <v>741</v>
      </c>
      <c r="J122" s="202" t="s">
        <v>762</v>
      </c>
      <c r="K122" s="16" t="s">
        <v>736</v>
      </c>
      <c r="L122" s="18" t="s">
        <v>489</v>
      </c>
      <c r="M122" s="15" t="str">
        <f>IFERROR(__xludf.DUMMYFUNCTION("IF(REGEXMATCH(S122, ""Companhia das Letras""), ""Companhia das Letras"",
IF(REGEXMATCH(S122, ""Labortexto Editorial""), ""Labortexto Editorial"",
IF(REGEXMATCH(S122, ""Geração Editorial""), ""Geração Editorial"",
IF(REGEXMATCH(S122, ""Editora Imprensa Ofi"&amp;"cial|Imprensa Oficial""), ""Editora Imprensa Oficial"",
IF(REGEXMATCH(S122, ""Folha Online""), ""Folha Online"",
IF(REGEXMATCH(S122, ""FGV DIREITO SP|FGV Direito SP""), ""FGV DIREITO SP"",
IF(REGEXMATCH(S122, ""massacrecarandiru\.org\.br""), ""Memória Mas"&amp;"sacre Carandiru"",
IF(REGEXMATCH(S122, ""Itaú Cultural""), ""YouTube (Itaú Cultural)"",
IF(REGEXMATCH(S122, ""Passa Palavra""), ""Vimeo (Passa Palavra)"",
IF(REGEXMATCH(S122, ""rede2deoutubro\.blogspot""), ""Blogspot (Rede 02 de Outubro)"",
IF(REGEXMATCH("&amp;"S122, ""Rede TVT""), ""YouTube (Rede TVT)"",
IF(REGEXMATCH(S122, ""Esquerda Diário""), ""Esquerda Diário"",
IF(REGEXMATCH(S122, ""GZH""), ""GZH"",
IF(REGEXMATCH(S122, ""TVPUC""), ""TVPUC"",
IF(REGEXMATCH(S122, ""Mídia Ninja.*Facebook""), ""Facebook (Mídia"&amp;" Ninja)"",
IF(REGEXMATCH(S122, ""Memórias Carandiru.*Instagram""), ""Instagram (Memórias Carandiru)"",
IF(REGEXMATCH(S122, ""Frente pelo Desencarceramento SP""), ""YouTube (Frente Pelo Desencarceramento SP)"",
IF(REGEXMATCH(S122, ""TV ABA""), ""YouTube (T"&amp;"V ABA)"",
IF(REGEXMATCH(S122, ""TV SENADO""), ""YouTube (TV Senado)"",
IF(REGEXMATCH(S122, ""Google Arts &amp; Culture""), ""Google Arts &amp; Culture (Memória Massacre Carandiru)"",
IF(REGEXMATCH(S122, ""Anistia Internacional|ANISTIA INTERNACIONAL""), ""Anistia "&amp;"Internacional"",
IF(REGEXMATCH(S122, ""47\.mostra|47a Mostra""), ""47a Mostra Internacional de Cinema em São Paulo"",
IF(REGEXMATCH(S122, ""Canal USP""), ""YouTube (Canal USP)"",
IF(AND(
  REGEXMATCH(S122, ""(?i)(teses?\.usp\.br|dissertacoes?\.usp\.br|rep"&amp;"ositorio\.usp\.br)""),
  NOT(REGEXMATCH(S122, ""Canal USP""))
), ""Biblioteca Digital de Teses e Dissertações da USP"",
IF(REGEXMATCH(S122, ""SINTRAJUSC""), ""SINTRAJUSC"",
IF(REGEXMATCH(S122, ""Agência Brasil|Agencia Brasil""), ""Agência Brasil"",
IF(REG"&amp;"EXMATCH(S122, ""Brasil de Fato""), ""Brasil de Fato"",
IF(REGEXMATCH(S122, ""Ponte Jornalismo|pontejornalismo""), ""Ponte Jornalismo"",
IF(REGEXMATCH(S122, ""letras\.mus\.br|Letras,""), ""Letras"",
IF(REGEXMATCH(S122, ""YouTube|youtube""), 
   ""YouTube "&amp;"(""&amp;
   IF(REGEXMATCH(S122, ""Itaú Cultural""), ""Itaú Cultural"",
   IF(REGEXMATCH(S122, ""Rede TVT""), ""Rede TVT"",
   IF(REGEXMATCH(S122, ""Frente pelo Desencarceramento SP""), ""Frente Pelo Desencarceramento SP"",
   IF(REGEXMATCH(S122, ""TV ABA""), "&amp;"""TV ABA"",
   IF(REGEXMATCH(S122, ""TV SENADO""), ""TV Senado"",
   IF(REGEXMATCH(S122, ""Canal USP""), ""Canal USP"",
   IF(REGEXMATCH(S122, ""Douer, Zack|Zack Douer""), ""Douer Zack"",
   IF(REGEXMATCH(S122, ""PRISIONEIRO 84\.901|PRISIONEIRO 84""), ""P"&amp;"risioneiro 84.901"",
   IF(REGEXMATCH(S122, ""^[^,]*, ""), 
        PROPER(REGEXREPLACE(REGEXEXTRACT(S122, ""^([^.]*)\.""), ""^([^,]*), (.*)"", ""$2 $1"")),
        PROPER(REGEXEXTRACT(S122, ""^([^.]*)\.""))
   )))))))))&amp;"")"",
IF(REGEXMATCH(S122, ""Spot"&amp;"ify|spotify""), 
   ""Spotify (""&amp;
   IF(REGEXMATCH(S122, ""ESTRANHO SORRISO""), ""Estranho Sorriso"",
   PROPER(REGEXEXTRACT(S122, ""^([^.]*)\.""))
   )&amp;"")"",
IF(REGEXMATCH(S122, ""Vimeo|vimeo""), 
   ""Vimeo (""&amp;
   IF(REGEXMATCH(S122, ""Passa Palavra"&amp;"""), ""Passa Palavra"",
   PROPER(REGEXEXTRACT(S122, ""^([^.]*)\.""))
   )&amp;"")"",
IF(REGEXMATCH(S122, ""Blogspot""), 
   ""Blogspot (""&amp;
   IF(REGEXMATCH(S122, ""rede2deoutubro""), ""Rede 02 de Outubro"",
   PROPER(REGEXEXTRACT(S122, ""^([^.]*)\.""))
   "&amp;")&amp;"")"",
IF(REGEXMATCH(S122, ""Facebook""), 
   ""Facebook (""&amp;
   IF(REGEXMATCH(S122, ""Mídia Ninja""), ""Mídia Ninja"",
   PROPER(REGEXEXTRACT(S122, ""^([^.]*)\.""))
   )&amp;"")"",
IF(REGEXMATCH(S122, ""Instagram""), 
   ""Instagram (""&amp;
   IF(REGEXMATCH"&amp;"(S122, ""Memórias Carandiru""), ""Memórias Carandiru"",
   PROPER(REGEXEXTRACT(S122, ""^([^.]*)\.""))
   )&amp;"")"",
IF(REGEXMATCH(S122, ""Folha de S\. Paulo|FOLHA DE S\. PAULO""), ""Folha de S. Paulo"",
IF(REGEXMATCH(S122, ""O Estado de S\. Paulo|ESTADAO"""&amp;"), ""O Estado de S. Paulo"",
IF(REGEXMATCH(S122, ""salasecreta""), ""Wordpress (Sala Secreta)"",
IF(REGEXMATCH(S122, ""Wikipedia|Wikipédia|WIKIPÉDIA""), ""Wikipedia"",
IF(REGEXMATCH(S122, ""VEJA|Veja""), ""Veja Abril"",
IF(REGEXMATCH(S394, ""Rede Globo|RE"&amp;"DE GLOBO""), ""Rede Globo"",
IF(REGEXMATCH(S394, ""G1|globo\.com""), ""G1"",
IF(REGEXMATCH(S122, ""Deutsche Welle|DW\.com""), ""Deutsche Welle"",
IF(REGEXMATCH(S122, ""CIDH|Comissão Interamericana""), ""Comissão Interamericana de Direitos Humanos (CIDH)"""&amp;",
IF(REGEXMATCH(S122, ""Pastoral Carcerária""), ""Pastoral Carcerária"",
IF(REGEXMATCH(S122, ""Esquerda Web""), ""Esquerda Web"",
IF(REGEXMATCH(S122, ""ONU|Organização das Nações Unidas""), ""ONU Brasil"",
IF(REGEXMATCH(S122, ""Quilombo Invisível""), ""Qu"&amp;"ilombo Invisível"",
IF(REGEXMATCH(S122, ""ALESP|Assembleia Legislativa""), ""ALESP"",
IF(REGEXMATCH(S122, ""Revista Opera""), ""Revista Opera"",
IF(REGEXMATCH(S122, ""SP Escola de Teatro""), ""SP Escola de Teatro"",
IF(REGEXMATCH(S122, ""EMC|Espaço Memóri"&amp;"a Carandiru""), ""EMC Espaço Memória Carandiru"",
IF(REGEXMATCH(S122, ""^RAMOS, Nuno|Nuno Ramos""), ""Nuno Ramos"",
IF(REGEXMATCH(S122, ""^VELOSO, Caetano|Caetano Veloso""), ""YouTube (Caetano Veloso)"",
IF(REGEXMATCH(S122, ""^FATOS REAIS""), ""YouTube ("&amp;"Fatos Reais - Topic)"",
IF(REGEXMATCH(S122, ""^SALA SECRETA""), ""Wordpress (Sala Secreta)"",
PROPER(REGEXEXTRACT(S122, ""^([^.]*)\.""))
))))))))))))))))))))))))))))))))))))))))))))))))))))))))"),"Instagram (Memórias Carandiru)")</f>
        <v>Instagram (Memórias Carandiru)</v>
      </c>
      <c r="N122" s="11" t="s">
        <v>47</v>
      </c>
      <c r="O122" s="14" t="s">
        <v>149</v>
      </c>
      <c r="P122" s="186">
        <v>45857.0</v>
      </c>
      <c r="Q122" s="11" t="s">
        <v>154</v>
      </c>
      <c r="R122" s="70" t="str">
        <f t="shared" si="8"/>
        <v>Aqui</v>
      </c>
      <c r="S122" s="75" t="s">
        <v>763</v>
      </c>
    </row>
    <row r="123">
      <c r="A123" s="11">
        <v>121.0</v>
      </c>
      <c r="B123" s="11" t="s">
        <v>626</v>
      </c>
      <c r="C123" s="12" t="str">
        <f>IFERROR(__xludf.DUMMYFUNCTION("IF(B123="""","""",IF(OR(
  REGEXMATCH(B123,""Performance|Instalação|Álbum|Música|Poema|Livro|Filme|Documentário|Recitação|Espetáculo|Peça|Intervenção|Desfile|Fotografia|Exposição|Charge|Grafite|Leitura pública|Fabricação de cachaça artesanal""),
  REGEXMA"&amp;"TCH(B123,""dança|teatral|artístico|musical|artística"")
),""Manifestação artístico-cultural"",
IF(OR(
  REGEXMATCH(B123,""Crônica|Série|Reportagem|Podcast|Audiotour|Entrevista|Vídeo|Rádio""),
  REGEXMATCH(B123,""midiática"")
),""Produção midiática"","""")"&amp;"))
"),"Manifestação artístico-cultural")</f>
        <v>Manifestação artístico-cultural</v>
      </c>
      <c r="D123" s="13" t="str">
        <f>IFERROR(__xludf.DUMMYFUNCTION("IF(B123="""","""",IF(OR(
  REGEXMATCH(B123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REGEXMATCH(B123,""público|Imediato|artística|teatral|memória"")
),""Público Imediato"",
IF(REGEXMATCH(B123,""Música|Álbum|Filme|Documentário|Série|Podc"&amp;"ast|Rádio|Audiotour|Entrevista|Reportagem|Crônica|Relatório|Abaixo-assinado|Manifesto|Petição|Poema|Livro|Fotografia|Curta|Live|Webinário|Charge|Leitura pública|Vídeo""),
""Público Mediado"","""")))
"),"Público Imediato")</f>
        <v>Público Imediato</v>
      </c>
      <c r="E123" s="13" t="str">
        <f>IFERROR(__xludf.DUMMYFUNCTION("IF(B123="""","""",IF(OR(
  REGEXMATCH(B123,""Live|Webinário|Virtual""),
  REGEXMATCH(B123,""online"")
),""Virtual"",
IF(REGEXMATCH(B123,""Música|Álbum|Filme|Documentário|Série|Podcast|Rádio|Audiotour|Episódio|Reportagem|Curta|Charge|Livro|Vídeo|Entrevista"&amp;"""),
""Midiático"",
IF(REGEXMATCH(B123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3" s="186">
        <v>44810.0</v>
      </c>
      <c r="G123" s="15">
        <f t="shared" si="1"/>
        <v>2022</v>
      </c>
      <c r="H123" s="11" t="s">
        <v>764</v>
      </c>
      <c r="I123" s="16" t="s">
        <v>348</v>
      </c>
      <c r="J123" s="17" t="s">
        <v>765</v>
      </c>
      <c r="K123" s="16" t="s">
        <v>696</v>
      </c>
      <c r="L123" s="18" t="s">
        <v>489</v>
      </c>
      <c r="M123" s="15" t="str">
        <f>IFERROR(__xludf.DUMMYFUNCTION("IF(REGEXMATCH(S123, ""Companhia das Letras""), ""Companhia das Letras"",
IF(REGEXMATCH(S123, ""Labortexto Editorial""), ""Labortexto Editorial"",
IF(REGEXMATCH(S123, ""Geração Editorial""), ""Geração Editorial"",
IF(REGEXMATCH(S123, ""Editora Imprensa Ofi"&amp;"cial|Imprensa Oficial""), ""Editora Imprensa Oficial"",
IF(REGEXMATCH(S123, ""Folha Online""), ""Folha Online"",
IF(REGEXMATCH(S123, ""FGV DIREITO SP|FGV Direito SP""), ""FGV DIREITO SP"",
IF(REGEXMATCH(S123, ""massacrecarandiru\.org\.br""), ""Memória Mas"&amp;"sacre Carandiru"",
IF(REGEXMATCH(S123, ""Itaú Cultural""), ""YouTube (Itaú Cultural)"",
IF(REGEXMATCH(S123, ""Passa Palavra""), ""Vimeo (Passa Palavra)"",
IF(REGEXMATCH(S123, ""rede2deoutubro\.blogspot""), ""Blogspot (Rede 02 de Outubro)"",
IF(REGEXMATCH("&amp;"S123, ""Rede TVT""), ""YouTube (Rede TVT)"",
IF(REGEXMATCH(S123, ""Esquerda Diário""), ""Esquerda Diário"",
IF(REGEXMATCH(S123, ""GZH""), ""GZH"",
IF(REGEXMATCH(S123, ""TVPUC""), ""TVPUC"",
IF(REGEXMATCH(S123, ""Mídia Ninja.*Facebook""), ""Facebook (Mídia"&amp;" Ninja)"",
IF(REGEXMATCH(S123, ""Memórias Carandiru.*Instagram""), ""Instagram (Memórias Carandiru)"",
IF(REGEXMATCH(S123, ""Frente pelo Desencarceramento SP""), ""YouTube (Frente Pelo Desencarceramento SP)"",
IF(REGEXMATCH(S123, ""TV ABA""), ""YouTube (T"&amp;"V ABA)"",
IF(REGEXMATCH(S123, ""TV SENADO""), ""YouTube (TV Senado)"",
IF(REGEXMATCH(S123, ""Google Arts &amp; Culture""), ""Google Arts &amp; Culture (Memória Massacre Carandiru)"",
IF(REGEXMATCH(S123, ""Anistia Internacional|ANISTIA INTERNACIONAL""), ""Anistia "&amp;"Internacional"",
IF(REGEXMATCH(S123, ""47\.mostra|47a Mostra""), ""47a Mostra Internacional de Cinema em São Paulo"",
IF(REGEXMATCH(S123, ""Canal USP""), ""YouTube (Canal USP)"",
IF(AND(
  REGEXMATCH(S123, ""(?i)(teses?\.usp\.br|dissertacoes?\.usp\.br|rep"&amp;"ositorio\.usp\.br)""),
  NOT(REGEXMATCH(S123, ""Canal USP""))
), ""Biblioteca Digital de Teses e Dissertações da USP"",
IF(REGEXMATCH(S123, ""SINTRAJUSC""), ""SINTRAJUSC"",
IF(REGEXMATCH(S123, ""Agência Brasil|Agencia Brasil""), ""Agência Brasil"",
IF(REG"&amp;"EXMATCH(S123, ""Brasil de Fato""), ""Brasil de Fato"",
IF(REGEXMATCH(S123, ""Ponte Jornalismo|pontejornalismo""), ""Ponte Jornalismo"",
IF(REGEXMATCH(S123, ""letras\.mus\.br|Letras,""), ""Letras"",
IF(REGEXMATCH(S123, ""YouTube|youtube""), 
   ""YouTube "&amp;"(""&amp;
   IF(REGEXMATCH(S123, ""Itaú Cultural""), ""Itaú Cultural"",
   IF(REGEXMATCH(S123, ""Rede TVT""), ""Rede TVT"",
   IF(REGEXMATCH(S123, ""Frente pelo Desencarceramento SP""), ""Frente Pelo Desencarceramento SP"",
   IF(REGEXMATCH(S123, ""TV ABA""), "&amp;"""TV ABA"",
   IF(REGEXMATCH(S123, ""TV SENADO""), ""TV Senado"",
   IF(REGEXMATCH(S123, ""Canal USP""), ""Canal USP"",
   IF(REGEXMATCH(S123, ""Douer, Zack|Zack Douer""), ""Douer Zack"",
   IF(REGEXMATCH(S123, ""PRISIONEIRO 84\.901|PRISIONEIRO 84""), ""P"&amp;"risioneiro 84.901"",
   IF(REGEXMATCH(S123, ""^[^,]*, ""), 
        PROPER(REGEXREPLACE(REGEXEXTRACT(S123, ""^([^.]*)\.""), ""^([^,]*), (.*)"", ""$2 $1"")),
        PROPER(REGEXEXTRACT(S123, ""^([^.]*)\.""))
   )))))))))&amp;"")"",
IF(REGEXMATCH(S123, ""Spot"&amp;"ify|spotify""), 
   ""Spotify (""&amp;
   IF(REGEXMATCH(S123, ""ESTRANHO SORRISO""), ""Estranho Sorriso"",
   PROPER(REGEXEXTRACT(S123, ""^([^.]*)\.""))
   )&amp;"")"",
IF(REGEXMATCH(S123, ""Vimeo|vimeo""), 
   ""Vimeo (""&amp;
   IF(REGEXMATCH(S123, ""Passa Palavra"&amp;"""), ""Passa Palavra"",
   PROPER(REGEXEXTRACT(S123, ""^([^.]*)\.""))
   )&amp;"")"",
IF(REGEXMATCH(S123, ""Blogspot""), 
   ""Blogspot (""&amp;
   IF(REGEXMATCH(S123, ""rede2deoutubro""), ""Rede 02 de Outubro"",
   PROPER(REGEXEXTRACT(S123, ""^([^.]*)\.""))
   "&amp;")&amp;"")"",
IF(REGEXMATCH(S123, ""Facebook""), 
   ""Facebook (""&amp;
   IF(REGEXMATCH(S123, ""Mídia Ninja""), ""Mídia Ninja"",
   PROPER(REGEXEXTRACT(S123, ""^([^.]*)\.""))
   )&amp;"")"",
IF(REGEXMATCH(S123, ""Instagram""), 
   ""Instagram (""&amp;
   IF(REGEXMATCH"&amp;"(S123, ""Memórias Carandiru""), ""Memórias Carandiru"",
   PROPER(REGEXEXTRACT(S123, ""^([^.]*)\.""))
   )&amp;"")"",
IF(REGEXMATCH(S123, ""Folha de S\. Paulo|FOLHA DE S\. PAULO""), ""Folha de S. Paulo"",
IF(REGEXMATCH(S123, ""O Estado de S\. Paulo|ESTADAO"""&amp;"), ""O Estado de S. Paulo"",
IF(REGEXMATCH(S123, ""salasecreta""), ""Wordpress (Sala Secreta)"",
IF(REGEXMATCH(S123, ""Wikipedia|Wikipédia|WIKIPÉDIA""), ""Wikipedia"",
IF(REGEXMATCH(S123, ""VEJA|Veja""), ""Veja Abril"",
IF(REGEXMATCH(S395, ""Rede Globo|RE"&amp;"DE GLOBO""), ""Rede Globo"",
IF(REGEXMATCH(S395, ""G1|globo\.com""), ""G1"",
IF(REGEXMATCH(S123, ""Deutsche Welle|DW\.com""), ""Deutsche Welle"",
IF(REGEXMATCH(S123, ""CIDH|Comissão Interamericana""), ""Comissão Interamericana de Direitos Humanos (CIDH)"""&amp;",
IF(REGEXMATCH(S123, ""Pastoral Carcerária""), ""Pastoral Carcerária"",
IF(REGEXMATCH(S123, ""Esquerda Web""), ""Esquerda Web"",
IF(REGEXMATCH(S123, ""ONU|Organização das Nações Unidas""), ""ONU Brasil"",
IF(REGEXMATCH(S123, ""Quilombo Invisível""), ""Qu"&amp;"ilombo Invisível"",
IF(REGEXMATCH(S123, ""ALESP|Assembleia Legislativa""), ""ALESP"",
IF(REGEXMATCH(S123, ""Revista Opera""), ""Revista Opera"",
IF(REGEXMATCH(S123, ""SP Escola de Teatro""), ""SP Escola de Teatro"",
IF(REGEXMATCH(S123, ""EMC|Espaço Memóri"&amp;"a Carandiru""), ""EMC Espaço Memória Carandiru"",
IF(REGEXMATCH(S123, ""^RAMOS, Nuno|Nuno Ramos""), ""Nuno Ramos"",
IF(REGEXMATCH(S123, ""^VELOSO, Caetano|Caetano Veloso""), ""YouTube (Caetano Veloso)"",
IF(REGEXMATCH(S123, ""^FATOS REAIS""), ""YouTube ("&amp;"Fatos Reais - Topic)"",
IF(REGEXMATCH(S123, ""^SALA SECRETA""), ""Wordpress (Sala Secreta)"",
PROPER(REGEXEXTRACT(S123, ""^([^.]*)\.""))
))))))))))))))))))))))))))))))))))))))))))))))))))))))))"),"SP Escola de Teatro")</f>
        <v>SP Escola de Teatro</v>
      </c>
      <c r="N123" s="11" t="s">
        <v>47</v>
      </c>
      <c r="O123" s="11" t="s">
        <v>149</v>
      </c>
      <c r="P123" s="51">
        <v>45856.0</v>
      </c>
      <c r="Q123" s="11" t="s">
        <v>154</v>
      </c>
      <c r="R123" s="70" t="str">
        <f t="shared" si="8"/>
        <v>Aqui</v>
      </c>
      <c r="S123" s="180" t="s">
        <v>766</v>
      </c>
    </row>
    <row r="124">
      <c r="A124" s="11">
        <v>122.0</v>
      </c>
      <c r="B124" s="11" t="s">
        <v>706</v>
      </c>
      <c r="C124" s="122" t="s">
        <v>165</v>
      </c>
      <c r="D124" s="13" t="str">
        <f>IFERROR(__xludf.DUMMYFUNCTION("IF(B124="""","""",IF(OR(
  REGEXMATCH(B124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REGEXMATCH(B124,""público|Imediato|artística|teatral|memória"")
),""Público Imediato"",
IF(REGEXMATCH(B124,""Música|Álbum|Filme|Documentário|Série|Podc"&amp;"ast|Rádio|Audiotour|Entrevista|Reportagem|Crônica|Relatório|Abaixo-assinado|Manifesto|Petição|Poema|Livro|Fotografia|Curta|Live|Webinário|Charge|Leitura pública|Vídeo""),
""Público Mediado"","""")))
"),"Público Imediato")</f>
        <v>Público Imediato</v>
      </c>
      <c r="E124" s="13" t="str">
        <f>IFERROR(__xludf.DUMMYFUNCTION("IF(B124="""","""",IF(OR(
  REGEXMATCH(B124,""Live|Webinário|Virtual""),
  REGEXMATCH(B124,""online"")
),""Virtual"",
IF(REGEXMATCH(B124,""Música|Álbum|Filme|Documentário|Série|Podcast|Rádio|Audiotour|Episódio|Reportagem|Curta|Charge|Livro|Vídeo|Entrevista"&amp;"""),
""Midiático"",
IF(REGEXMATCH(B124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4" s="183">
        <v>44832.0</v>
      </c>
      <c r="G124" s="15">
        <f t="shared" si="1"/>
        <v>2022</v>
      </c>
      <c r="H124" s="11" t="s">
        <v>767</v>
      </c>
      <c r="I124" s="18" t="s">
        <v>410</v>
      </c>
      <c r="J124" s="17" t="s">
        <v>768</v>
      </c>
      <c r="K124" s="208" t="s">
        <v>233</v>
      </c>
      <c r="L124" s="209" t="s">
        <v>316</v>
      </c>
      <c r="M124" s="15" t="str">
        <f>IFERROR(__xludf.DUMMYFUNCTION("IF(REGEXMATCH(S124, ""Companhia das Letras""), ""Companhia das Letras"",
IF(REGEXMATCH(S124, ""Labortexto Editorial""), ""Labortexto Editorial"",
IF(REGEXMATCH(S124, ""Geração Editorial""), ""Geração Editorial"",
IF(REGEXMATCH(S124, ""Editora Imprensa Ofi"&amp;"cial|Imprensa Oficial""), ""Editora Imprensa Oficial"",
IF(REGEXMATCH(S124, ""Folha Online""), ""Folha Online"",
IF(REGEXMATCH(S124, ""FGV DIREITO SP|FGV Direito SP""), ""FGV DIREITO SP"",
IF(REGEXMATCH(S124, ""massacrecarandiru\.org\.br""), ""Memória Mas"&amp;"sacre Carandiru"",
IF(REGEXMATCH(S124, ""Itaú Cultural""), ""YouTube (Itaú Cultural)"",
IF(REGEXMATCH(S124, ""Passa Palavra""), ""Vimeo (Passa Palavra)"",
IF(REGEXMATCH(S124, ""rede2deoutubro\.blogspot""), ""Blogspot (Rede 02 de Outubro)"",
IF(REGEXMATCH("&amp;"S124, ""Rede TVT""), ""YouTube (Rede TVT)"",
IF(REGEXMATCH(S124, ""Esquerda Diário""), ""Esquerda Diário"",
IF(REGEXMATCH(S124, ""GZH""), ""GZH"",
IF(REGEXMATCH(S124, ""TVPUC""), ""TVPUC"",
IF(REGEXMATCH(S124, ""Mídia Ninja.*Facebook""), ""Facebook (Mídia"&amp;" Ninja)"",
IF(REGEXMATCH(S124, ""Memórias Carandiru.*Instagram""), ""Instagram (Memórias Carandiru)"",
IF(REGEXMATCH(S124, ""Frente pelo Desencarceramento SP""), ""YouTube (Frente Pelo Desencarceramento SP)"",
IF(REGEXMATCH(S124, ""TV ABA""), ""YouTube (T"&amp;"V ABA)"",
IF(REGEXMATCH(S124, ""TV SENADO""), ""YouTube (TV Senado)"",
IF(REGEXMATCH(S124, ""Google Arts &amp; Culture""), ""Google Arts &amp; Culture (Memória Massacre Carandiru)"",
IF(REGEXMATCH(S124, ""Anistia Internacional|ANISTIA INTERNACIONAL""), ""Anistia "&amp;"Internacional"",
IF(REGEXMATCH(S124, ""47\.mostra|47a Mostra""), ""47a Mostra Internacional de Cinema em São Paulo"",
IF(REGEXMATCH(S124, ""Canal USP""), ""YouTube (Canal USP)"",
IF(AND(
  REGEXMATCH(S124, ""(?i)(teses?\.usp\.br|dissertacoes?\.usp\.br|rep"&amp;"ositorio\.usp\.br)""),
  NOT(REGEXMATCH(S124, ""Canal USP""))
), ""Biblioteca Digital de Teses e Dissertações da USP"",
IF(REGEXMATCH(S124, ""SINTRAJUSC""), ""SINTRAJUSC"",
IF(REGEXMATCH(S124, ""Agência Brasil|Agencia Brasil""), ""Agência Brasil"",
IF(REG"&amp;"EXMATCH(S124, ""Brasil de Fato""), ""Brasil de Fato"",
IF(REGEXMATCH(S124, ""Ponte Jornalismo|pontejornalismo""), ""Ponte Jornalismo"",
IF(REGEXMATCH(S124, ""letras\.mus\.br|Letras,""), ""Letras"",
IF(REGEXMATCH(S124, ""YouTube|youtube""), 
   ""YouTube "&amp;"(""&amp;
   IF(REGEXMATCH(S124, ""Itaú Cultural""), ""Itaú Cultural"",
   IF(REGEXMATCH(S124, ""Rede TVT""), ""Rede TVT"",
   IF(REGEXMATCH(S124, ""Frente pelo Desencarceramento SP""), ""Frente Pelo Desencarceramento SP"",
   IF(REGEXMATCH(S124, ""TV ABA""), "&amp;"""TV ABA"",
   IF(REGEXMATCH(S124, ""TV SENADO""), ""TV Senado"",
   IF(REGEXMATCH(S124, ""Canal USP""), ""Canal USP"",
   IF(REGEXMATCH(S124, ""Douer, Zack|Zack Douer""), ""Douer Zack"",
   IF(REGEXMATCH(S124, ""PRISIONEIRO 84\.901|PRISIONEIRO 84""), ""P"&amp;"risioneiro 84.901"",
   IF(REGEXMATCH(S124, ""^[^,]*, ""), 
        PROPER(REGEXREPLACE(REGEXEXTRACT(S124, ""^([^.]*)\.""), ""^([^,]*), (.*)"", ""$2 $1"")),
        PROPER(REGEXEXTRACT(S124, ""^([^.]*)\.""))
   )))))))))&amp;"")"",
IF(REGEXMATCH(S124, ""Spot"&amp;"ify|spotify""), 
   ""Spotify (""&amp;
   IF(REGEXMATCH(S124, ""ESTRANHO SORRISO""), ""Estranho Sorriso"",
   PROPER(REGEXEXTRACT(S124, ""^([^.]*)\.""))
   )&amp;"")"",
IF(REGEXMATCH(S124, ""Vimeo|vimeo""), 
   ""Vimeo (""&amp;
   IF(REGEXMATCH(S124, ""Passa Palavra"&amp;"""), ""Passa Palavra"",
   PROPER(REGEXEXTRACT(S124, ""^([^.]*)\.""))
   )&amp;"")"",
IF(REGEXMATCH(S124, ""Blogspot""), 
   ""Blogspot (""&amp;
   IF(REGEXMATCH(S124, ""rede2deoutubro""), ""Rede 02 de Outubro"",
   PROPER(REGEXEXTRACT(S124, ""^([^.]*)\.""))
   "&amp;")&amp;"")"",
IF(REGEXMATCH(S124, ""Facebook""), 
   ""Facebook (""&amp;
   IF(REGEXMATCH(S124, ""Mídia Ninja""), ""Mídia Ninja"",
   PROPER(REGEXEXTRACT(S124, ""^([^.]*)\.""))
   )&amp;"")"",
IF(REGEXMATCH(S124, ""Instagram""), 
   ""Instagram (""&amp;
   IF(REGEXMATCH"&amp;"(S124, ""Memórias Carandiru""), ""Memórias Carandiru"",
   PROPER(REGEXEXTRACT(S124, ""^([^.]*)\.""))
   )&amp;"")"",
IF(REGEXMATCH(S124, ""Folha de S\. Paulo|FOLHA DE S\. PAULO""), ""Folha de S. Paulo"",
IF(REGEXMATCH(S124, ""O Estado de S\. Paulo|ESTADAO"""&amp;"), ""O Estado de S. Paulo"",
IF(REGEXMATCH(S124, ""salasecreta""), ""Wordpress (Sala Secreta)"",
IF(REGEXMATCH(S124, ""Wikipedia|Wikipédia|WIKIPÉDIA""), ""Wikipedia"",
IF(REGEXMATCH(S124, ""VEJA|Veja""), ""Veja Abril"",
IF(REGEXMATCH(S396, ""Rede Globo|RE"&amp;"DE GLOBO""), ""Rede Globo"",
IF(REGEXMATCH(S396, ""G1|globo\.com""), ""G1"",
IF(REGEXMATCH(S124, ""Deutsche Welle|DW\.com""), ""Deutsche Welle"",
IF(REGEXMATCH(S124, ""CIDH|Comissão Interamericana""), ""Comissão Interamericana de Direitos Humanos (CIDH)"""&amp;",
IF(REGEXMATCH(S124, ""Pastoral Carcerária""), ""Pastoral Carcerária"",
IF(REGEXMATCH(S124, ""Esquerda Web""), ""Esquerda Web"",
IF(REGEXMATCH(S124, ""ONU|Organização das Nações Unidas""), ""ONU Brasil"",
IF(REGEXMATCH(S124, ""Quilombo Invisível""), ""Qu"&amp;"ilombo Invisível"",
IF(REGEXMATCH(S124, ""ALESP|Assembleia Legislativa""), ""ALESP"",
IF(REGEXMATCH(S124, ""Revista Opera""), ""Revista Opera"",
IF(REGEXMATCH(S124, ""SP Escola de Teatro""), ""SP Escola de Teatro"",
IF(REGEXMATCH(S124, ""EMC|Espaço Memóri"&amp;"a Carandiru""), ""EMC Espaço Memória Carandiru"",
IF(REGEXMATCH(S124, ""^RAMOS, Nuno|Nuno Ramos""), ""Nuno Ramos"",
IF(REGEXMATCH(S124, ""^VELOSO, Caetano|Caetano Veloso""), ""YouTube (Caetano Veloso)"",
IF(REGEXMATCH(S124, ""^FATOS REAIS""), ""YouTube ("&amp;"Fatos Reais - Topic)"",
IF(REGEXMATCH(S124, ""^SALA SECRETA""), ""Wordpress (Sala Secreta)"",
PROPER(REGEXEXTRACT(S124, ""^([^.]*)\.""))
))))))))))))))))))))))))))))))))))))))))))))))))))))))))"),"Instituto De Filosofia, Letras E Ciências Humanas Da Universidade Estadual De Campinas")</f>
        <v>Instituto De Filosofia, Letras E Ciências Humanas Da Universidade Estadual De Campinas</v>
      </c>
      <c r="N124" s="11" t="s">
        <v>47</v>
      </c>
      <c r="O124" s="11" t="s">
        <v>221</v>
      </c>
      <c r="P124" s="51">
        <v>45854.0</v>
      </c>
      <c r="Q124" s="11" t="s">
        <v>154</v>
      </c>
      <c r="R124" s="70" t="str">
        <f t="shared" si="8"/>
        <v>Aqui</v>
      </c>
      <c r="S124" s="172" t="s">
        <v>769</v>
      </c>
    </row>
    <row r="125">
      <c r="A125" s="11">
        <v>123.0</v>
      </c>
      <c r="B125" s="11" t="s">
        <v>770</v>
      </c>
      <c r="C125" s="122" t="s">
        <v>165</v>
      </c>
      <c r="D125" s="13" t="str">
        <f>IFERROR(__xludf.DUMMYFUNCTION("IF(B125="""","""",IF(OR(
  REGEXMATCH(B125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REGEXMATCH(B125,""público|Imediato|artística|teatral|memória"")
),""Público Imediato"",
IF(REGEXMATCH(B125,""Música|Álbum|Filme|Documentário|Série|Podc"&amp;"ast|Rádio|Audiotour|Entrevista|Reportagem|Crônica|Relatório|Abaixo-assinado|Manifesto|Petição|Poema|Livro|Fotografia|Curta|Live|Webinário|Charge|Leitura pública|Vídeo""),
""Público Mediado"","""")))
"),"Público Imediato")</f>
        <v>Público Imediato</v>
      </c>
      <c r="E125" s="13" t="str">
        <f>IFERROR(__xludf.DUMMYFUNCTION("IF(B125="""","""",IF(OR(
  REGEXMATCH(B125,""Live|Webinário|Virtual""),
  REGEXMATCH(B125,""online"")
),""Virtual"",
IF(REGEXMATCH(B125,""Música|Álbum|Filme|Documentário|Série|Podcast|Rádio|Audiotour|Episódio|Reportagem|Curta|Charge|Livro|Vídeo|Entrevista"&amp;"""),
""Midiático"",
IF(REGEXMATCH(B125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5" s="171">
        <v>44861.0</v>
      </c>
      <c r="G125" s="15">
        <f t="shared" si="1"/>
        <v>2022</v>
      </c>
      <c r="H125" s="11" t="s">
        <v>771</v>
      </c>
      <c r="I125" s="18" t="s">
        <v>772</v>
      </c>
      <c r="J125" s="17" t="s">
        <v>773</v>
      </c>
      <c r="K125" s="208" t="s">
        <v>83</v>
      </c>
      <c r="L125" s="209" t="s">
        <v>329</v>
      </c>
      <c r="M125" s="15" t="str">
        <f>IFERROR(__xludf.DUMMYFUNCTION("IF(REGEXMATCH(S125, ""Companhia das Letras""), ""Companhia das Letras"",
IF(REGEXMATCH(S125, ""Labortexto Editorial""), ""Labortexto Editorial"",
IF(REGEXMATCH(S125, ""Geração Editorial""), ""Geração Editorial"",
IF(REGEXMATCH(S125, ""Editora Imprensa Ofi"&amp;"cial|Imprensa Oficial""), ""Editora Imprensa Oficial"",
IF(REGEXMATCH(S125, ""Folha Online""), ""Folha Online"",
IF(REGEXMATCH(S125, ""FGV DIREITO SP|FGV Direito SP""), ""FGV DIREITO SP"",
IF(REGEXMATCH(S125, ""massacrecarandiru\.org\.br""), ""Memória Mas"&amp;"sacre Carandiru"",
IF(REGEXMATCH(S125, ""Itaú Cultural""), ""YouTube (Itaú Cultural)"",
IF(REGEXMATCH(S125, ""Passa Palavra""), ""Vimeo (Passa Palavra)"",
IF(REGEXMATCH(S125, ""rede2deoutubro\.blogspot""), ""Blogspot (Rede 02 de Outubro)"",
IF(REGEXMATCH("&amp;"S125, ""Rede TVT""), ""YouTube (Rede TVT)"",
IF(REGEXMATCH(S125, ""Esquerda Diário""), ""Esquerda Diário"",
IF(REGEXMATCH(S125, ""GZH""), ""GZH"",
IF(REGEXMATCH(S125, ""TVPUC""), ""TVPUC"",
IF(REGEXMATCH(S125, ""Mídia Ninja.*Facebook""), ""Facebook (Mídia"&amp;" Ninja)"",
IF(REGEXMATCH(S125, ""Memórias Carandiru.*Instagram""), ""Instagram (Memórias Carandiru)"",
IF(REGEXMATCH(S125, ""Frente pelo Desencarceramento SP""), ""YouTube (Frente Pelo Desencarceramento SP)"",
IF(REGEXMATCH(S125, ""TV ABA""), ""YouTube (T"&amp;"V ABA)"",
IF(REGEXMATCH(S125, ""TV SENADO""), ""YouTube (TV Senado)"",
IF(REGEXMATCH(S125, ""Google Arts &amp; Culture""), ""Google Arts &amp; Culture (Memória Massacre Carandiru)"",
IF(REGEXMATCH(S125, ""Anistia Internacional|ANISTIA INTERNACIONAL""), ""Anistia "&amp;"Internacional"",
IF(REGEXMATCH(S125, ""47\.mostra|47a Mostra""), ""47a Mostra Internacional de Cinema em São Paulo"",
IF(REGEXMATCH(S125, ""Canal USP""), ""YouTube (Canal USP)"",
IF(AND(
  REGEXMATCH(S125, ""(?i)(teses?\.usp\.br|dissertacoes?\.usp\.br|rep"&amp;"ositorio\.usp\.br)""),
  NOT(REGEXMATCH(S125, ""Canal USP""))
), ""Biblioteca Digital de Teses e Dissertações da USP"",
IF(REGEXMATCH(S125, ""SINTRAJUSC""), ""SINTRAJUSC"",
IF(REGEXMATCH(S125, ""Agência Brasil|Agencia Brasil""), ""Agência Brasil"",
IF(REG"&amp;"EXMATCH(S125, ""Brasil de Fato""), ""Brasil de Fato"",
IF(REGEXMATCH(S125, ""Ponte Jornalismo|pontejornalismo""), ""Ponte Jornalismo"",
IF(REGEXMATCH(S125, ""letras\.mus\.br|Letras,""), ""Letras"",
IF(REGEXMATCH(S125, ""YouTube|youtube""), 
   ""YouTube "&amp;"(""&amp;
   IF(REGEXMATCH(S125, ""Itaú Cultural""), ""Itaú Cultural"",
   IF(REGEXMATCH(S125, ""Rede TVT""), ""Rede TVT"",
   IF(REGEXMATCH(S125, ""Frente pelo Desencarceramento SP""), ""Frente Pelo Desencarceramento SP"",
   IF(REGEXMATCH(S125, ""TV ABA""), "&amp;"""TV ABA"",
   IF(REGEXMATCH(S125, ""TV SENADO""), ""TV Senado"",
   IF(REGEXMATCH(S125, ""Canal USP""), ""Canal USP"",
   IF(REGEXMATCH(S125, ""Douer, Zack|Zack Douer""), ""Douer Zack"",
   IF(REGEXMATCH(S125, ""PRISIONEIRO 84\.901|PRISIONEIRO 84""), ""P"&amp;"risioneiro 84.901"",
   IF(REGEXMATCH(S125, ""^[^,]*, ""), 
        PROPER(REGEXREPLACE(REGEXEXTRACT(S125, ""^([^.]*)\.""), ""^([^,]*), (.*)"", ""$2 $1"")),
        PROPER(REGEXEXTRACT(S125, ""^([^.]*)\.""))
   )))))))))&amp;"")"",
IF(REGEXMATCH(S125, ""Spot"&amp;"ify|spotify""), 
   ""Spotify (""&amp;
   IF(REGEXMATCH(S125, ""ESTRANHO SORRISO""), ""Estranho Sorriso"",
   PROPER(REGEXEXTRACT(S125, ""^([^.]*)\.""))
   )&amp;"")"",
IF(REGEXMATCH(S125, ""Vimeo|vimeo""), 
   ""Vimeo (""&amp;
   IF(REGEXMATCH(S125, ""Passa Palavra"&amp;"""), ""Passa Palavra"",
   PROPER(REGEXEXTRACT(S125, ""^([^.]*)\.""))
   )&amp;"")"",
IF(REGEXMATCH(S125, ""Blogspot""), 
   ""Blogspot (""&amp;
   IF(REGEXMATCH(S125, ""rede2deoutubro""), ""Rede 02 de Outubro"",
   PROPER(REGEXEXTRACT(S125, ""^([^.]*)\.""))
   "&amp;")&amp;"")"",
IF(REGEXMATCH(S125, ""Facebook""), 
   ""Facebook (""&amp;
   IF(REGEXMATCH(S125, ""Mídia Ninja""), ""Mídia Ninja"",
   PROPER(REGEXEXTRACT(S125, ""^([^.]*)\.""))
   )&amp;"")"",
IF(REGEXMATCH(S125, ""Instagram""), 
   ""Instagram (""&amp;
   IF(REGEXMATCH"&amp;"(S125, ""Memórias Carandiru""), ""Memórias Carandiru"",
   PROPER(REGEXEXTRACT(S125, ""^([^.]*)\.""))
   )&amp;"")"",
IF(REGEXMATCH(S125, ""Folha de S\. Paulo|FOLHA DE S\. PAULO""), ""Folha de S. Paulo"",
IF(REGEXMATCH(S125, ""O Estado de S\. Paulo|ESTADAO"""&amp;"), ""O Estado de S. Paulo"",
IF(REGEXMATCH(S125, ""salasecreta""), ""Wordpress (Sala Secreta)"",
IF(REGEXMATCH(S125, ""Wikipedia|Wikipédia|WIKIPÉDIA""), ""Wikipedia"",
IF(REGEXMATCH(S125, ""VEJA|Veja""), ""Veja Abril"",
IF(REGEXMATCH(S397, ""Rede Globo|RE"&amp;"DE GLOBO""), ""Rede Globo"",
IF(REGEXMATCH(S397, ""G1|globo\.com""), ""G1"",
IF(REGEXMATCH(S125, ""Deutsche Welle|DW\.com""), ""Deutsche Welle"",
IF(REGEXMATCH(S125, ""CIDH|Comissão Interamericana""), ""Comissão Interamericana de Direitos Humanos (CIDH)"""&amp;",
IF(REGEXMATCH(S125, ""Pastoral Carcerária""), ""Pastoral Carcerária"",
IF(REGEXMATCH(S125, ""Esquerda Web""), ""Esquerda Web"",
IF(REGEXMATCH(S125, ""ONU|Organização das Nações Unidas""), ""ONU Brasil"",
IF(REGEXMATCH(S125, ""Quilombo Invisível""), ""Qu"&amp;"ilombo Invisível"",
IF(REGEXMATCH(S125, ""ALESP|Assembleia Legislativa""), ""ALESP"",
IF(REGEXMATCH(S125, ""Revista Opera""), ""Revista Opera"",
IF(REGEXMATCH(S125, ""SP Escola de Teatro""), ""SP Escola de Teatro"",
IF(REGEXMATCH(S125, ""EMC|Espaço Memóri"&amp;"a Carandiru""), ""EMC Espaço Memória Carandiru"",
IF(REGEXMATCH(S125, ""^RAMOS, Nuno|Nuno Ramos""), ""Nuno Ramos"",
IF(REGEXMATCH(S125, ""^VELOSO, Caetano|Caetano Veloso""), ""YouTube (Caetano Veloso)"",
IF(REGEXMATCH(S125, ""^FATOS REAIS""), ""YouTube ("&amp;"Fatos Reais - Topic)"",
IF(REGEXMATCH(S125, ""^SALA SECRETA""), ""Wordpress (Sala Secreta)"",
PROPER(REGEXEXTRACT(S125, ""^([^.]*)\.""))
))))))))))))))))))))))))))))))))))))))))))))))))))))))))"),"YouTube (TV Senado)")</f>
        <v>YouTube (TV Senado)</v>
      </c>
      <c r="N125" s="11" t="s">
        <v>47</v>
      </c>
      <c r="O125" s="11" t="s">
        <v>221</v>
      </c>
      <c r="P125" s="51">
        <v>45854.0</v>
      </c>
      <c r="Q125" s="11" t="s">
        <v>154</v>
      </c>
      <c r="R125" s="70" t="str">
        <f t="shared" si="8"/>
        <v>Aqui</v>
      </c>
      <c r="S125" s="180" t="s">
        <v>774</v>
      </c>
    </row>
    <row r="126">
      <c r="A126" s="11">
        <v>124.0</v>
      </c>
      <c r="B126" s="11" t="s">
        <v>775</v>
      </c>
      <c r="C126" s="12" t="str">
        <f>IFERROR(__xludf.DUMMYFUNCTION("IF(B126="""","""",IF(OR(
  REGEXMATCH(B126,""Performance|Instalação|Álbum|Música|Poema|Livro|Filme|Documentário|Recitação|Espetáculo|Peça|Intervenção|Desfile|Fotografia|Exposição|Charge|Grafite|Leitura pública|Fabricação de cachaça artesanal""),
  REGEXMA"&amp;"TCH(B126,""dança|teatral|artístico|musical|artística"")
),""Manifestação artístico-cultural"",
IF(OR(
  REGEXMATCH(B126,""Crônica|Série|Reportagem|Podcast|Audiotour|Entrevista|Vídeo|Rádio""),
  REGEXMATCH(B126,""midiática"")
),""Produção midiática"","""")"&amp;"))
"),"Manifestação artístico-cultural")</f>
        <v>Manifestação artístico-cultural</v>
      </c>
      <c r="D126" s="13" t="str">
        <f>IFERROR(__xludf.DUMMYFUNCTION("IF(B126="""","""",IF(OR(
  REGEXMATCH(B126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REGEXMATCH(B126,""público|Imediato|artística|teatral|memória"")
),""Público Imediato"",
IF(REGEXMATCH(B126,""Música|Álbum|Filme|Documentário|Série|Podc"&amp;"ast|Rádio|Audiotour|Entrevista|Reportagem|Crônica|Relatório|Abaixo-assinado|Manifesto|Petição|Poema|Livro|Fotografia|Curta|Live|Webinário|Charge|Leitura pública|Vídeo""),
""Público Mediado"","""")))
"),"Público Imediato")</f>
        <v>Público Imediato</v>
      </c>
      <c r="E126" s="13" t="str">
        <f>IFERROR(__xludf.DUMMYFUNCTION("IF(B126="""","""",IF(OR(
  REGEXMATCH(B126,""Live|Webinário|Virtual""),
  REGEXMATCH(B126,""online"")
),""Virtual"",
IF(REGEXMATCH(B126,""Música|Álbum|Filme|Documentário|Série|Podcast|Rádio|Audiotour|Episódio|Reportagem|Curta|Charge|Livro|Vídeo|Entrevista"&amp;"""),
""Midiático"",
IF(REGEXMATCH(B126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6" s="183">
        <v>44871.0</v>
      </c>
      <c r="G126" s="15">
        <f t="shared" si="1"/>
        <v>2022</v>
      </c>
      <c r="H126" s="11" t="s">
        <v>603</v>
      </c>
      <c r="I126" s="18" t="s">
        <v>776</v>
      </c>
      <c r="J126" s="17" t="s">
        <v>777</v>
      </c>
      <c r="K126" s="208" t="s">
        <v>26</v>
      </c>
      <c r="L126" s="209" t="s">
        <v>489</v>
      </c>
      <c r="M126" s="15" t="str">
        <f>IFERROR(__xludf.DUMMYFUNCTION("IF(REGEXMATCH(S126, ""Companhia das Letras""), ""Companhia das Letras"",
IF(REGEXMATCH(S126, ""Labortexto Editorial""), ""Labortexto Editorial"",
IF(REGEXMATCH(S126, ""Geração Editorial""), ""Geração Editorial"",
IF(REGEXMATCH(S126, ""Editora Imprensa Ofi"&amp;"cial|Imprensa Oficial""), ""Editora Imprensa Oficial"",
IF(REGEXMATCH(S126, ""Folha Online""), ""Folha Online"",
IF(REGEXMATCH(S126, ""FGV DIREITO SP|FGV Direito SP""), ""FGV DIREITO SP"",
IF(REGEXMATCH(S126, ""massacrecarandiru\.org\.br""), ""Memória Mas"&amp;"sacre Carandiru"",
IF(REGEXMATCH(S126, ""Itaú Cultural""), ""YouTube (Itaú Cultural)"",
IF(REGEXMATCH(S126, ""Passa Palavra""), ""Vimeo (Passa Palavra)"",
IF(REGEXMATCH(S126, ""rede2deoutubro\.blogspot""), ""Blogspot (Rede 02 de Outubro)"",
IF(REGEXMATCH("&amp;"S126, ""Rede TVT""), ""YouTube (Rede TVT)"",
IF(REGEXMATCH(S126, ""Esquerda Diário""), ""Esquerda Diário"",
IF(REGEXMATCH(S126, ""GZH""), ""GZH"",
IF(REGEXMATCH(S126, ""TVPUC""), ""TVPUC"",
IF(REGEXMATCH(S126, ""Mídia Ninja.*Facebook""), ""Facebook (Mídia"&amp;" Ninja)"",
IF(REGEXMATCH(S126, ""Memórias Carandiru.*Instagram""), ""Instagram (Memórias Carandiru)"",
IF(REGEXMATCH(S126, ""Frente pelo Desencarceramento SP""), ""YouTube (Frente Pelo Desencarceramento SP)"",
IF(REGEXMATCH(S126, ""TV ABA""), ""YouTube (T"&amp;"V ABA)"",
IF(REGEXMATCH(S126, ""TV SENADO""), ""YouTube (TV Senado)"",
IF(REGEXMATCH(S126, ""Google Arts &amp; Culture""), ""Google Arts &amp; Culture (Memória Massacre Carandiru)"",
IF(REGEXMATCH(S126, ""Anistia Internacional|ANISTIA INTERNACIONAL""), ""Anistia "&amp;"Internacional"",
IF(REGEXMATCH(S126, ""47\.mostra|47a Mostra""), ""47a Mostra Internacional de Cinema em São Paulo"",
IF(REGEXMATCH(S126, ""Canal USP""), ""YouTube (Canal USP)"",
IF(AND(
  REGEXMATCH(S126, ""(?i)(teses?\.usp\.br|dissertacoes?\.usp\.br|rep"&amp;"ositorio\.usp\.br)""),
  NOT(REGEXMATCH(S126, ""Canal USP""))
), ""Biblioteca Digital de Teses e Dissertações da USP"",
IF(REGEXMATCH(S126, ""SINTRAJUSC""), ""SINTRAJUSC"",
IF(REGEXMATCH(S126, ""Agência Brasil|Agencia Brasil""), ""Agência Brasil"",
IF(REG"&amp;"EXMATCH(S126, ""Brasil de Fato""), ""Brasil de Fato"",
IF(REGEXMATCH(S126, ""Ponte Jornalismo|pontejornalismo""), ""Ponte Jornalismo"",
IF(REGEXMATCH(S126, ""letras\.mus\.br|Letras,""), ""Letras"",
IF(REGEXMATCH(S126, ""YouTube|youtube""), 
   ""YouTube "&amp;"(""&amp;
   IF(REGEXMATCH(S126, ""Itaú Cultural""), ""Itaú Cultural"",
   IF(REGEXMATCH(S126, ""Rede TVT""), ""Rede TVT"",
   IF(REGEXMATCH(S126, ""Frente pelo Desencarceramento SP""), ""Frente Pelo Desencarceramento SP"",
   IF(REGEXMATCH(S126, ""TV ABA""), "&amp;"""TV ABA"",
   IF(REGEXMATCH(S126, ""TV SENADO""), ""TV Senado"",
   IF(REGEXMATCH(S126, ""Canal USP""), ""Canal USP"",
   IF(REGEXMATCH(S126, ""Douer, Zack|Zack Douer""), ""Douer Zack"",
   IF(REGEXMATCH(S126, ""PRISIONEIRO 84\.901|PRISIONEIRO 84""), ""P"&amp;"risioneiro 84.901"",
   IF(REGEXMATCH(S126, ""^[^,]*, ""), 
        PROPER(REGEXREPLACE(REGEXEXTRACT(S126, ""^([^.]*)\.""), ""^([^,]*), (.*)"", ""$2 $1"")),
        PROPER(REGEXEXTRACT(S126, ""^([^.]*)\.""))
   )))))))))&amp;"")"",
IF(REGEXMATCH(S126, ""Spot"&amp;"ify|spotify""), 
   ""Spotify (""&amp;
   IF(REGEXMATCH(S126, ""ESTRANHO SORRISO""), ""Estranho Sorriso"",
   PROPER(REGEXEXTRACT(S126, ""^([^.]*)\.""))
   )&amp;"")"",
IF(REGEXMATCH(S126, ""Vimeo|vimeo""), 
   ""Vimeo (""&amp;
   IF(REGEXMATCH(S126, ""Passa Palavra"&amp;"""), ""Passa Palavra"",
   PROPER(REGEXEXTRACT(S126, ""^([^.]*)\.""))
   )&amp;"")"",
IF(REGEXMATCH(S126, ""Blogspot""), 
   ""Blogspot (""&amp;
   IF(REGEXMATCH(S126, ""rede2deoutubro""), ""Rede 02 de Outubro"",
   PROPER(REGEXEXTRACT(S126, ""^([^.]*)\.""))
   "&amp;")&amp;"")"",
IF(REGEXMATCH(S126, ""Facebook""), 
   ""Facebook (""&amp;
   IF(REGEXMATCH(S126, ""Mídia Ninja""), ""Mídia Ninja"",
   PROPER(REGEXEXTRACT(S126, ""^([^.]*)\.""))
   )&amp;"")"",
IF(REGEXMATCH(S126, ""Instagram""), 
   ""Instagram (""&amp;
   IF(REGEXMATCH"&amp;"(S126, ""Memórias Carandiru""), ""Memórias Carandiru"",
   PROPER(REGEXEXTRACT(S126, ""^([^.]*)\.""))
   )&amp;"")"",
IF(REGEXMATCH(S126, ""Folha de S\. Paulo|FOLHA DE S\. PAULO""), ""Folha de S. Paulo"",
IF(REGEXMATCH(S126, ""O Estado de S\. Paulo|ESTADAO"""&amp;"), ""O Estado de S. Paulo"",
IF(REGEXMATCH(S126, ""salasecreta""), ""Wordpress (Sala Secreta)"",
IF(REGEXMATCH(S126, ""Wikipedia|Wikipédia|WIKIPÉDIA""), ""Wikipedia"",
IF(REGEXMATCH(S126, ""VEJA|Veja""), ""Veja Abril"",
IF(REGEXMATCH(S398, ""Rede Globo|RE"&amp;"DE GLOBO""), ""Rede Globo"",
IF(REGEXMATCH(S398, ""G1|globo\.com""), ""G1"",
IF(REGEXMATCH(S126, ""Deutsche Welle|DW\.com""), ""Deutsche Welle"",
IF(REGEXMATCH(S126, ""CIDH|Comissão Interamericana""), ""Comissão Interamericana de Direitos Humanos (CIDH)"""&amp;",
IF(REGEXMATCH(S126, ""Pastoral Carcerária""), ""Pastoral Carcerária"",
IF(REGEXMATCH(S126, ""Esquerda Web""), ""Esquerda Web"",
IF(REGEXMATCH(S126, ""ONU|Organização das Nações Unidas""), ""ONU Brasil"",
IF(REGEXMATCH(S126, ""Quilombo Invisível""), ""Qu"&amp;"ilombo Invisível"",
IF(REGEXMATCH(S126, ""ALESP|Assembleia Legislativa""), ""ALESP"",
IF(REGEXMATCH(S126, ""Revista Opera""), ""Revista Opera"",
IF(REGEXMATCH(S126, ""SP Escola de Teatro""), ""SP Escola de Teatro"",
IF(REGEXMATCH(S126, ""EMC|Espaço Memóri"&amp;"a Carandiru""), ""EMC Espaço Memória Carandiru"",
IF(REGEXMATCH(S126, ""^RAMOS, Nuno|Nuno Ramos""), ""Nuno Ramos"",
IF(REGEXMATCH(S126, ""^VELOSO, Caetano|Caetano Veloso""), ""YouTube (Caetano Veloso)"",
IF(REGEXMATCH(S126, ""^FATOS REAIS""), ""YouTube ("&amp;"Fatos Reais - Topic)"",
IF(REGEXMATCH(S126, ""^SALA SECRETA""), ""Wordpress (Sala Secreta)"",
PROPER(REGEXEXTRACT(S126, ""^([^.]*)\.""))
))))))))))))))))))))))))))))))))))))))))))))))))))))))))"),"Brasil de Fato")</f>
        <v>Brasil de Fato</v>
      </c>
      <c r="N126" s="11" t="s">
        <v>47</v>
      </c>
      <c r="O126" s="11" t="s">
        <v>149</v>
      </c>
      <c r="P126" s="51">
        <v>45853.0</v>
      </c>
      <c r="Q126" s="11" t="s">
        <v>154</v>
      </c>
      <c r="R126" s="70" t="str">
        <f t="shared" si="8"/>
        <v>Aqui</v>
      </c>
      <c r="S126" s="75" t="s">
        <v>778</v>
      </c>
    </row>
    <row r="127">
      <c r="A127" s="11">
        <v>125.0</v>
      </c>
      <c r="B127" s="11" t="s">
        <v>703</v>
      </c>
      <c r="C127" s="12" t="str">
        <f>IFERROR(__xludf.DUMMYFUNCTION("IF(B127="""","""",IF(OR(
  REGEXMATCH(B127,""Performance|Instalação|Álbum|Música|Poema|Livro|Filme|Documentário|Recitação|Espetáculo|Peça|Intervenção|Desfile|Fotografia|Exposição|Charge|Grafite|Leitura pública|Fabricação de cachaça artesanal""),
  REGEXMA"&amp;"TCH(B127,""dança|teatral|artístico|musical|artística"")
),""Manifestação artístico-cultural"",
IF(OR(
  REGEXMATCH(B127,""Crônica|Série|Reportagem|Podcast|Audiotour|Entrevista|Vídeo|Rádio""),
  REGEXMATCH(B127,""midiática"")
),""Produção midiática"","""")"&amp;"))
"),"Produção midiática")</f>
        <v>Produção midiática</v>
      </c>
      <c r="D127" s="13" t="str">
        <f>IFERROR(__xludf.DUMMYFUNCTION("IF(B127="""","""",IF(OR(
  REGEXMATCH(B127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REGEXMATCH(B127,""público|Imediato|artística|teatral|memória"")
),""Público Imediato"",
IF(REGEXMATCH(B127,""Música|Álbum|Filme|Documentário|Série|Podc"&amp;"ast|Rádio|Audiotour|Entrevista|Reportagem|Crônica|Relatório|Abaixo-assinado|Manifesto|Petição|Poema|Livro|Fotografia|Curta|Live|Webinário|Charge|Leitura pública|Vídeo""),
""Público Mediado"","""")))
"),"Público Mediado")</f>
        <v>Público Mediado</v>
      </c>
      <c r="E127" s="13" t="str">
        <f>IFERROR(__xludf.DUMMYFUNCTION("IF(B127="""","""",IF(OR(
  REGEXMATCH(B127,""Live|Webinário|Virtual""),
  REGEXMATCH(B127,""online"")
),""Virtual"",
IF(REGEXMATCH(B127,""Música|Álbum|Filme|Documentário|Série|Podcast|Rádio|Audiotour|Episódio|Reportagem|Curta|Charge|Livro|Vídeo|Entrevista"&amp;"""),
""Midiático"",
IF(REGEXMATCH(B127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7" s="183">
        <v>44833.0</v>
      </c>
      <c r="G127" s="15">
        <f t="shared" si="1"/>
        <v>2022</v>
      </c>
      <c r="H127" s="181" t="s">
        <v>347</v>
      </c>
      <c r="I127" s="18" t="s">
        <v>779</v>
      </c>
      <c r="J127" s="169" t="str">
        <f>IFERROR(__xludf.DUMMYFUNCTION("REGEXEXTRACT(S127, ""\.\s(.*?)\s*YouTube"")"),"O que aconteceu no Carandiru?")</f>
        <v>O que aconteceu no Carandiru?</v>
      </c>
      <c r="K127" s="208" t="s">
        <v>83</v>
      </c>
      <c r="L127" s="209" t="s">
        <v>329</v>
      </c>
      <c r="M127" s="15" t="str">
        <f>IFERROR(__xludf.DUMMYFUNCTION("IF(REGEXMATCH(S127, ""Companhia das Letras""), ""Companhia das Letras"",
IF(REGEXMATCH(S127, ""Labortexto Editorial""), ""Labortexto Editorial"",
IF(REGEXMATCH(S127, ""Geração Editorial""), ""Geração Editorial"",
IF(REGEXMATCH(S127, ""Editora Imprensa Ofi"&amp;"cial|Imprensa Oficial""), ""Editora Imprensa Oficial"",
IF(REGEXMATCH(S127, ""Folha Online""), ""Folha Online"",
IF(REGEXMATCH(S127, ""FGV DIREITO SP|FGV Direito SP""), ""FGV DIREITO SP"",
IF(REGEXMATCH(S127, ""massacrecarandiru\.org\.br""), ""Memória Mas"&amp;"sacre Carandiru"",
IF(REGEXMATCH(S127, ""Itaú Cultural""), ""YouTube (Itaú Cultural)"",
IF(REGEXMATCH(S127, ""Passa Palavra""), ""Vimeo (Passa Palavra)"",
IF(REGEXMATCH(S127, ""rede2deoutubro\.blogspot""), ""Blogspot (Rede 02 de Outubro)"",
IF(REGEXMATCH("&amp;"S127, ""Rede TVT""), ""YouTube (Rede TVT)"",
IF(REGEXMATCH(S127, ""Esquerda Diário""), ""Esquerda Diário"",
IF(REGEXMATCH(S127, ""GZH""), ""GZH"",
IF(REGEXMATCH(S127, ""TVPUC""), ""TVPUC"",
IF(REGEXMATCH(S127, ""Mídia Ninja.*Facebook""), ""Facebook (Mídia"&amp;" Ninja)"",
IF(REGEXMATCH(S127, ""Memórias Carandiru.*Instagram""), ""Instagram (Memórias Carandiru)"",
IF(REGEXMATCH(S127, ""Frente pelo Desencarceramento SP""), ""YouTube (Frente Pelo Desencarceramento SP)"",
IF(REGEXMATCH(S127, ""TV ABA""), ""YouTube (T"&amp;"V ABA)"",
IF(REGEXMATCH(S127, ""TV SENADO""), ""YouTube (TV Senado)"",
IF(REGEXMATCH(S127, ""Google Arts &amp; Culture""), ""Google Arts &amp; Culture (Memória Massacre Carandiru)"",
IF(REGEXMATCH(S127, ""Anistia Internacional|ANISTIA INTERNACIONAL""), ""Anistia "&amp;"Internacional"",
IF(REGEXMATCH(S127, ""47\.mostra|47a Mostra""), ""47a Mostra Internacional de Cinema em São Paulo"",
IF(REGEXMATCH(S127, ""Canal USP""), ""YouTube (Canal USP)"",
IF(AND(
  REGEXMATCH(S127, ""(?i)(teses?\.usp\.br|dissertacoes?\.usp\.br|rep"&amp;"ositorio\.usp\.br)""),
  NOT(REGEXMATCH(S127, ""Canal USP""))
), ""Biblioteca Digital de Teses e Dissertações da USP"",
IF(REGEXMATCH(S127, ""SINTRAJUSC""), ""SINTRAJUSC"",
IF(REGEXMATCH(S127, ""Agência Brasil|Agencia Brasil""), ""Agência Brasil"",
IF(REG"&amp;"EXMATCH(S127, ""Brasil de Fato""), ""Brasil de Fato"",
IF(REGEXMATCH(S127, ""Ponte Jornalismo|pontejornalismo""), ""Ponte Jornalismo"",
IF(REGEXMATCH(S127, ""letras\.mus\.br|Letras,""), ""Letras"",
IF(REGEXMATCH(S127, ""YouTube|youtube""), 
   ""YouTube "&amp;"(""&amp;
   IF(REGEXMATCH(S127, ""Itaú Cultural""), ""Itaú Cultural"",
   IF(REGEXMATCH(S127, ""Rede TVT""), ""Rede TVT"",
   IF(REGEXMATCH(S127, ""Frente pelo Desencarceramento SP""), ""Frente Pelo Desencarceramento SP"",
   IF(REGEXMATCH(S127, ""TV ABA""), "&amp;"""TV ABA"",
   IF(REGEXMATCH(S127, ""TV SENADO""), ""TV Senado"",
   IF(REGEXMATCH(S127, ""Canal USP""), ""Canal USP"",
   IF(REGEXMATCH(S127, ""Douer, Zack|Zack Douer""), ""Douer Zack"",
   IF(REGEXMATCH(S127, ""PRISIONEIRO 84\.901|PRISIONEIRO 84""), ""P"&amp;"risioneiro 84.901"",
   IF(REGEXMATCH(S127, ""^[^,]*, ""), 
        PROPER(REGEXREPLACE(REGEXEXTRACT(S127, ""^([^.]*)\.""), ""^([^,]*), (.*)"", ""$2 $1"")),
        PROPER(REGEXEXTRACT(S127, ""^([^.]*)\.""))
   )))))))))&amp;"")"",
IF(REGEXMATCH(S127, ""Spot"&amp;"ify|spotify""), 
   ""Spotify (""&amp;
   IF(REGEXMATCH(S127, ""ESTRANHO SORRISO""), ""Estranho Sorriso"",
   PROPER(REGEXEXTRACT(S127, ""^([^.]*)\.""))
   )&amp;"")"",
IF(REGEXMATCH(S127, ""Vimeo|vimeo""), 
   ""Vimeo (""&amp;
   IF(REGEXMATCH(S127, ""Passa Palavra"&amp;"""), ""Passa Palavra"",
   PROPER(REGEXEXTRACT(S127, ""^([^.]*)\.""))
   )&amp;"")"",
IF(REGEXMATCH(S127, ""Blogspot""), 
   ""Blogspot (""&amp;
   IF(REGEXMATCH(S127, ""rede2deoutubro""), ""Rede 02 de Outubro"",
   PROPER(REGEXEXTRACT(S127, ""^([^.]*)\.""))
   "&amp;")&amp;"")"",
IF(REGEXMATCH(S127, ""Facebook""), 
   ""Facebook (""&amp;
   IF(REGEXMATCH(S127, ""Mídia Ninja""), ""Mídia Ninja"",
   PROPER(REGEXEXTRACT(S127, ""^([^.]*)\.""))
   )&amp;"")"",
IF(REGEXMATCH(S127, ""Instagram""), 
   ""Instagram (""&amp;
   IF(REGEXMATCH"&amp;"(S127, ""Memórias Carandiru""), ""Memórias Carandiru"",
   PROPER(REGEXEXTRACT(S127, ""^([^.]*)\.""))
   )&amp;"")"",
IF(REGEXMATCH(S127, ""Folha de S\. Paulo|FOLHA DE S\. PAULO""), ""Folha de S. Paulo"",
IF(REGEXMATCH(S127, ""O Estado de S\. Paulo|ESTADAO"""&amp;"), ""O Estado de S. Paulo"",
IF(REGEXMATCH(S127, ""salasecreta""), ""Wordpress (Sala Secreta)"",
IF(REGEXMATCH(S127, ""Wikipedia|Wikipédia|WIKIPÉDIA""), ""Wikipedia"",
IF(REGEXMATCH(S127, ""VEJA|Veja""), ""Veja Abril"",
IF(REGEXMATCH(S399, ""Rede Globo|RE"&amp;"DE GLOBO""), ""Rede Globo"",
IF(REGEXMATCH(S399, ""G1|globo\.com""), ""G1"",
IF(REGEXMATCH(S127, ""Deutsche Welle|DW\.com""), ""Deutsche Welle"",
IF(REGEXMATCH(S127, ""CIDH|Comissão Interamericana""), ""Comissão Interamericana de Direitos Humanos (CIDH)"""&amp;",
IF(REGEXMATCH(S127, ""Pastoral Carcerária""), ""Pastoral Carcerária"",
IF(REGEXMATCH(S127, ""Esquerda Web""), ""Esquerda Web"",
IF(REGEXMATCH(S127, ""ONU|Organização das Nações Unidas""), ""ONU Brasil"",
IF(REGEXMATCH(S127, ""Quilombo Invisível""), ""Qu"&amp;"ilombo Invisível"",
IF(REGEXMATCH(S127, ""ALESP|Assembleia Legislativa""), ""ALESP"",
IF(REGEXMATCH(S127, ""Revista Opera""), ""Revista Opera"",
IF(REGEXMATCH(S127, ""SP Escola de Teatro""), ""SP Escola de Teatro"",
IF(REGEXMATCH(S127, ""EMC|Espaço Memóri"&amp;"a Carandiru""), ""EMC Espaço Memória Carandiru"",
IF(REGEXMATCH(S127, ""^RAMOS, Nuno|Nuno Ramos""), ""Nuno Ramos"",
IF(REGEXMATCH(S127, ""^VELOSO, Caetano|Caetano Veloso""), ""YouTube (Caetano Veloso)"",
IF(REGEXMATCH(S127, ""^FATOS REAIS""), ""YouTube ("&amp;"Fatos Reais - Topic)"",
IF(REGEXMATCH(S127, ""^SALA SECRETA""), ""Wordpress (Sala Secreta)"",
PROPER(REGEXEXTRACT(S127, ""^([^.]*)\.""))
))))))))))))))))))))))))))))))))))))))))))))))))))))))))"),"YouTube (Vogalizando A História)")</f>
        <v>YouTube (Vogalizando A História)</v>
      </c>
      <c r="N127" s="11" t="s">
        <v>47</v>
      </c>
      <c r="O127" s="14" t="s">
        <v>342</v>
      </c>
      <c r="P127" s="171">
        <v>45945.0</v>
      </c>
      <c r="Q127" s="11" t="s">
        <v>154</v>
      </c>
      <c r="R127" s="70" t="str">
        <f t="shared" si="8"/>
        <v>Aqui</v>
      </c>
      <c r="S127" s="172" t="s">
        <v>780</v>
      </c>
    </row>
    <row r="128">
      <c r="A128" s="11">
        <v>126.0</v>
      </c>
      <c r="B128" s="11" t="s">
        <v>703</v>
      </c>
      <c r="C128" s="12" t="str">
        <f>IFERROR(__xludf.DUMMYFUNCTION("IF(B128="""","""",IF(OR(
  REGEXMATCH(B128,""Performance|Instalação|Álbum|Música|Poema|Livro|Filme|Documentário|Recitação|Espetáculo|Peça|Intervenção|Desfile|Fotografia|Exposição|Charge|Grafite|Leitura pública|Fabricação de cachaça artesanal""),
  REGEXMA"&amp;"TCH(B128,""dança|teatral|artístico|musical|artística"")
),""Manifestação artístico-cultural"",
IF(OR(
  REGEXMATCH(B128,""Crônica|Série|Reportagem|Podcast|Audiotour|Entrevista|Vídeo|Rádio""),
  REGEXMATCH(B128,""midiática"")
),""Produção midiática"","""")"&amp;"))
"),"Produção midiática")</f>
        <v>Produção midiática</v>
      </c>
      <c r="D128" s="13" t="str">
        <f>IFERROR(__xludf.DUMMYFUNCTION("IF(B128="""","""",IF(OR(
  REGEXMATCH(B128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REGEXMATCH(B128,""público|Imediato|artística|teatral|memória"")
),""Público Imediato"",
IF(REGEXMATCH(B128,""Música|Álbum|Filme|Documentário|Série|Podc"&amp;"ast|Rádio|Audiotour|Entrevista|Reportagem|Crônica|Relatório|Abaixo-assinado|Manifesto|Petição|Poema|Livro|Fotografia|Curta|Live|Webinário|Charge|Leitura pública|Vídeo""),
""Público Mediado"","""")))
"),"Público Mediado")</f>
        <v>Público Mediado</v>
      </c>
      <c r="E128" s="13" t="str">
        <f>IFERROR(__xludf.DUMMYFUNCTION("IF(B128="""","""",IF(OR(
  REGEXMATCH(B128,""Live|Webinário|Virtual""),
  REGEXMATCH(B128,""online"")
),""Virtual"",
IF(REGEXMATCH(B128,""Música|Álbum|Filme|Documentário|Série|Podcast|Rádio|Audiotour|Episódio|Reportagem|Curta|Charge|Livro|Vídeo|Entrevista"&amp;"""),
""Midiático"",
IF(REGEXMATCH(B128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8" s="171">
        <v>44907.0</v>
      </c>
      <c r="G128" s="15">
        <f t="shared" si="1"/>
        <v>2022</v>
      </c>
      <c r="H128" s="181" t="s">
        <v>347</v>
      </c>
      <c r="I128" s="18" t="s">
        <v>688</v>
      </c>
      <c r="J128" s="169" t="str">
        <f>IFERROR(__xludf.DUMMYFUNCTION("REGEXEXTRACT(S128, ""\.\s(.*?)\s*YouTube"")"),"Massacre do Carandiru: o que aconteceu horas antes da rebelião.")</f>
        <v>Massacre do Carandiru: o que aconteceu horas antes da rebelião.</v>
      </c>
      <c r="K128" s="208" t="s">
        <v>83</v>
      </c>
      <c r="L128" s="209" t="s">
        <v>329</v>
      </c>
      <c r="M128" s="15" t="str">
        <f>IFERROR(__xludf.DUMMYFUNCTION("IF(REGEXMATCH(S128, ""Companhia das Letras""), ""Companhia das Letras"",
IF(REGEXMATCH(S128, ""Labortexto Editorial""), ""Labortexto Editorial"",
IF(REGEXMATCH(S128, ""Geração Editorial""), ""Geração Editorial"",
IF(REGEXMATCH(S128, ""Editora Imprensa Ofi"&amp;"cial|Imprensa Oficial""), ""Editora Imprensa Oficial"",
IF(REGEXMATCH(S128, ""Folha Online""), ""Folha Online"",
IF(REGEXMATCH(S128, ""FGV DIREITO SP|FGV Direito SP""), ""FGV DIREITO SP"",
IF(REGEXMATCH(S128, ""massacrecarandiru\.org\.br""), ""Memória Mas"&amp;"sacre Carandiru"",
IF(REGEXMATCH(S128, ""Itaú Cultural""), ""YouTube (Itaú Cultural)"",
IF(REGEXMATCH(S128, ""Passa Palavra""), ""Vimeo (Passa Palavra)"",
IF(REGEXMATCH(S128, ""rede2deoutubro\.blogspot""), ""Blogspot (Rede 02 de Outubro)"",
IF(REGEXMATCH("&amp;"S128, ""Rede TVT""), ""YouTube (Rede TVT)"",
IF(REGEXMATCH(S128, ""Esquerda Diário""), ""Esquerda Diário"",
IF(REGEXMATCH(S128, ""GZH""), ""GZH"",
IF(REGEXMATCH(S128, ""TVPUC""), ""TVPUC"",
IF(REGEXMATCH(S128, ""Mídia Ninja.*Facebook""), ""Facebook (Mídia"&amp;" Ninja)"",
IF(REGEXMATCH(S128, ""Memórias Carandiru.*Instagram""), ""Instagram (Memórias Carandiru)"",
IF(REGEXMATCH(S128, ""Frente pelo Desencarceramento SP""), ""YouTube (Frente Pelo Desencarceramento SP)"",
IF(REGEXMATCH(S128, ""TV ABA""), ""YouTube (T"&amp;"V ABA)"",
IF(REGEXMATCH(S128, ""TV SENADO""), ""YouTube (TV Senado)"",
IF(REGEXMATCH(S128, ""Google Arts &amp; Culture""), ""Google Arts &amp; Culture (Memória Massacre Carandiru)"",
IF(REGEXMATCH(S128, ""Anistia Internacional|ANISTIA INTERNACIONAL""), ""Anistia "&amp;"Internacional"",
IF(REGEXMATCH(S128, ""47\.mostra|47a Mostra""), ""47a Mostra Internacional de Cinema em São Paulo"",
IF(REGEXMATCH(S128, ""Canal USP""), ""YouTube (Canal USP)"",
IF(AND(
  REGEXMATCH(S128, ""(?i)(teses?\.usp\.br|dissertacoes?\.usp\.br|rep"&amp;"ositorio\.usp\.br)""),
  NOT(REGEXMATCH(S128, ""Canal USP""))
), ""Biblioteca Digital de Teses e Dissertações da USP"",
IF(REGEXMATCH(S128, ""SINTRAJUSC""), ""SINTRAJUSC"",
IF(REGEXMATCH(S128, ""Agência Brasil|Agencia Brasil""), ""Agência Brasil"",
IF(REG"&amp;"EXMATCH(S128, ""Brasil de Fato""), ""Brasil de Fato"",
IF(REGEXMATCH(S128, ""Ponte Jornalismo|pontejornalismo""), ""Ponte Jornalismo"",
IF(REGEXMATCH(S128, ""letras\.mus\.br|Letras,""), ""Letras"",
IF(REGEXMATCH(S128, ""YouTube|youtube""), 
   ""YouTube "&amp;"(""&amp;
   IF(REGEXMATCH(S128, ""Itaú Cultural""), ""Itaú Cultural"",
   IF(REGEXMATCH(S128, ""Rede TVT""), ""Rede TVT"",
   IF(REGEXMATCH(S128, ""Frente pelo Desencarceramento SP""), ""Frente Pelo Desencarceramento SP"",
   IF(REGEXMATCH(S128, ""TV ABA""), "&amp;"""TV ABA"",
   IF(REGEXMATCH(S128, ""TV SENADO""), ""TV Senado"",
   IF(REGEXMATCH(S128, ""Canal USP""), ""Canal USP"",
   IF(REGEXMATCH(S128, ""Douer, Zack|Zack Douer""), ""Douer Zack"",
   IF(REGEXMATCH(S128, ""PRISIONEIRO 84\.901|PRISIONEIRO 84""), ""P"&amp;"risioneiro 84.901"",
   IF(REGEXMATCH(S128, ""^[^,]*, ""), 
        PROPER(REGEXREPLACE(REGEXEXTRACT(S128, ""^([^.]*)\.""), ""^([^,]*), (.*)"", ""$2 $1"")),
        PROPER(REGEXEXTRACT(S128, ""^([^.]*)\.""))
   )))))))))&amp;"")"",
IF(REGEXMATCH(S128, ""Spot"&amp;"ify|spotify""), 
   ""Spotify (""&amp;
   IF(REGEXMATCH(S128, ""ESTRANHO SORRISO""), ""Estranho Sorriso"",
   PROPER(REGEXEXTRACT(S128, ""^([^.]*)\.""))
   )&amp;"")"",
IF(REGEXMATCH(S128, ""Vimeo|vimeo""), 
   ""Vimeo (""&amp;
   IF(REGEXMATCH(S128, ""Passa Palavra"&amp;"""), ""Passa Palavra"",
   PROPER(REGEXEXTRACT(S128, ""^([^.]*)\.""))
   )&amp;"")"",
IF(REGEXMATCH(S128, ""Blogspot""), 
   ""Blogspot (""&amp;
   IF(REGEXMATCH(S128, ""rede2deoutubro""), ""Rede 02 de Outubro"",
   PROPER(REGEXEXTRACT(S128, ""^([^.]*)\.""))
   "&amp;")&amp;"")"",
IF(REGEXMATCH(S128, ""Facebook""), 
   ""Facebook (""&amp;
   IF(REGEXMATCH(S128, ""Mídia Ninja""), ""Mídia Ninja"",
   PROPER(REGEXEXTRACT(S128, ""^([^.]*)\.""))
   )&amp;"")"",
IF(REGEXMATCH(S128, ""Instagram""), 
   ""Instagram (""&amp;
   IF(REGEXMATCH"&amp;"(S128, ""Memórias Carandiru""), ""Memórias Carandiru"",
   PROPER(REGEXEXTRACT(S128, ""^([^.]*)\.""))
   )&amp;"")"",
IF(REGEXMATCH(S128, ""Folha de S\. Paulo|FOLHA DE S\. PAULO""), ""Folha de S. Paulo"",
IF(REGEXMATCH(S128, ""O Estado de S\. Paulo|ESTADAO"""&amp;"), ""O Estado de S. Paulo"",
IF(REGEXMATCH(S128, ""salasecreta""), ""Wordpress (Sala Secreta)"",
IF(REGEXMATCH(S128, ""Wikipedia|Wikipédia|WIKIPÉDIA""), ""Wikipedia"",
IF(REGEXMATCH(S128, ""VEJA|Veja""), ""Veja Abril"",
IF(REGEXMATCH(S400, ""Rede Globo|RE"&amp;"DE GLOBO""), ""Rede Globo"",
IF(REGEXMATCH(S400, ""G1|globo\.com""), ""G1"",
IF(REGEXMATCH(S128, ""Deutsche Welle|DW\.com""), ""Deutsche Welle"",
IF(REGEXMATCH(S128, ""CIDH|Comissão Interamericana""), ""Comissão Interamericana de Direitos Humanos (CIDH)"""&amp;",
IF(REGEXMATCH(S128, ""Pastoral Carcerária""), ""Pastoral Carcerária"",
IF(REGEXMATCH(S128, ""Esquerda Web""), ""Esquerda Web"",
IF(REGEXMATCH(S128, ""ONU|Organização das Nações Unidas""), ""ONU Brasil"",
IF(REGEXMATCH(S128, ""Quilombo Invisível""), ""Qu"&amp;"ilombo Invisível"",
IF(REGEXMATCH(S128, ""ALESP|Assembleia Legislativa""), ""ALESP"",
IF(REGEXMATCH(S128, ""Revista Opera""), ""Revista Opera"",
IF(REGEXMATCH(S128, ""SP Escola de Teatro""), ""SP Escola de Teatro"",
IF(REGEXMATCH(S128, ""EMC|Espaço Memóri"&amp;"a Carandiru""), ""EMC Espaço Memória Carandiru"",
IF(REGEXMATCH(S128, ""^RAMOS, Nuno|Nuno Ramos""), ""Nuno Ramos"",
IF(REGEXMATCH(S128, ""^VELOSO, Caetano|Caetano Veloso""), ""YouTube (Caetano Veloso)"",
IF(REGEXMATCH(S128, ""^FATOS REAIS""), ""YouTube ("&amp;"Fatos Reais - Topic)"",
IF(REGEXMATCH(S128, ""^SALA SECRETA""), ""Wordpress (Sala Secreta)"",
PROPER(REGEXEXTRACT(S128, ""^([^.]*)\.""))
))))))))))))))))))))))))))))))))))))))))))))))))))))))))"),"YouTube (Drauzio Varella)")</f>
        <v>YouTube (Drauzio Varella)</v>
      </c>
      <c r="N128" s="11" t="s">
        <v>47</v>
      </c>
      <c r="O128" s="14" t="s">
        <v>342</v>
      </c>
      <c r="P128" s="171">
        <v>45946.0</v>
      </c>
      <c r="Q128" s="11" t="s">
        <v>154</v>
      </c>
      <c r="R128" s="70" t="str">
        <f t="shared" si="8"/>
        <v>Aqui</v>
      </c>
      <c r="S128" s="204" t="s">
        <v>781</v>
      </c>
    </row>
    <row r="129">
      <c r="A129" s="11">
        <v>127.0</v>
      </c>
      <c r="B129" s="11" t="s">
        <v>333</v>
      </c>
      <c r="C129" s="12" t="str">
        <f>IFERROR(__xludf.DUMMYFUNCTION("IF(B129="""","""",IF(OR(
  REGEXMATCH(B129,""Performance|Instalação|Álbum|Música|Poema|Livro|Filme|Documentário|Recitação|Espetáculo|Peça|Intervenção|Desfile|Fotografia|Exposição|Charge|Grafite|Leitura pública|Fabricação de cachaça artesanal""),
  REGEXMA"&amp;"TCH(B129,""dança|teatral|artístico|musical|artística"")
),""Manifestação artístico-cultural"",
IF(OR(
  REGEXMATCH(B129,""Crônica|Série|Reportagem|Podcast|Audiotour|Entrevista|Vídeo|Rádio""),
  REGEXMATCH(B129,""midiática"")
),""Produção midiática"","""")"&amp;"))
"),"Produção midiática")</f>
        <v>Produção midiática</v>
      </c>
      <c r="D129" s="13" t="str">
        <f>IFERROR(__xludf.DUMMYFUNCTION("IF(B129="""","""",IF(OR(
  REGEXMATCH(B129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REGEXMATCH(B129,""público|Imediato|artística|teatral|memória"")
),""Público Imediato"",
IF(REGEXMATCH(B129,""Música|Álbum|Filme|Documentário|Série|Podc"&amp;"ast|Rádio|Audiotour|Entrevista|Reportagem|Crônica|Relatório|Abaixo-assinado|Manifesto|Petição|Poema|Livro|Fotografia|Curta|Live|Webinário|Charge|Leitura pública|Vídeo""),
""Público Mediado"","""")))
"),"Público Mediado")</f>
        <v>Público Mediado</v>
      </c>
      <c r="E129" s="13" t="str">
        <f>IFERROR(__xludf.DUMMYFUNCTION("IF(B129="""","""",IF(OR(
  REGEXMATCH(B129,""Live|Webinário|Virtual""),
  REGEXMATCH(B129,""online"")
),""Virtual"",
IF(REGEXMATCH(B129,""Música|Álbum|Filme|Documentário|Série|Podcast|Rádio|Audiotour|Episódio|Reportagem|Curta|Charge|Livro|Vídeo|Entrevista"&amp;"""),
""Midiático"",
IF(REGEXMATCH(B129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9" s="183">
        <v>44835.0</v>
      </c>
      <c r="G129" s="15">
        <f t="shared" si="1"/>
        <v>2022</v>
      </c>
      <c r="H129" s="181" t="s">
        <v>347</v>
      </c>
      <c r="I129" s="18" t="s">
        <v>782</v>
      </c>
      <c r="J129" s="169" t="str">
        <f>IFERROR(__xludf.DUMMYFUNCTION("REGEXEXTRACT(S129, ""\.\s(.*?)\s*YouTube"")"),"Massacre do Carandiru: 30 anos de impunidade.")</f>
        <v>Massacre do Carandiru: 30 anos de impunidade.</v>
      </c>
      <c r="K129" s="208" t="s">
        <v>83</v>
      </c>
      <c r="L129" s="209" t="s">
        <v>329</v>
      </c>
      <c r="M129" s="15" t="str">
        <f>IFERROR(__xludf.DUMMYFUNCTION("IF(REGEXMATCH(S129, ""Companhia das Letras""), ""Companhia das Letras"",
IF(REGEXMATCH(S129, ""Labortexto Editorial""), ""Labortexto Editorial"",
IF(REGEXMATCH(S129, ""Geração Editorial""), ""Geração Editorial"",
IF(REGEXMATCH(S129, ""Editora Imprensa Ofi"&amp;"cial|Imprensa Oficial""), ""Editora Imprensa Oficial"",
IF(REGEXMATCH(S129, ""Folha Online""), ""Folha Online"",
IF(REGEXMATCH(S129, ""FGV DIREITO SP|FGV Direito SP""), ""FGV DIREITO SP"",
IF(REGEXMATCH(S129, ""massacrecarandiru\.org\.br""), ""Memória Mas"&amp;"sacre Carandiru"",
IF(REGEXMATCH(S129, ""Itaú Cultural""), ""YouTube (Itaú Cultural)"",
IF(REGEXMATCH(S129, ""Passa Palavra""), ""Vimeo (Passa Palavra)"",
IF(REGEXMATCH(S129, ""rede2deoutubro\.blogspot""), ""Blogspot (Rede 02 de Outubro)"",
IF(REGEXMATCH("&amp;"S129, ""Rede TVT""), ""YouTube (Rede TVT)"",
IF(REGEXMATCH(S129, ""Esquerda Diário""), ""Esquerda Diário"",
IF(REGEXMATCH(S129, ""GZH""), ""GZH"",
IF(REGEXMATCH(S129, ""TVPUC""), ""TVPUC"",
IF(REGEXMATCH(S129, ""Mídia Ninja.*Facebook""), ""Facebook (Mídia"&amp;" Ninja)"",
IF(REGEXMATCH(S129, ""Memórias Carandiru.*Instagram""), ""Instagram (Memórias Carandiru)"",
IF(REGEXMATCH(S129, ""Frente pelo Desencarceramento SP""), ""YouTube (Frente Pelo Desencarceramento SP)"",
IF(REGEXMATCH(S129, ""TV ABA""), ""YouTube (T"&amp;"V ABA)"",
IF(REGEXMATCH(S129, ""TV SENADO""), ""YouTube (TV Senado)"",
IF(REGEXMATCH(S129, ""Google Arts &amp; Culture""), ""Google Arts &amp; Culture (Memória Massacre Carandiru)"",
IF(REGEXMATCH(S129, ""Anistia Internacional|ANISTIA INTERNACIONAL""), ""Anistia "&amp;"Internacional"",
IF(REGEXMATCH(S129, ""47\.mostra|47a Mostra""), ""47a Mostra Internacional de Cinema em São Paulo"",
IF(REGEXMATCH(S129, ""Canal USP""), ""YouTube (Canal USP)"",
IF(AND(
  REGEXMATCH(S129, ""(?i)(teses?\.usp\.br|dissertacoes?\.usp\.br|rep"&amp;"ositorio\.usp\.br)""),
  NOT(REGEXMATCH(S129, ""Canal USP""))
), ""Biblioteca Digital de Teses e Dissertações da USP"",
IF(REGEXMATCH(S129, ""SINTRAJUSC""), ""SINTRAJUSC"",
IF(REGEXMATCH(S129, ""Agência Brasil|Agencia Brasil""), ""Agência Brasil"",
IF(REG"&amp;"EXMATCH(S129, ""Brasil de Fato""), ""Brasil de Fato"",
IF(REGEXMATCH(S129, ""Ponte Jornalismo|pontejornalismo""), ""Ponte Jornalismo"",
IF(REGEXMATCH(S129, ""letras\.mus\.br|Letras,""), ""Letras"",
IF(REGEXMATCH(S129, ""YouTube|youtube""), 
   ""YouTube "&amp;"(""&amp;
   IF(REGEXMATCH(S129, ""Itaú Cultural""), ""Itaú Cultural"",
   IF(REGEXMATCH(S129, ""Rede TVT""), ""Rede TVT"",
   IF(REGEXMATCH(S129, ""Frente pelo Desencarceramento SP""), ""Frente Pelo Desencarceramento SP"",
   IF(REGEXMATCH(S129, ""TV ABA""), "&amp;"""TV ABA"",
   IF(REGEXMATCH(S129, ""TV SENADO""), ""TV Senado"",
   IF(REGEXMATCH(S129, ""Canal USP""), ""Canal USP"",
   IF(REGEXMATCH(S129, ""Douer, Zack|Zack Douer""), ""Douer Zack"",
   IF(REGEXMATCH(S129, ""PRISIONEIRO 84\.901|PRISIONEIRO 84""), ""P"&amp;"risioneiro 84.901"",
   IF(REGEXMATCH(S129, ""^[^,]*, ""), 
        PROPER(REGEXREPLACE(REGEXEXTRACT(S129, ""^([^.]*)\.""), ""^([^,]*), (.*)"", ""$2 $1"")),
        PROPER(REGEXEXTRACT(S129, ""^([^.]*)\.""))
   )))))))))&amp;"")"",
IF(REGEXMATCH(S129, ""Spot"&amp;"ify|spotify""), 
   ""Spotify (""&amp;
   IF(REGEXMATCH(S129, ""ESTRANHO SORRISO""), ""Estranho Sorriso"",
   PROPER(REGEXEXTRACT(S129, ""^([^.]*)\.""))
   )&amp;"")"",
IF(REGEXMATCH(S129, ""Vimeo|vimeo""), 
   ""Vimeo (""&amp;
   IF(REGEXMATCH(S129, ""Passa Palavra"&amp;"""), ""Passa Palavra"",
   PROPER(REGEXEXTRACT(S129, ""^([^.]*)\.""))
   )&amp;"")"",
IF(REGEXMATCH(S129, ""Blogspot""), 
   ""Blogspot (""&amp;
   IF(REGEXMATCH(S129, ""rede2deoutubro""), ""Rede 02 de Outubro"",
   PROPER(REGEXEXTRACT(S129, ""^([^.]*)\.""))
   "&amp;")&amp;"")"",
IF(REGEXMATCH(S129, ""Facebook""), 
   ""Facebook (""&amp;
   IF(REGEXMATCH(S129, ""Mídia Ninja""), ""Mídia Ninja"",
   PROPER(REGEXEXTRACT(S129, ""^([^.]*)\.""))
   )&amp;"")"",
IF(REGEXMATCH(S129, ""Instagram""), 
   ""Instagram (""&amp;
   IF(REGEXMATCH"&amp;"(S129, ""Memórias Carandiru""), ""Memórias Carandiru"",
   PROPER(REGEXEXTRACT(S129, ""^([^.]*)\.""))
   )&amp;"")"",
IF(REGEXMATCH(S129, ""Folha de S\. Paulo|FOLHA DE S\. PAULO""), ""Folha de S. Paulo"",
IF(REGEXMATCH(S129, ""O Estado de S\. Paulo|ESTADAO"""&amp;"), ""O Estado de S. Paulo"",
IF(REGEXMATCH(S129, ""salasecreta""), ""Wordpress (Sala Secreta)"",
IF(REGEXMATCH(S129, ""Wikipedia|Wikipédia|WIKIPÉDIA""), ""Wikipedia"",
IF(REGEXMATCH(S129, ""VEJA|Veja""), ""Veja Abril"",
IF(REGEXMATCH(S401, ""Rede Globo|RE"&amp;"DE GLOBO""), ""Rede Globo"",
IF(REGEXMATCH(S401, ""G1|globo\.com""), ""G1"",
IF(REGEXMATCH(S129, ""Deutsche Welle|DW\.com""), ""Deutsche Welle"",
IF(REGEXMATCH(S129, ""CIDH|Comissão Interamericana""), ""Comissão Interamericana de Direitos Humanos (CIDH)"""&amp;",
IF(REGEXMATCH(S129, ""Pastoral Carcerária""), ""Pastoral Carcerária"",
IF(REGEXMATCH(S129, ""Esquerda Web""), ""Esquerda Web"",
IF(REGEXMATCH(S129, ""ONU|Organização das Nações Unidas""), ""ONU Brasil"",
IF(REGEXMATCH(S129, ""Quilombo Invisível""), ""Qu"&amp;"ilombo Invisível"",
IF(REGEXMATCH(S129, ""ALESP|Assembleia Legislativa""), ""ALESP"",
IF(REGEXMATCH(S129, ""Revista Opera""), ""Revista Opera"",
IF(REGEXMATCH(S129, ""SP Escola de Teatro""), ""SP Escola de Teatro"",
IF(REGEXMATCH(S129, ""EMC|Espaço Memóri"&amp;"a Carandiru""), ""EMC Espaço Memória Carandiru"",
IF(REGEXMATCH(S129, ""^RAMOS, Nuno|Nuno Ramos""), ""Nuno Ramos"",
IF(REGEXMATCH(S129, ""^VELOSO, Caetano|Caetano Veloso""), ""YouTube (Caetano Veloso)"",
IF(REGEXMATCH(S129, ""^FATOS REAIS""), ""YouTube ("&amp;"Fatos Reais - Topic)"",
IF(REGEXMATCH(S129, ""^SALA SECRETA""), ""Wordpress (Sala Secreta)"",
PROPER(REGEXEXTRACT(S129, ""^([^.]*)\.""))
))))))))))))))))))))))))))))))))))))))))))))))))))))))))"),"YouTube (Ponte Jornalismo)")</f>
        <v>YouTube (Ponte Jornalismo)</v>
      </c>
      <c r="N129" s="11" t="s">
        <v>47</v>
      </c>
      <c r="O129" s="14" t="s">
        <v>374</v>
      </c>
      <c r="P129" s="171">
        <v>45946.0</v>
      </c>
      <c r="Q129" s="11" t="s">
        <v>154</v>
      </c>
      <c r="R129" s="70" t="str">
        <f t="shared" si="8"/>
        <v>Aqui</v>
      </c>
      <c r="S129" s="172" t="s">
        <v>783</v>
      </c>
    </row>
    <row r="130">
      <c r="A130" s="11">
        <v>128.0</v>
      </c>
      <c r="B130" s="11" t="s">
        <v>703</v>
      </c>
      <c r="C130" s="12" t="str">
        <f>IFERROR(__xludf.DUMMYFUNCTION("IF(B130="""","""",IF(OR(
  REGEXMATCH(B130,""Performance|Instalação|Álbum|Música|Poema|Livro|Filme|Documentário|Recitação|Espetáculo|Peça|Intervenção|Desfile|Fotografia|Exposição|Charge|Grafite|Leitura pública|Fabricação de cachaça artesanal""),
  REGEXMA"&amp;"TCH(B130,""dança|teatral|artístico|musical|artística"")
),""Manifestação artístico-cultural"",
IF(OR(
  REGEXMATCH(B130,""Crônica|Série|Reportagem|Podcast|Audiotour|Entrevista|Vídeo|Rádio""),
  REGEXMATCH(B130,""midiática"")
),""Produção midiática"","""")"&amp;"))
"),"Produção midiática")</f>
        <v>Produção midiática</v>
      </c>
      <c r="D130" s="13" t="str">
        <f>IFERROR(__xludf.DUMMYFUNCTION("IF(B130="""","""",IF(OR(
  REGEXMATCH(B130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REGEXMATCH(B130,""público|Imediato|artística|teatral|memória"")
),""Público Imediato"",
IF(REGEXMATCH(B130,""Música|Álbum|Filme|Documentário|Série|Podc"&amp;"ast|Rádio|Audiotour|Entrevista|Reportagem|Crônica|Relatório|Abaixo-assinado|Manifesto|Petição|Poema|Livro|Fotografia|Curta|Live|Webinário|Charge|Leitura pública|Vídeo""),
""Público Mediado"","""")))
"),"Público Mediado")</f>
        <v>Público Mediado</v>
      </c>
      <c r="E130" s="13" t="str">
        <f>IFERROR(__xludf.DUMMYFUNCTION("IF(B130="""","""",IF(OR(
  REGEXMATCH(B130,""Live|Webinário|Virtual""),
  REGEXMATCH(B130,""online"")
),""Virtual"",
IF(REGEXMATCH(B130,""Música|Álbum|Filme|Documentário|Série|Podcast|Rádio|Audiotour|Episódio|Reportagem|Curta|Charge|Livro|Vídeo|Entrevista"&amp;"""),
""Midiático"",
IF(REGEXMATCH(B130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0" s="171">
        <v>44914.0</v>
      </c>
      <c r="G130" s="15">
        <f t="shared" si="1"/>
        <v>2022</v>
      </c>
      <c r="H130" s="181" t="s">
        <v>347</v>
      </c>
      <c r="I130" s="18" t="s">
        <v>688</v>
      </c>
      <c r="J130" s="169" t="str">
        <f>IFERROR(__xludf.DUMMYFUNCTION("REGEXEXTRACT(S130, ""\.\s(.*?)\s*YouTube"")"),"As consequências do massacre do Carandiru.")</f>
        <v>As consequências do massacre do Carandiru.</v>
      </c>
      <c r="K130" s="208" t="s">
        <v>83</v>
      </c>
      <c r="L130" s="209" t="s">
        <v>329</v>
      </c>
      <c r="M130" s="15" t="str">
        <f>IFERROR(__xludf.DUMMYFUNCTION("IF(REGEXMATCH(S130, ""Companhia das Letras""), ""Companhia das Letras"",
IF(REGEXMATCH(S130, ""Labortexto Editorial""), ""Labortexto Editorial"",
IF(REGEXMATCH(S130, ""Geração Editorial""), ""Geração Editorial"",
IF(REGEXMATCH(S130, ""Editora Imprensa Ofi"&amp;"cial|Imprensa Oficial""), ""Editora Imprensa Oficial"",
IF(REGEXMATCH(S130, ""Folha Online""), ""Folha Online"",
IF(REGEXMATCH(S130, ""FGV DIREITO SP|FGV Direito SP""), ""FGV DIREITO SP"",
IF(REGEXMATCH(S130, ""massacrecarandiru\.org\.br""), ""Memória Mas"&amp;"sacre Carandiru"",
IF(REGEXMATCH(S130, ""Itaú Cultural""), ""YouTube (Itaú Cultural)"",
IF(REGEXMATCH(S130, ""Passa Palavra""), ""Vimeo (Passa Palavra)"",
IF(REGEXMATCH(S130, ""rede2deoutubro\.blogspot""), ""Blogspot (Rede 02 de Outubro)"",
IF(REGEXMATCH("&amp;"S130, ""Rede TVT""), ""YouTube (Rede TVT)"",
IF(REGEXMATCH(S130, ""Esquerda Diário""), ""Esquerda Diário"",
IF(REGEXMATCH(S130, ""GZH""), ""GZH"",
IF(REGEXMATCH(S130, ""TVPUC""), ""TVPUC"",
IF(REGEXMATCH(S130, ""Mídia Ninja.*Facebook""), ""Facebook (Mídia"&amp;" Ninja)"",
IF(REGEXMATCH(S130, ""Memórias Carandiru.*Instagram""), ""Instagram (Memórias Carandiru)"",
IF(REGEXMATCH(S130, ""Frente pelo Desencarceramento SP""), ""YouTube (Frente Pelo Desencarceramento SP)"",
IF(REGEXMATCH(S130, ""TV ABA""), ""YouTube (T"&amp;"V ABA)"",
IF(REGEXMATCH(S130, ""TV SENADO""), ""YouTube (TV Senado)"",
IF(REGEXMATCH(S130, ""Google Arts &amp; Culture""), ""Google Arts &amp; Culture (Memória Massacre Carandiru)"",
IF(REGEXMATCH(S130, ""Anistia Internacional|ANISTIA INTERNACIONAL""), ""Anistia "&amp;"Internacional"",
IF(REGEXMATCH(S130, ""47\.mostra|47a Mostra""), ""47a Mostra Internacional de Cinema em São Paulo"",
IF(REGEXMATCH(S130, ""Canal USP""), ""YouTube (Canal USP)"",
IF(AND(
  REGEXMATCH(S130, ""(?i)(teses?\.usp\.br|dissertacoes?\.usp\.br|rep"&amp;"ositorio\.usp\.br)""),
  NOT(REGEXMATCH(S130, ""Canal USP""))
), ""Biblioteca Digital de Teses e Dissertações da USP"",
IF(REGEXMATCH(S130, ""SINTRAJUSC""), ""SINTRAJUSC"",
IF(REGEXMATCH(S130, ""Agência Brasil|Agencia Brasil""), ""Agência Brasil"",
IF(REG"&amp;"EXMATCH(S130, ""Brasil de Fato""), ""Brasil de Fato"",
IF(REGEXMATCH(S130, ""Ponte Jornalismo|pontejornalismo""), ""Ponte Jornalismo"",
IF(REGEXMATCH(S130, ""letras\.mus\.br|Letras,""), ""Letras"",
IF(REGEXMATCH(S130, ""YouTube|youtube""), 
   ""YouTube "&amp;"(""&amp;
   IF(REGEXMATCH(S130, ""Itaú Cultural""), ""Itaú Cultural"",
   IF(REGEXMATCH(S130, ""Rede TVT""), ""Rede TVT"",
   IF(REGEXMATCH(S130, ""Frente pelo Desencarceramento SP""), ""Frente Pelo Desencarceramento SP"",
   IF(REGEXMATCH(S130, ""TV ABA""), "&amp;"""TV ABA"",
   IF(REGEXMATCH(S130, ""TV SENADO""), ""TV Senado"",
   IF(REGEXMATCH(S130, ""Canal USP""), ""Canal USP"",
   IF(REGEXMATCH(S130, ""Douer, Zack|Zack Douer""), ""Douer Zack"",
   IF(REGEXMATCH(S130, ""PRISIONEIRO 84\.901|PRISIONEIRO 84""), ""P"&amp;"risioneiro 84.901"",
   IF(REGEXMATCH(S130, ""^[^,]*, ""), 
        PROPER(REGEXREPLACE(REGEXEXTRACT(S130, ""^([^.]*)\.""), ""^([^,]*), (.*)"", ""$2 $1"")),
        PROPER(REGEXEXTRACT(S130, ""^([^.]*)\.""))
   )))))))))&amp;"")"",
IF(REGEXMATCH(S130, ""Spot"&amp;"ify|spotify""), 
   ""Spotify (""&amp;
   IF(REGEXMATCH(S130, ""ESTRANHO SORRISO""), ""Estranho Sorriso"",
   PROPER(REGEXEXTRACT(S130, ""^([^.]*)\.""))
   )&amp;"")"",
IF(REGEXMATCH(S130, ""Vimeo|vimeo""), 
   ""Vimeo (""&amp;
   IF(REGEXMATCH(S130, ""Passa Palavra"&amp;"""), ""Passa Palavra"",
   PROPER(REGEXEXTRACT(S130, ""^([^.]*)\.""))
   )&amp;"")"",
IF(REGEXMATCH(S130, ""Blogspot""), 
   ""Blogspot (""&amp;
   IF(REGEXMATCH(S130, ""rede2deoutubro""), ""Rede 02 de Outubro"",
   PROPER(REGEXEXTRACT(S130, ""^([^.]*)\.""))
   "&amp;")&amp;"")"",
IF(REGEXMATCH(S130, ""Facebook""), 
   ""Facebook (""&amp;
   IF(REGEXMATCH(S130, ""Mídia Ninja""), ""Mídia Ninja"",
   PROPER(REGEXEXTRACT(S130, ""^([^.]*)\.""))
   )&amp;"")"",
IF(REGEXMATCH(S130, ""Instagram""), 
   ""Instagram (""&amp;
   IF(REGEXMATCH"&amp;"(S130, ""Memórias Carandiru""), ""Memórias Carandiru"",
   PROPER(REGEXEXTRACT(S130, ""^([^.]*)\.""))
   )&amp;"")"",
IF(REGEXMATCH(S130, ""Folha de S\. Paulo|FOLHA DE S\. PAULO""), ""Folha de S. Paulo"",
IF(REGEXMATCH(S130, ""O Estado de S\. Paulo|ESTADAO"""&amp;"), ""O Estado de S. Paulo"",
IF(REGEXMATCH(S130, ""salasecreta""), ""Wordpress (Sala Secreta)"",
IF(REGEXMATCH(S130, ""Wikipedia|Wikipédia|WIKIPÉDIA""), ""Wikipedia"",
IF(REGEXMATCH(S130, ""VEJA|Veja""), ""Veja Abril"",
IF(REGEXMATCH(S402, ""Rede Globo|RE"&amp;"DE GLOBO""), ""Rede Globo"",
IF(REGEXMATCH(S402, ""G1|globo\.com""), ""G1"",
IF(REGEXMATCH(S130, ""Deutsche Welle|DW\.com""), ""Deutsche Welle"",
IF(REGEXMATCH(S130, ""CIDH|Comissão Interamericana""), ""Comissão Interamericana de Direitos Humanos (CIDH)"""&amp;",
IF(REGEXMATCH(S130, ""Pastoral Carcerária""), ""Pastoral Carcerária"",
IF(REGEXMATCH(S130, ""Esquerda Web""), ""Esquerda Web"",
IF(REGEXMATCH(S130, ""ONU|Organização das Nações Unidas""), ""ONU Brasil"",
IF(REGEXMATCH(S130, ""Quilombo Invisível""), ""Qu"&amp;"ilombo Invisível"",
IF(REGEXMATCH(S130, ""ALESP|Assembleia Legislativa""), ""ALESP"",
IF(REGEXMATCH(S130, ""Revista Opera""), ""Revista Opera"",
IF(REGEXMATCH(S130, ""SP Escola de Teatro""), ""SP Escola de Teatro"",
IF(REGEXMATCH(S130, ""EMC|Espaço Memóri"&amp;"a Carandiru""), ""EMC Espaço Memória Carandiru"",
IF(REGEXMATCH(S130, ""^RAMOS, Nuno|Nuno Ramos""), ""Nuno Ramos"",
IF(REGEXMATCH(S130, ""^VELOSO, Caetano|Caetano Veloso""), ""YouTube (Caetano Veloso)"",
IF(REGEXMATCH(S130, ""^FATOS REAIS""), ""YouTube ("&amp;"Fatos Reais - Topic)"",
IF(REGEXMATCH(S130, ""^SALA SECRETA""), ""Wordpress (Sala Secreta)"",
PROPER(REGEXEXTRACT(S130, ""^([^.]*)\.""))
))))))))))))))))))))))))))))))))))))))))))))))))))))))))"),"YouTube (Drauzio Varella)")</f>
        <v>YouTube (Drauzio Varella)</v>
      </c>
      <c r="N130" s="11" t="s">
        <v>47</v>
      </c>
      <c r="O130" s="14" t="s">
        <v>374</v>
      </c>
      <c r="P130" s="171">
        <v>45946.0</v>
      </c>
      <c r="Q130" s="11" t="s">
        <v>154</v>
      </c>
      <c r="R130" s="70" t="str">
        <f t="shared" si="8"/>
        <v>Aqui</v>
      </c>
      <c r="S130" s="172" t="s">
        <v>784</v>
      </c>
    </row>
    <row r="131">
      <c r="A131" s="11">
        <v>129.0</v>
      </c>
      <c r="B131" s="11" t="s">
        <v>703</v>
      </c>
      <c r="C131" s="12" t="str">
        <f>IFERROR(__xludf.DUMMYFUNCTION("IF(B131="""","""",IF(OR(
  REGEXMATCH(B131,""Performance|Instalação|Álbum|Música|Poema|Livro|Filme|Documentário|Recitação|Espetáculo|Peça|Intervenção|Desfile|Fotografia|Exposição|Charge|Grafite|Leitura pública|Fabricação de cachaça artesanal""),
  REGEXMA"&amp;"TCH(B131,""dança|teatral|artístico|musical|artística"")
),""Manifestação artístico-cultural"",
IF(OR(
  REGEXMATCH(B131,""Crônica|Série|Reportagem|Podcast|Audiotour|Entrevista|Vídeo|Rádio""),
  REGEXMATCH(B131,""midiática"")
),""Produção midiática"","""")"&amp;"))
"),"Produção midiática")</f>
        <v>Produção midiática</v>
      </c>
      <c r="D131" s="13" t="str">
        <f>IFERROR(__xludf.DUMMYFUNCTION("IF(B131="""","""",IF(OR(
  REGEXMATCH(B131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REGEXMATCH(B131,""público|Imediato|artística|teatral|memória"")
),""Público Imediato"",
IF(REGEXMATCH(B131,""Música|Álbum|Filme|Documentário|Série|Podc"&amp;"ast|Rádio|Audiotour|Entrevista|Reportagem|Crônica|Relatório|Abaixo-assinado|Manifesto|Petição|Poema|Livro|Fotografia|Curta|Live|Webinário|Charge|Leitura pública|Vídeo""),
""Público Mediado"","""")))
"),"Público Mediado")</f>
        <v>Público Mediado</v>
      </c>
      <c r="E131" s="13" t="str">
        <f>IFERROR(__xludf.DUMMYFUNCTION("IF(B131="""","""",IF(OR(
  REGEXMATCH(B131,""Live|Webinário|Virtual""),
  REGEXMATCH(B131,""online"")
),""Virtual"",
IF(REGEXMATCH(B131,""Música|Álbum|Filme|Documentário|Série|Podcast|Rádio|Audiotour|Episódio|Reportagem|Curta|Charge|Livro|Vídeo|Entrevista"&amp;"""),
""Midiático"",
IF(REGEXMATCH(B131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1" s="183">
        <v>44841.0</v>
      </c>
      <c r="G131" s="15">
        <f t="shared" si="1"/>
        <v>2022</v>
      </c>
      <c r="H131" s="181" t="s">
        <v>347</v>
      </c>
      <c r="I131" s="18" t="s">
        <v>785</v>
      </c>
      <c r="J131" s="169" t="str">
        <f>IFERROR(__xludf.DUMMYFUNCTION("REGEXEXTRACT(S131, ""\.\s(.*?)\s*YouTube"")"),"Conteúdo exclusivo: 30 anos do massacre do Carandiru.")</f>
        <v>Conteúdo exclusivo: 30 anos do massacre do Carandiru.</v>
      </c>
      <c r="K131" s="208" t="s">
        <v>83</v>
      </c>
      <c r="L131" s="209" t="s">
        <v>329</v>
      </c>
      <c r="M131" s="15" t="str">
        <f>IFERROR(__xludf.DUMMYFUNCTION("IF(REGEXMATCH(S131, ""Companhia das Letras""), ""Companhia das Letras"",
IF(REGEXMATCH(S131, ""Labortexto Editorial""), ""Labortexto Editorial"",
IF(REGEXMATCH(S131, ""Geração Editorial""), ""Geração Editorial"",
IF(REGEXMATCH(S131, ""Editora Imprensa Ofi"&amp;"cial|Imprensa Oficial""), ""Editora Imprensa Oficial"",
IF(REGEXMATCH(S131, ""Folha Online""), ""Folha Online"",
IF(REGEXMATCH(S131, ""FGV DIREITO SP|FGV Direito SP""), ""FGV DIREITO SP"",
IF(REGEXMATCH(S131, ""massacrecarandiru\.org\.br""), ""Memória Mas"&amp;"sacre Carandiru"",
IF(REGEXMATCH(S131, ""Itaú Cultural""), ""YouTube (Itaú Cultural)"",
IF(REGEXMATCH(S131, ""Passa Palavra""), ""Vimeo (Passa Palavra)"",
IF(REGEXMATCH(S131, ""rede2deoutubro\.blogspot""), ""Blogspot (Rede 02 de Outubro)"",
IF(REGEXMATCH("&amp;"S131, ""Rede TVT""), ""YouTube (Rede TVT)"",
IF(REGEXMATCH(S131, ""Esquerda Diário""), ""Esquerda Diário"",
IF(REGEXMATCH(S131, ""GZH""), ""GZH"",
IF(REGEXMATCH(S131, ""TVPUC""), ""TVPUC"",
IF(REGEXMATCH(S131, ""Mídia Ninja.*Facebook""), ""Facebook (Mídia"&amp;" Ninja)"",
IF(REGEXMATCH(S131, ""Memórias Carandiru.*Instagram""), ""Instagram (Memórias Carandiru)"",
IF(REGEXMATCH(S131, ""Frente pelo Desencarceramento SP""), ""YouTube (Frente Pelo Desencarceramento SP)"",
IF(REGEXMATCH(S131, ""TV ABA""), ""YouTube (T"&amp;"V ABA)"",
IF(REGEXMATCH(S131, ""TV SENADO""), ""YouTube (TV Senado)"",
IF(REGEXMATCH(S131, ""Google Arts &amp; Culture""), ""Google Arts &amp; Culture (Memória Massacre Carandiru)"",
IF(REGEXMATCH(S131, ""Anistia Internacional|ANISTIA INTERNACIONAL""), ""Anistia "&amp;"Internacional"",
IF(REGEXMATCH(S131, ""47\.mostra|47a Mostra""), ""47a Mostra Internacional de Cinema em São Paulo"",
IF(REGEXMATCH(S131, ""Canal USP""), ""YouTube (Canal USP)"",
IF(AND(
  REGEXMATCH(S131, ""(?i)(teses?\.usp\.br|dissertacoes?\.usp\.br|rep"&amp;"ositorio\.usp\.br)""),
  NOT(REGEXMATCH(S131, ""Canal USP""))
), ""Biblioteca Digital de Teses e Dissertações da USP"",
IF(REGEXMATCH(S131, ""SINTRAJUSC""), ""SINTRAJUSC"",
IF(REGEXMATCH(S131, ""Agência Brasil|Agencia Brasil""), ""Agência Brasil"",
IF(REG"&amp;"EXMATCH(S131, ""Brasil de Fato""), ""Brasil de Fato"",
IF(REGEXMATCH(S131, ""Ponte Jornalismo|pontejornalismo""), ""Ponte Jornalismo"",
IF(REGEXMATCH(S131, ""letras\.mus\.br|Letras,""), ""Letras"",
IF(REGEXMATCH(S131, ""YouTube|youtube""), 
   ""YouTube "&amp;"(""&amp;
   IF(REGEXMATCH(S131, ""Itaú Cultural""), ""Itaú Cultural"",
   IF(REGEXMATCH(S131, ""Rede TVT""), ""Rede TVT"",
   IF(REGEXMATCH(S131, ""Frente pelo Desencarceramento SP""), ""Frente Pelo Desencarceramento SP"",
   IF(REGEXMATCH(S131, ""TV ABA""), "&amp;"""TV ABA"",
   IF(REGEXMATCH(S131, ""TV SENADO""), ""TV Senado"",
   IF(REGEXMATCH(S131, ""Canal USP""), ""Canal USP"",
   IF(REGEXMATCH(S131, ""Douer, Zack|Zack Douer""), ""Douer Zack"",
   IF(REGEXMATCH(S131, ""PRISIONEIRO 84\.901|PRISIONEIRO 84""), ""P"&amp;"risioneiro 84.901"",
   IF(REGEXMATCH(S131, ""^[^,]*, ""), 
        PROPER(REGEXREPLACE(REGEXEXTRACT(S131, ""^([^.]*)\.""), ""^([^,]*), (.*)"", ""$2 $1"")),
        PROPER(REGEXEXTRACT(S131, ""^([^.]*)\.""))
   )))))))))&amp;"")"",
IF(REGEXMATCH(S131, ""Spot"&amp;"ify|spotify""), 
   ""Spotify (""&amp;
   IF(REGEXMATCH(S131, ""ESTRANHO SORRISO""), ""Estranho Sorriso"",
   PROPER(REGEXEXTRACT(S131, ""^([^.]*)\.""))
   )&amp;"")"",
IF(REGEXMATCH(S131, ""Vimeo|vimeo""), 
   ""Vimeo (""&amp;
   IF(REGEXMATCH(S131, ""Passa Palavra"&amp;"""), ""Passa Palavra"",
   PROPER(REGEXEXTRACT(S131, ""^([^.]*)\.""))
   )&amp;"")"",
IF(REGEXMATCH(S131, ""Blogspot""), 
   ""Blogspot (""&amp;
   IF(REGEXMATCH(S131, ""rede2deoutubro""), ""Rede 02 de Outubro"",
   PROPER(REGEXEXTRACT(S131, ""^([^.]*)\.""))
   "&amp;")&amp;"")"",
IF(REGEXMATCH(S131, ""Facebook""), 
   ""Facebook (""&amp;
   IF(REGEXMATCH(S131, ""Mídia Ninja""), ""Mídia Ninja"",
   PROPER(REGEXEXTRACT(S131, ""^([^.]*)\.""))
   )&amp;"")"",
IF(REGEXMATCH(S131, ""Instagram""), 
   ""Instagram (""&amp;
   IF(REGEXMATCH"&amp;"(S131, ""Memórias Carandiru""), ""Memórias Carandiru"",
   PROPER(REGEXEXTRACT(S131, ""^([^.]*)\.""))
   )&amp;"")"",
IF(REGEXMATCH(S131, ""Folha de S\. Paulo|FOLHA DE S\. PAULO""), ""Folha de S. Paulo"",
IF(REGEXMATCH(S131, ""O Estado de S\. Paulo|ESTADAO"""&amp;"), ""O Estado de S. Paulo"",
IF(REGEXMATCH(S131, ""salasecreta""), ""Wordpress (Sala Secreta)"",
IF(REGEXMATCH(S131, ""Wikipedia|Wikipédia|WIKIPÉDIA""), ""Wikipedia"",
IF(REGEXMATCH(S131, ""VEJA|Veja""), ""Veja Abril"",
IF(REGEXMATCH(S403, ""Rede Globo|RE"&amp;"DE GLOBO""), ""Rede Globo"",
IF(REGEXMATCH(S403, ""G1|globo\.com""), ""G1"",
IF(REGEXMATCH(S131, ""Deutsche Welle|DW\.com""), ""Deutsche Welle"",
IF(REGEXMATCH(S131, ""CIDH|Comissão Interamericana""), ""Comissão Interamericana de Direitos Humanos (CIDH)"""&amp;",
IF(REGEXMATCH(S131, ""Pastoral Carcerária""), ""Pastoral Carcerária"",
IF(REGEXMATCH(S131, ""Esquerda Web""), ""Esquerda Web"",
IF(REGEXMATCH(S131, ""ONU|Organização das Nações Unidas""), ""ONU Brasil"",
IF(REGEXMATCH(S131, ""Quilombo Invisível""), ""Qu"&amp;"ilombo Invisível"",
IF(REGEXMATCH(S131, ""ALESP|Assembleia Legislativa""), ""ALESP"",
IF(REGEXMATCH(S131, ""Revista Opera""), ""Revista Opera"",
IF(REGEXMATCH(S131, ""SP Escola de Teatro""), ""SP Escola de Teatro"",
IF(REGEXMATCH(S131, ""EMC|Espaço Memóri"&amp;"a Carandiru""), ""EMC Espaço Memória Carandiru"",
IF(REGEXMATCH(S131, ""^RAMOS, Nuno|Nuno Ramos""), ""Nuno Ramos"",
IF(REGEXMATCH(S131, ""^VELOSO, Caetano|Caetano Veloso""), ""YouTube (Caetano Veloso)"",
IF(REGEXMATCH(S131, ""^FATOS REAIS""), ""YouTube ("&amp;"Fatos Reais - Topic)"",
IF(REGEXMATCH(S131, ""^SALA SECRETA""), ""Wordpress (Sala Secreta)"",
PROPER(REGEXEXTRACT(S131, ""^([^.]*)\.""))
))))))))))))))))))))))))))))))))))))))))))))))))))))))))"),"YouTube (Jornal Da Gazeta)")</f>
        <v>YouTube (Jornal Da Gazeta)</v>
      </c>
      <c r="N131" s="11" t="s">
        <v>47</v>
      </c>
      <c r="O131" s="14" t="s">
        <v>374</v>
      </c>
      <c r="P131" s="171">
        <v>45946.0</v>
      </c>
      <c r="Q131" s="11" t="s">
        <v>154</v>
      </c>
      <c r="R131" s="70" t="str">
        <f t="shared" si="8"/>
        <v>Aqui</v>
      </c>
      <c r="S131" s="75" t="s">
        <v>786</v>
      </c>
    </row>
    <row r="132">
      <c r="A132" s="11">
        <v>130.0</v>
      </c>
      <c r="B132" s="11" t="s">
        <v>333</v>
      </c>
      <c r="C132" s="12" t="str">
        <f>IFERROR(__xludf.DUMMYFUNCTION("IF(B132="""","""",IF(OR(
  REGEXMATCH(B132,""Performance|Instalação|Álbum|Música|Poema|Livro|Filme|Documentário|Recitação|Espetáculo|Peça|Intervenção|Desfile|Fotografia|Exposição|Charge|Grafite|Leitura pública|Fabricação de cachaça artesanal""),
  REGEXMA"&amp;"TCH(B132,""dança|teatral|artístico|musical|artística"")
),""Manifestação artístico-cultural"",
IF(OR(
  REGEXMATCH(B132,""Crônica|Série|Reportagem|Podcast|Audiotour|Entrevista|Vídeo|Rádio""),
  REGEXMATCH(B132,""midiática"")
),""Produção midiática"","""")"&amp;"))
"),"Produção midiática")</f>
        <v>Produção midiática</v>
      </c>
      <c r="D132" s="13" t="str">
        <f>IFERROR(__xludf.DUMMYFUNCTION("IF(B132="""","""",IF(OR(
  REGEXMATCH(B132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REGEXMATCH(B132,""público|Imediato|artística|teatral|memória"")
),""Público Imediato"",
IF(REGEXMATCH(B132,""Música|Álbum|Filme|Documentário|Série|Podc"&amp;"ast|Rádio|Audiotour|Entrevista|Reportagem|Crônica|Relatório|Abaixo-assinado|Manifesto|Petição|Poema|Livro|Fotografia|Curta|Live|Webinário|Charge|Leitura pública|Vídeo""),
""Público Mediado"","""")))
"),"Público Mediado")</f>
        <v>Público Mediado</v>
      </c>
      <c r="E132" s="13" t="str">
        <f>IFERROR(__xludf.DUMMYFUNCTION("IF(B132="""","""",IF(OR(
  REGEXMATCH(B132,""Live|Webinário|Virtual""),
  REGEXMATCH(B132,""online"")
),""Virtual"",
IF(REGEXMATCH(B132,""Música|Álbum|Filme|Documentário|Série|Podcast|Rádio|Audiotour|Episódio|Reportagem|Curta|Charge|Livro|Vídeo|Entrevista"&amp;"""),
""Midiático"",
IF(REGEXMATCH(B132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2" s="183">
        <v>44833.0</v>
      </c>
      <c r="G132" s="15">
        <f t="shared" si="1"/>
        <v>2022</v>
      </c>
      <c r="H132" s="181" t="s">
        <v>347</v>
      </c>
      <c r="I132" s="18" t="s">
        <v>787</v>
      </c>
      <c r="J132" s="210" t="str">
        <f>IFERROR(__xludf.DUMMYFUNCTION("REGEXEXTRACT(S132, ""\.\s(.*?)\s*YouTube"")"),"‘Casos de polícia’: massacre do Carandiru completa trinta anos domingo (02).")</f>
        <v>‘Casos de polícia’: massacre do Carandiru completa trinta anos domingo (02).</v>
      </c>
      <c r="K132" s="16" t="s">
        <v>83</v>
      </c>
      <c r="L132" s="18" t="s">
        <v>329</v>
      </c>
      <c r="M132" s="15" t="str">
        <f>IFERROR(__xludf.DUMMYFUNCTION("IF(REGEXMATCH(S132, ""Companhia das Letras""), ""Companhia das Letras"",
IF(REGEXMATCH(S132, ""Labortexto Editorial""), ""Labortexto Editorial"",
IF(REGEXMATCH(S132, ""Geração Editorial""), ""Geração Editorial"",
IF(REGEXMATCH(S132, ""Editora Imprensa Ofi"&amp;"cial|Imprensa Oficial""), ""Editora Imprensa Oficial"",
IF(REGEXMATCH(S132, ""Folha Online""), ""Folha Online"",
IF(REGEXMATCH(S132, ""FGV DIREITO SP|FGV Direito SP""), ""FGV DIREITO SP"",
IF(REGEXMATCH(S132, ""massacrecarandiru\.org\.br""), ""Memória Mas"&amp;"sacre Carandiru"",
IF(REGEXMATCH(S132, ""Itaú Cultural""), ""YouTube (Itaú Cultural)"",
IF(REGEXMATCH(S132, ""Passa Palavra""), ""Vimeo (Passa Palavra)"",
IF(REGEXMATCH(S132, ""rede2deoutubro\.blogspot""), ""Blogspot (Rede 02 de Outubro)"",
IF(REGEXMATCH("&amp;"S132, ""Rede TVT""), ""YouTube (Rede TVT)"",
IF(REGEXMATCH(S132, ""Esquerda Diário""), ""Esquerda Diário"",
IF(REGEXMATCH(S132, ""GZH""), ""GZH"",
IF(REGEXMATCH(S132, ""TVPUC""), ""TVPUC"",
IF(REGEXMATCH(S132, ""Mídia Ninja.*Facebook""), ""Facebook (Mídia"&amp;" Ninja)"",
IF(REGEXMATCH(S132, ""Memórias Carandiru.*Instagram""), ""Instagram (Memórias Carandiru)"",
IF(REGEXMATCH(S132, ""Frente pelo Desencarceramento SP""), ""YouTube (Frente Pelo Desencarceramento SP)"",
IF(REGEXMATCH(S132, ""TV ABA""), ""YouTube (T"&amp;"V ABA)"",
IF(REGEXMATCH(S132, ""TV SENADO""), ""YouTube (TV Senado)"",
IF(REGEXMATCH(S132, ""Google Arts &amp; Culture""), ""Google Arts &amp; Culture (Memória Massacre Carandiru)"",
IF(REGEXMATCH(S132, ""Anistia Internacional|ANISTIA INTERNACIONAL""), ""Anistia "&amp;"Internacional"",
IF(REGEXMATCH(S132, ""47\.mostra|47a Mostra""), ""47a Mostra Internacional de Cinema em São Paulo"",
IF(REGEXMATCH(S132, ""Canal USP""), ""YouTube (Canal USP)"",
IF(AND(
  REGEXMATCH(S132, ""(?i)(teses?\.usp\.br|dissertacoes?\.usp\.br|rep"&amp;"ositorio\.usp\.br)""),
  NOT(REGEXMATCH(S132, ""Canal USP""))
), ""Biblioteca Digital de Teses e Dissertações da USP"",
IF(REGEXMATCH(S132, ""SINTRAJUSC""), ""SINTRAJUSC"",
IF(REGEXMATCH(S132, ""Agência Brasil|Agencia Brasil""), ""Agência Brasil"",
IF(REG"&amp;"EXMATCH(S132, ""Brasil de Fato""), ""Brasil de Fato"",
IF(REGEXMATCH(S132, ""Ponte Jornalismo|pontejornalismo""), ""Ponte Jornalismo"",
IF(REGEXMATCH(S132, ""letras\.mus\.br|Letras,""), ""Letras"",
IF(REGEXMATCH(S132, ""YouTube|youtube""), 
   ""YouTube "&amp;"(""&amp;
   IF(REGEXMATCH(S132, ""Itaú Cultural""), ""Itaú Cultural"",
   IF(REGEXMATCH(S132, ""Rede TVT""), ""Rede TVT"",
   IF(REGEXMATCH(S132, ""Frente pelo Desencarceramento SP""), ""Frente Pelo Desencarceramento SP"",
   IF(REGEXMATCH(S132, ""TV ABA""), "&amp;"""TV ABA"",
   IF(REGEXMATCH(S132, ""TV SENADO""), ""TV Senado"",
   IF(REGEXMATCH(S132, ""Canal USP""), ""Canal USP"",
   IF(REGEXMATCH(S132, ""Douer, Zack|Zack Douer""), ""Douer Zack"",
   IF(REGEXMATCH(S132, ""PRISIONEIRO 84\.901|PRISIONEIRO 84""), ""P"&amp;"risioneiro 84.901"",
   IF(REGEXMATCH(S132, ""^[^,]*, ""), 
        PROPER(REGEXREPLACE(REGEXEXTRACT(S132, ""^([^.]*)\.""), ""^([^,]*), (.*)"", ""$2 $1"")),
        PROPER(REGEXEXTRACT(S132, ""^([^.]*)\.""))
   )))))))))&amp;"")"",
IF(REGEXMATCH(S132, ""Spot"&amp;"ify|spotify""), 
   ""Spotify (""&amp;
   IF(REGEXMATCH(S132, ""ESTRANHO SORRISO""), ""Estranho Sorriso"",
   PROPER(REGEXEXTRACT(S132, ""^([^.]*)\.""))
   )&amp;"")"",
IF(REGEXMATCH(S132, ""Vimeo|vimeo""), 
   ""Vimeo (""&amp;
   IF(REGEXMATCH(S132, ""Passa Palavra"&amp;"""), ""Passa Palavra"",
   PROPER(REGEXEXTRACT(S132, ""^([^.]*)\.""))
   )&amp;"")"",
IF(REGEXMATCH(S132, ""Blogspot""), 
   ""Blogspot (""&amp;
   IF(REGEXMATCH(S132, ""rede2deoutubro""), ""Rede 02 de Outubro"",
   PROPER(REGEXEXTRACT(S132, ""^([^.]*)\.""))
   "&amp;")&amp;"")"",
IF(REGEXMATCH(S132, ""Facebook""), 
   ""Facebook (""&amp;
   IF(REGEXMATCH(S132, ""Mídia Ninja""), ""Mídia Ninja"",
   PROPER(REGEXEXTRACT(S132, ""^([^.]*)\.""))
   )&amp;"")"",
IF(REGEXMATCH(S132, ""Instagram""), 
   ""Instagram (""&amp;
   IF(REGEXMATCH"&amp;"(S132, ""Memórias Carandiru""), ""Memórias Carandiru"",
   PROPER(REGEXEXTRACT(S132, ""^([^.]*)\.""))
   )&amp;"")"",
IF(REGEXMATCH(S132, ""Folha de S\. Paulo|FOLHA DE S\. PAULO""), ""Folha de S. Paulo"",
IF(REGEXMATCH(S132, ""O Estado de S\. Paulo|ESTADAO"""&amp;"), ""O Estado de S. Paulo"",
IF(REGEXMATCH(S132, ""salasecreta""), ""Wordpress (Sala Secreta)"",
IF(REGEXMATCH(S132, ""Wikipedia|Wikipédia|WIKIPÉDIA""), ""Wikipedia"",
IF(REGEXMATCH(S132, ""VEJA|Veja""), ""Veja Abril"",
IF(REGEXMATCH(S404, ""Rede Globo|RE"&amp;"DE GLOBO""), ""Rede Globo"",
IF(REGEXMATCH(S404, ""G1|globo\.com""), ""G1"",
IF(REGEXMATCH(S132, ""Deutsche Welle|DW\.com""), ""Deutsche Welle"",
IF(REGEXMATCH(S132, ""CIDH|Comissão Interamericana""), ""Comissão Interamericana de Direitos Humanos (CIDH)"""&amp;",
IF(REGEXMATCH(S132, ""Pastoral Carcerária""), ""Pastoral Carcerária"",
IF(REGEXMATCH(S132, ""Esquerda Web""), ""Esquerda Web"",
IF(REGEXMATCH(S132, ""ONU|Organização das Nações Unidas""), ""ONU Brasil"",
IF(REGEXMATCH(S132, ""Quilombo Invisível""), ""Qu"&amp;"ilombo Invisível"",
IF(REGEXMATCH(S132, ""ALESP|Assembleia Legislativa""), ""ALESP"",
IF(REGEXMATCH(S132, ""Revista Opera""), ""Revista Opera"",
IF(REGEXMATCH(S132, ""SP Escola de Teatro""), ""SP Escola de Teatro"",
IF(REGEXMATCH(S132, ""EMC|Espaço Memóri"&amp;"a Carandiru""), ""EMC Espaço Memória Carandiru"",
IF(REGEXMATCH(S132, ""^RAMOS, Nuno|Nuno Ramos""), ""Nuno Ramos"",
IF(REGEXMATCH(S132, ""^VELOSO, Caetano|Caetano Veloso""), ""YouTube (Caetano Veloso)"",
IF(REGEXMATCH(S132, ""^FATOS REAIS""), ""YouTube ("&amp;"Fatos Reais - Topic)"",
IF(REGEXMATCH(S132, ""^SALA SECRETA""), ""Wordpress (Sala Secreta)"",
PROPER(REGEXEXTRACT(S132, ""^([^.]*)\.""))
))))))))))))))))))))))))))))))))))))))))))))))))))))))))"),"YouTube (Redetv)")</f>
        <v>YouTube (Redetv)</v>
      </c>
      <c r="N132" s="11" t="s">
        <v>47</v>
      </c>
      <c r="O132" s="14" t="s">
        <v>374</v>
      </c>
      <c r="P132" s="171">
        <v>45946.0</v>
      </c>
      <c r="Q132" s="11" t="s">
        <v>154</v>
      </c>
      <c r="R132" s="70" t="str">
        <f t="shared" si="8"/>
        <v>Aqui</v>
      </c>
      <c r="S132" s="75" t="s">
        <v>788</v>
      </c>
    </row>
    <row r="133">
      <c r="A133" s="11">
        <v>131.0</v>
      </c>
      <c r="B133" s="11" t="s">
        <v>703</v>
      </c>
      <c r="C133" s="12" t="str">
        <f>IFERROR(__xludf.DUMMYFUNCTION("IF(B133="""","""",IF(OR(
  REGEXMATCH(B133,""Performance|Instalação|Álbum|Música|Poema|Livro|Filme|Documentário|Recitação|Espetáculo|Peça|Intervenção|Desfile|Fotografia|Exposição|Charge|Grafite|Leitura pública|Fabricação de cachaça artesanal""),
  REGEXMA"&amp;"TCH(B133,""dança|teatral|artístico|musical|artística"")
),""Manifestação artístico-cultural"",
IF(OR(
  REGEXMATCH(B133,""Crônica|Série|Reportagem|Podcast|Audiotour|Entrevista|Vídeo|Rádio""),
  REGEXMATCH(B133,""midiática"")
),""Produção midiática"","""")"&amp;"))
"),"Produção midiática")</f>
        <v>Produção midiática</v>
      </c>
      <c r="D133" s="13" t="str">
        <f>IFERROR(__xludf.DUMMYFUNCTION("IF(B133="""","""",IF(OR(
  REGEXMATCH(B133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REGEXMATCH(B133,""público|Imediato|artística|teatral|memória"")
),""Público Imediato"",
IF(REGEXMATCH(B133,""Música|Álbum|Filme|Documentário|Série|Podc"&amp;"ast|Rádio|Audiotour|Entrevista|Reportagem|Crônica|Relatório|Abaixo-assinado|Manifesto|Petição|Poema|Livro|Fotografia|Curta|Live|Webinário|Charge|Leitura pública|Vídeo""),
""Público Mediado"","""")))
"),"Público Mediado")</f>
        <v>Público Mediado</v>
      </c>
      <c r="E133" s="13" t="str">
        <f>IFERROR(__xludf.DUMMYFUNCTION("IF(B133="""","""",IF(OR(
  REGEXMATCH(B133,""Live|Webinário|Virtual""),
  REGEXMATCH(B133,""online"")
),""Virtual"",
IF(REGEXMATCH(B133,""Música|Álbum|Filme|Documentário|Série|Podcast|Rádio|Audiotour|Episódio|Reportagem|Curta|Charge|Livro|Vídeo|Entrevista"&amp;"""),
""Midiático"",
IF(REGEXMATCH(B133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3" s="211" t="str">
        <f>IFERROR(__xludf.DUMMYFUNCTION("IF(REGEXMATCH(S133,""YouTube""),
  REGEXREPLACE(
    REGEXREPLACE(
      REGEXREPLACE(
        REGEXREPLACE(
          REGEXREPLACE(
            REGEXREPLACE(
              REGEXREPLACE(
                REGEXREPLACE(
                  REGEXREPLACE(
      "&amp;"              REGEXREPLACE(
                      REGEXREPLACE(
                        REGEXREPLACE(
                          REGEXREPLACE(
                            REGEXEXTRACT(S133,""YouTube, ([0-9]{1,2} [a-z]{3,8}\. [0-9]{4})""),
                 "&amp;"         "" jan\. "",""\/01\/""),
                        "" fev\. "",""\/02\/""),
                      "" mar\. "",""\/03\/""),
                    "" abr\. "",""\/04\/""),
                  "" mai\. "",""\/05\/""),
                "" jun\. "",""\/06\/"&amp;"""),
              "" jul\. "",""\/07\/""),
            "" ago\. "",""\/08\/""),
          "" set\. "",""\/09\/""),
        "" out\. "",""\/10\/""),
      "" nov\. "",""\/11\/""),
    "" dez\. "",""\/12\/""),
  ""\s*/\s*"",""/""),
"""")
"),"1/10/2022")</f>
        <v>1/10/2022</v>
      </c>
      <c r="G133" s="15">
        <f t="shared" si="1"/>
        <v>2022</v>
      </c>
      <c r="H133" s="14" t="s">
        <v>23</v>
      </c>
      <c r="I133" s="18" t="s">
        <v>757</v>
      </c>
      <c r="J133" s="210" t="str">
        <f>IFERROR(__xludf.DUMMYFUNCTION("REGEXEXTRACT(S133, ""\.\s(.*?)\s*YouTube"")"),"Malandro: fake news no Pav. 9 (29 anos e 364 dias atrás).")</f>
        <v>Malandro: fake news no Pav. 9 (29 anos e 364 dias atrás).</v>
      </c>
      <c r="K133" s="16" t="s">
        <v>83</v>
      </c>
      <c r="L133" s="18" t="s">
        <v>329</v>
      </c>
      <c r="M133" s="15" t="str">
        <f>IFERROR(__xludf.DUMMYFUNCTION("IF(REGEXMATCH(S133, ""Companhia das Letras""), ""Companhia das Letras"",
IF(REGEXMATCH(S133, ""Labortexto Editorial""), ""Labortexto Editorial"",
IF(REGEXMATCH(S133, ""Geração Editorial""), ""Geração Editorial"",
IF(REGEXMATCH(S133, ""Editora Imprensa Ofi"&amp;"cial|Imprensa Oficial""), ""Editora Imprensa Oficial"",
IF(REGEXMATCH(S133, ""Folha Online""), ""Folha Online"",
IF(REGEXMATCH(S133, ""FGV DIREITO SP|FGV Direito SP""), ""FGV DIREITO SP"",
IF(REGEXMATCH(S133, ""massacrecarandiru\.org\.br""), ""Memória Mas"&amp;"sacre Carandiru"",
IF(REGEXMATCH(S133, ""Itaú Cultural""), ""YouTube (Itaú Cultural)"",
IF(REGEXMATCH(S133, ""Passa Palavra""), ""Vimeo (Passa Palavra)"",
IF(REGEXMATCH(S133, ""rede2deoutubro\.blogspot""), ""Blogspot (Rede 02 de Outubro)"",
IF(REGEXMATCH("&amp;"S133, ""Rede TVT""), ""YouTube (Rede TVT)"",
IF(REGEXMATCH(S133, ""Esquerda Diário""), ""Esquerda Diário"",
IF(REGEXMATCH(S133, ""GZH""), ""GZH"",
IF(REGEXMATCH(S133, ""TVPUC""), ""TVPUC"",
IF(REGEXMATCH(S133, ""Mídia Ninja.*Facebook""), ""Facebook (Mídia"&amp;" Ninja)"",
IF(REGEXMATCH(S133, ""Memórias Carandiru.*Instagram""), ""Instagram (Memórias Carandiru)"",
IF(REGEXMATCH(S133, ""Frente pelo Desencarceramento SP""), ""YouTube (Frente Pelo Desencarceramento SP)"",
IF(REGEXMATCH(S133, ""TV ABA""), ""YouTube (T"&amp;"V ABA)"",
IF(REGEXMATCH(S133, ""TV SENADO""), ""YouTube (TV Senado)"",
IF(REGEXMATCH(S133, ""Google Arts &amp; Culture""), ""Google Arts &amp; Culture (Memória Massacre Carandiru)"",
IF(REGEXMATCH(S133, ""Anistia Internacional|ANISTIA INTERNACIONAL""), ""Anistia "&amp;"Internacional"",
IF(REGEXMATCH(S133, ""47\.mostra|47a Mostra""), ""47a Mostra Internacional de Cinema em São Paulo"",
IF(REGEXMATCH(S133, ""Canal USP""), ""YouTube (Canal USP)"",
IF(AND(
  REGEXMATCH(S133, ""(?i)(teses?\.usp\.br|dissertacoes?\.usp\.br|rep"&amp;"ositorio\.usp\.br)""),
  NOT(REGEXMATCH(S133, ""Canal USP""))
), ""Biblioteca Digital de Teses e Dissertações da USP"",
IF(REGEXMATCH(S133, ""SINTRAJUSC""), ""SINTRAJUSC"",
IF(REGEXMATCH(S133, ""Agência Brasil|Agencia Brasil""), ""Agência Brasil"",
IF(REG"&amp;"EXMATCH(S133, ""Brasil de Fato""), ""Brasil de Fato"",
IF(REGEXMATCH(S133, ""Ponte Jornalismo|pontejornalismo""), ""Ponte Jornalismo"",
IF(REGEXMATCH(S133, ""letras\.mus\.br|Letras,""), ""Letras"",
IF(REGEXMATCH(S133, ""YouTube|youtube""), 
   ""YouTube "&amp;"(""&amp;
   IF(REGEXMATCH(S133, ""Itaú Cultural""), ""Itaú Cultural"",
   IF(REGEXMATCH(S133, ""Rede TVT""), ""Rede TVT"",
   IF(REGEXMATCH(S133, ""Frente pelo Desencarceramento SP""), ""Frente Pelo Desencarceramento SP"",
   IF(REGEXMATCH(S133, ""TV ABA""), "&amp;"""TV ABA"",
   IF(REGEXMATCH(S133, ""TV SENADO""), ""TV Senado"",
   IF(REGEXMATCH(S133, ""Canal USP""), ""Canal USP"",
   IF(REGEXMATCH(S133, ""Douer, Zack|Zack Douer""), ""Douer Zack"",
   IF(REGEXMATCH(S133, ""PRISIONEIRO 84\.901|PRISIONEIRO 84""), ""P"&amp;"risioneiro 84.901"",
   IF(REGEXMATCH(S133, ""^[^,]*, ""), 
        PROPER(REGEXREPLACE(REGEXEXTRACT(S133, ""^([^.]*)\.""), ""^([^,]*), (.*)"", ""$2 $1"")),
        PROPER(REGEXEXTRACT(S133, ""^([^.]*)\.""))
   )))))))))&amp;"")"",
IF(REGEXMATCH(S133, ""Spot"&amp;"ify|spotify""), 
   ""Spotify (""&amp;
   IF(REGEXMATCH(S133, ""ESTRANHO SORRISO""), ""Estranho Sorriso"",
   PROPER(REGEXEXTRACT(S133, ""^([^.]*)\.""))
   )&amp;"")"",
IF(REGEXMATCH(S133, ""Vimeo|vimeo""), 
   ""Vimeo (""&amp;
   IF(REGEXMATCH(S133, ""Passa Palavra"&amp;"""), ""Passa Palavra"",
   PROPER(REGEXEXTRACT(S133, ""^([^.]*)\.""))
   )&amp;"")"",
IF(REGEXMATCH(S133, ""Blogspot""), 
   ""Blogspot (""&amp;
   IF(REGEXMATCH(S133, ""rede2deoutubro""), ""Rede 02 de Outubro"",
   PROPER(REGEXEXTRACT(S133, ""^([^.]*)\.""))
   "&amp;")&amp;"")"",
IF(REGEXMATCH(S133, ""Facebook""), 
   ""Facebook (""&amp;
   IF(REGEXMATCH(S133, ""Mídia Ninja""), ""Mídia Ninja"",
   PROPER(REGEXEXTRACT(S133, ""^([^.]*)\.""))
   )&amp;"")"",
IF(REGEXMATCH(S133, ""Instagram""), 
   ""Instagram (""&amp;
   IF(REGEXMATCH"&amp;"(S133, ""Memórias Carandiru""), ""Memórias Carandiru"",
   PROPER(REGEXEXTRACT(S133, ""^([^.]*)\.""))
   )&amp;"")"",
IF(REGEXMATCH(S133, ""Folha de S\. Paulo|FOLHA DE S\. PAULO""), ""Folha de S. Paulo"",
IF(REGEXMATCH(S133, ""O Estado de S\. Paulo|ESTADAO"""&amp;"), ""O Estado de S. Paulo"",
IF(REGEXMATCH(S133, ""salasecreta""), ""Wordpress (Sala Secreta)"",
IF(REGEXMATCH(S133, ""Wikipedia|Wikipédia|WIKIPÉDIA""), ""Wikipedia"",
IF(REGEXMATCH(S133, ""VEJA|Veja""), ""Veja Abril"",
IF(REGEXMATCH(S405, ""Rede Globo|RE"&amp;"DE GLOBO""), ""Rede Globo"",
IF(REGEXMATCH(S405, ""G1|globo\.com""), ""G1"",
IF(REGEXMATCH(S133, ""Deutsche Welle|DW\.com""), ""Deutsche Welle"",
IF(REGEXMATCH(S133, ""CIDH|Comissão Interamericana""), ""Comissão Interamericana de Direitos Humanos (CIDH)"""&amp;",
IF(REGEXMATCH(S133, ""Pastoral Carcerária""), ""Pastoral Carcerária"",
IF(REGEXMATCH(S133, ""Esquerda Web""), ""Esquerda Web"",
IF(REGEXMATCH(S133, ""ONU|Organização das Nações Unidas""), ""ONU Brasil"",
IF(REGEXMATCH(S133, ""Quilombo Invisível""), ""Qu"&amp;"ilombo Invisível"",
IF(REGEXMATCH(S133, ""ALESP|Assembleia Legislativa""), ""ALESP"",
IF(REGEXMATCH(S133, ""Revista Opera""), ""Revista Opera"",
IF(REGEXMATCH(S133, ""SP Escola de Teatro""), ""SP Escola de Teatro"",
IF(REGEXMATCH(S133, ""EMC|Espaço Memóri"&amp;"a Carandiru""), ""EMC Espaço Memória Carandiru"",
IF(REGEXMATCH(S133, ""^RAMOS, Nuno|Nuno Ramos""), ""Nuno Ramos"",
IF(REGEXMATCH(S133, ""^VELOSO, Caetano|Caetano Veloso""), ""YouTube (Caetano Veloso)"",
IF(REGEXMATCH(S133, ""^FATOS REAIS""), ""YouTube ("&amp;"Fatos Reais - Topic)"",
IF(REGEXMATCH(S133, ""^SALA SECRETA""), ""Wordpress (Sala Secreta)"",
PROPER(REGEXEXTRACT(S133, ""^([^.]*)\.""))
))))))))))))))))))))))))))))))))))))))))))))))))))))))))"),"YouTube (Prisioneiro 84.901)")</f>
        <v>YouTube (Prisioneiro 84.901)</v>
      </c>
      <c r="N133" s="11" t="s">
        <v>47</v>
      </c>
      <c r="O133" s="14" t="s">
        <v>546</v>
      </c>
      <c r="P133" s="171">
        <v>45946.0</v>
      </c>
      <c r="Q133" s="11" t="s">
        <v>154</v>
      </c>
      <c r="R133" s="70" t="str">
        <f t="shared" si="8"/>
        <v>Aqui</v>
      </c>
      <c r="S133" s="172" t="s">
        <v>789</v>
      </c>
    </row>
    <row r="134">
      <c r="A134" s="11">
        <v>132.0</v>
      </c>
      <c r="B134" s="11" t="s">
        <v>790</v>
      </c>
      <c r="C134" s="12" t="str">
        <f>IFERROR(__xludf.DUMMYFUNCTION("IF(B134="""","""",IF(OR(
  REGEXMATCH(B134,""Performance|Instalação|Álbum|Música|Poema|Livro|Filme|Documentário|Recitação|Espetáculo|Peça|Intervenção|Desfile|Fotografia|Exposição|Charge|Grafite|Leitura pública|Fabricação de cachaça artesanal""),
  REGEXMA"&amp;"TCH(B134,""dança|teatral|artístico|musical|artística"")
),""Manifestação artístico-cultural"",
IF(OR(
  REGEXMATCH(B134,""Crônica|Série|Reportagem|Podcast|Audiotour|Entrevista|Vídeo|Rádio""),
  REGEXMATCH(B134,""midiática"")
),""Produção midiática"","""")"&amp;"))
"),"Manifestação artístico-cultural")</f>
        <v>Manifestação artístico-cultural</v>
      </c>
      <c r="D134" s="13" t="str">
        <f>IFERROR(__xludf.DUMMYFUNCTION("IF(B134="""","""",IF(OR(
  REGEXMATCH(B134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REGEXMATCH(B134,""público|Imediato|artística|teatral|memória"")
),""Público Imediato"",
IF(REGEXMATCH(B134,""Música|Álbum|Filme|Documentário|Série|Podc"&amp;"ast|Rádio|Audiotour|Entrevista|Reportagem|Crônica|Relatório|Abaixo-assinado|Manifesto|Petição|Poema|Livro|Fotografia|Curta|Live|Webinário|Charge|Leitura pública|Vídeo""),
""Público Mediado"","""")))
"),"Público Imediato")</f>
        <v>Público Imediato</v>
      </c>
      <c r="E134" s="13" t="str">
        <f>IFERROR(__xludf.DUMMYFUNCTION("IF(B134="""","""",IF(OR(
  REGEXMATCH(B134,""Live|Webinário|Virtual""),
  REGEXMATCH(B134,""online"")
),""Virtual"",
IF(REGEXMATCH(B134,""Música|Álbum|Filme|Documentário|Série|Podcast|Rádio|Audiotour|Episódio|Reportagem|Curta|Charge|Livro|Vídeo|Entrevista"&amp;"""),
""Midiático"",
IF(REGEXMATCH(B134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34" s="211" t="str">
        <f>IFERROR(__xludf.DUMMYFUNCTION("IF(REGEXMATCH(S134,""YouTube""),
  REGEXREPLACE(
    REGEXREPLACE(
      REGEXREPLACE(
        REGEXREPLACE(
          REGEXREPLACE(
            REGEXREPLACE(
              REGEXREPLACE(
                REGEXREPLACE(
                  REGEXREPLACE(
      "&amp;"              REGEXREPLACE(
                      REGEXREPLACE(
                        REGEXREPLACE(
                          REGEXREPLACE(
                            REGEXEXTRACT(S134,""YouTube, ([0-9]{1,2} [a-z]{3,8}\. [0-9]{4})""),
                 "&amp;"         "" jan\. "",""\/01\/""),
                        "" fev\. "",""\/02\/""),
                      "" mar\. "",""\/03\/""),
                    "" abr\. "",""\/04\/""),
                  "" mai\. "",""\/05\/""),
                "" jun\. "",""\/06\/"&amp;"""),
              "" jul\. "",""\/07\/""),
            "" ago\. "",""\/08\/""),
          "" set\. "",""\/09\/""),
        "" out\. "",""\/10\/""),
      "" nov\. "",""\/11\/""),
    "" dez\. "",""\/12\/""),
  ""\s*/\s*"",""/""),
"""")
"),"18/12/2022")</f>
        <v>18/12/2022</v>
      </c>
      <c r="G134" s="15">
        <f t="shared" si="1"/>
        <v>2022</v>
      </c>
      <c r="H134" s="14" t="s">
        <v>23</v>
      </c>
      <c r="I134" s="18" t="s">
        <v>757</v>
      </c>
      <c r="J134" s="210" t="str">
        <f>IFERROR(__xludf.DUMMYFUNCTION("REGEXEXTRACT(S134, ""\.\s(.*?)\s*YouTube"")"),"Passo a passo da “Maria Loka” – Parte 1.")</f>
        <v>Passo a passo da “Maria Loka” – Parte 1.</v>
      </c>
      <c r="K134" s="16" t="s">
        <v>83</v>
      </c>
      <c r="L134" s="18" t="s">
        <v>329</v>
      </c>
      <c r="M134" s="15" t="str">
        <f>IFERROR(__xludf.DUMMYFUNCTION("IF(REGEXMATCH(S134, ""Companhia das Letras""), ""Companhia das Letras"",
IF(REGEXMATCH(S134, ""Labortexto Editorial""), ""Labortexto Editorial"",
IF(REGEXMATCH(S134, ""Geração Editorial""), ""Geração Editorial"",
IF(REGEXMATCH(S134, ""Editora Imprensa Ofi"&amp;"cial|Imprensa Oficial""), ""Editora Imprensa Oficial"",
IF(REGEXMATCH(S134, ""Folha Online""), ""Folha Online"",
IF(REGEXMATCH(S134, ""FGV DIREITO SP|FGV Direito SP""), ""FGV DIREITO SP"",
IF(REGEXMATCH(S134, ""massacrecarandiru\.org\.br""), ""Memória Mas"&amp;"sacre Carandiru"",
IF(REGEXMATCH(S134, ""Itaú Cultural""), ""YouTube (Itaú Cultural)"",
IF(REGEXMATCH(S134, ""Passa Palavra""), ""Vimeo (Passa Palavra)"",
IF(REGEXMATCH(S134, ""rede2deoutubro\.blogspot""), ""Blogspot (Rede 02 de Outubro)"",
IF(REGEXMATCH("&amp;"S134, ""Rede TVT""), ""YouTube (Rede TVT)"",
IF(REGEXMATCH(S134, ""Esquerda Diário""), ""Esquerda Diário"",
IF(REGEXMATCH(S134, ""GZH""), ""GZH"",
IF(REGEXMATCH(S134, ""TVPUC""), ""TVPUC"",
IF(REGEXMATCH(S134, ""Mídia Ninja.*Facebook""), ""Facebook (Mídia"&amp;" Ninja)"",
IF(REGEXMATCH(S134, ""Memórias Carandiru.*Instagram""), ""Instagram (Memórias Carandiru)"",
IF(REGEXMATCH(S134, ""Frente pelo Desencarceramento SP""), ""YouTube (Frente Pelo Desencarceramento SP)"",
IF(REGEXMATCH(S134, ""TV ABA""), ""YouTube (T"&amp;"V ABA)"",
IF(REGEXMATCH(S134, ""TV SENADO""), ""YouTube (TV Senado)"",
IF(REGEXMATCH(S134, ""Google Arts &amp; Culture""), ""Google Arts &amp; Culture (Memória Massacre Carandiru)"",
IF(REGEXMATCH(S134, ""Anistia Internacional|ANISTIA INTERNACIONAL""), ""Anistia "&amp;"Internacional"",
IF(REGEXMATCH(S134, ""47\.mostra|47a Mostra""), ""47a Mostra Internacional de Cinema em São Paulo"",
IF(REGEXMATCH(S134, ""Canal USP""), ""YouTube (Canal USP)"",
IF(AND(
  REGEXMATCH(S134, ""(?i)(teses?\.usp\.br|dissertacoes?\.usp\.br|rep"&amp;"ositorio\.usp\.br)""),
  NOT(REGEXMATCH(S134, ""Canal USP""))
), ""Biblioteca Digital de Teses e Dissertações da USP"",
IF(REGEXMATCH(S134, ""SINTRAJUSC""), ""SINTRAJUSC"",
IF(REGEXMATCH(S134, ""Agência Brasil|Agencia Brasil""), ""Agência Brasil"",
IF(REG"&amp;"EXMATCH(S134, ""Brasil de Fato""), ""Brasil de Fato"",
IF(REGEXMATCH(S134, ""Ponte Jornalismo|pontejornalismo""), ""Ponte Jornalismo"",
IF(REGEXMATCH(S134, ""letras\.mus\.br|Letras,""), ""Letras"",
IF(REGEXMATCH(S134, ""YouTube|youtube""), 
   ""YouTube "&amp;"(""&amp;
   IF(REGEXMATCH(S134, ""Itaú Cultural""), ""Itaú Cultural"",
   IF(REGEXMATCH(S134, ""Rede TVT""), ""Rede TVT"",
   IF(REGEXMATCH(S134, ""Frente pelo Desencarceramento SP""), ""Frente Pelo Desencarceramento SP"",
   IF(REGEXMATCH(S134, ""TV ABA""), "&amp;"""TV ABA"",
   IF(REGEXMATCH(S134, ""TV SENADO""), ""TV Senado"",
   IF(REGEXMATCH(S134, ""Canal USP""), ""Canal USP"",
   IF(REGEXMATCH(S134, ""Douer, Zack|Zack Douer""), ""Douer Zack"",
   IF(REGEXMATCH(S134, ""PRISIONEIRO 84\.901|PRISIONEIRO 84""), ""P"&amp;"risioneiro 84.901"",
   IF(REGEXMATCH(S134, ""^[^,]*, ""), 
        PROPER(REGEXREPLACE(REGEXEXTRACT(S134, ""^([^.]*)\.""), ""^([^,]*), (.*)"", ""$2 $1"")),
        PROPER(REGEXEXTRACT(S134, ""^([^.]*)\.""))
   )))))))))&amp;"")"",
IF(REGEXMATCH(S134, ""Spot"&amp;"ify|spotify""), 
   ""Spotify (""&amp;
   IF(REGEXMATCH(S134, ""ESTRANHO SORRISO""), ""Estranho Sorriso"",
   PROPER(REGEXEXTRACT(S134, ""^([^.]*)\.""))
   )&amp;"")"",
IF(REGEXMATCH(S134, ""Vimeo|vimeo""), 
   ""Vimeo (""&amp;
   IF(REGEXMATCH(S134, ""Passa Palavra"&amp;"""), ""Passa Palavra"",
   PROPER(REGEXEXTRACT(S134, ""^([^.]*)\.""))
   )&amp;"")"",
IF(REGEXMATCH(S134, ""Blogspot""), 
   ""Blogspot (""&amp;
   IF(REGEXMATCH(S134, ""rede2deoutubro""), ""Rede 02 de Outubro"",
   PROPER(REGEXEXTRACT(S134, ""^([^.]*)\.""))
   "&amp;")&amp;"")"",
IF(REGEXMATCH(S134, ""Facebook""), 
   ""Facebook (""&amp;
   IF(REGEXMATCH(S134, ""Mídia Ninja""), ""Mídia Ninja"",
   PROPER(REGEXEXTRACT(S134, ""^([^.]*)\.""))
   )&amp;"")"",
IF(REGEXMATCH(S134, ""Instagram""), 
   ""Instagram (""&amp;
   IF(REGEXMATCH"&amp;"(S134, ""Memórias Carandiru""), ""Memórias Carandiru"",
   PROPER(REGEXEXTRACT(S134, ""^([^.]*)\.""))
   )&amp;"")"",
IF(REGEXMATCH(S134, ""Folha de S\. Paulo|FOLHA DE S\. PAULO""), ""Folha de S. Paulo"",
IF(REGEXMATCH(S134, ""O Estado de S\. Paulo|ESTADAO"""&amp;"), ""O Estado de S. Paulo"",
IF(REGEXMATCH(S134, ""salasecreta""), ""Wordpress (Sala Secreta)"",
IF(REGEXMATCH(S134, ""Wikipedia|Wikipédia|WIKIPÉDIA""), ""Wikipedia"",
IF(REGEXMATCH(S134, ""VEJA|Veja""), ""Veja Abril"",
IF(REGEXMATCH(S406, ""Rede Globo|RE"&amp;"DE GLOBO""), ""Rede Globo"",
IF(REGEXMATCH(S406, ""G1|globo\.com""), ""G1"",
IF(REGEXMATCH(S134, ""Deutsche Welle|DW\.com""), ""Deutsche Welle"",
IF(REGEXMATCH(S134, ""CIDH|Comissão Interamericana""), ""Comissão Interamericana de Direitos Humanos (CIDH)"""&amp;",
IF(REGEXMATCH(S134, ""Pastoral Carcerária""), ""Pastoral Carcerária"",
IF(REGEXMATCH(S134, ""Esquerda Web""), ""Esquerda Web"",
IF(REGEXMATCH(S134, ""ONU|Organização das Nações Unidas""), ""ONU Brasil"",
IF(REGEXMATCH(S134, ""Quilombo Invisível""), ""Qu"&amp;"ilombo Invisível"",
IF(REGEXMATCH(S134, ""ALESP|Assembleia Legislativa""), ""ALESP"",
IF(REGEXMATCH(S134, ""Revista Opera""), ""Revista Opera"",
IF(REGEXMATCH(S134, ""SP Escola de Teatro""), ""SP Escola de Teatro"",
IF(REGEXMATCH(S134, ""EMC|Espaço Memóri"&amp;"a Carandiru""), ""EMC Espaço Memória Carandiru"",
IF(REGEXMATCH(S134, ""^RAMOS, Nuno|Nuno Ramos""), ""Nuno Ramos"",
IF(REGEXMATCH(S134, ""^VELOSO, Caetano|Caetano Veloso""), ""YouTube (Caetano Veloso)"",
IF(REGEXMATCH(S134, ""^FATOS REAIS""), ""YouTube ("&amp;"Fatos Reais - Topic)"",
IF(REGEXMATCH(S134, ""^SALA SECRETA""), ""Wordpress (Sala Secreta)"",
PROPER(REGEXEXTRACT(S134, ""^([^.]*)\.""))
))))))))))))))))))))))))))))))))))))))))))))))))))))))))"),"YouTube (Prisioneiro 84.901)")</f>
        <v>YouTube (Prisioneiro 84.901)</v>
      </c>
      <c r="N134" s="11" t="s">
        <v>47</v>
      </c>
      <c r="O134" s="14" t="s">
        <v>546</v>
      </c>
      <c r="P134" s="171">
        <v>45946.0</v>
      </c>
      <c r="Q134" s="11" t="s">
        <v>154</v>
      </c>
      <c r="R134" s="70" t="str">
        <f t="shared" si="8"/>
        <v>Aqui</v>
      </c>
      <c r="S134" s="172" t="s">
        <v>791</v>
      </c>
    </row>
    <row r="135">
      <c r="A135" s="11">
        <v>133.0</v>
      </c>
      <c r="B135" s="11" t="s">
        <v>790</v>
      </c>
      <c r="C135" s="12" t="str">
        <f>IFERROR(__xludf.DUMMYFUNCTION("IF(B135="""","""",IF(OR(
  REGEXMATCH(B135,""Performance|Instalação|Álbum|Música|Poema|Livro|Filme|Documentário|Recitação|Espetáculo|Peça|Intervenção|Desfile|Fotografia|Exposição|Charge|Grafite|Leitura pública|Fabricação de cachaça artesanal""),
  REGEXMA"&amp;"TCH(B135,""dança|teatral|artístico|musical|artística"")
),""Manifestação artístico-cultural"",
IF(OR(
  REGEXMATCH(B135,""Crônica|Série|Reportagem|Podcast|Audiotour|Entrevista|Vídeo|Rádio""),
  REGEXMATCH(B135,""midiática"")
),""Produção midiática"","""")"&amp;"))
"),"Manifestação artístico-cultural")</f>
        <v>Manifestação artístico-cultural</v>
      </c>
      <c r="D135" s="13" t="str">
        <f>IFERROR(__xludf.DUMMYFUNCTION("IF(B135="""","""",IF(OR(
  REGEXMATCH(B135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REGEXMATCH(B135,""público|Imediato|artística|teatral|memória"")
),""Público Imediato"",
IF(REGEXMATCH(B135,""Música|Álbum|Filme|Documentário|Série|Podc"&amp;"ast|Rádio|Audiotour|Entrevista|Reportagem|Crônica|Relatório|Abaixo-assinado|Manifesto|Petição|Poema|Livro|Fotografia|Curta|Live|Webinário|Charge|Leitura pública|Vídeo""),
""Público Mediado"","""")))
"),"Público Imediato")</f>
        <v>Público Imediato</v>
      </c>
      <c r="E135" s="13" t="str">
        <f>IFERROR(__xludf.DUMMYFUNCTION("IF(B135="""","""",IF(OR(
  REGEXMATCH(B135,""Live|Webinário|Virtual""),
  REGEXMATCH(B135,""online"")
),""Virtual"",
IF(REGEXMATCH(B135,""Música|Álbum|Filme|Documentário|Série|Podcast|Rádio|Audiotour|Episódio|Reportagem|Curta|Charge|Livro|Vídeo|Entrevista"&amp;"""),
""Midiático"",
IF(REGEXMATCH(B135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35" s="211" t="str">
        <f>IFERROR(__xludf.DUMMYFUNCTION("IF(REGEXMATCH(S135,""YouTube""),
  REGEXREPLACE(
    REGEXREPLACE(
      REGEXREPLACE(
        REGEXREPLACE(
          REGEXREPLACE(
            REGEXREPLACE(
              REGEXREPLACE(
                REGEXREPLACE(
                  REGEXREPLACE(
      "&amp;"              REGEXREPLACE(
                      REGEXREPLACE(
                        REGEXREPLACE(
                          REGEXREPLACE(
                            REGEXEXTRACT(S135,""YouTube, ([0-9]{1,2} [a-z]{3,8}\. [0-9]{4})""),
                 "&amp;"         "" jan\. "",""\/01\/""),
                        "" fev\. "",""\/02\/""),
                      "" mar\. "",""\/03\/""),
                    "" abr\. "",""\/04\/""),
                  "" mai\. "",""\/05\/""),
                "" jun\. "",""\/06\/"&amp;"""),
              "" jul\. "",""\/07\/""),
            "" ago\. "",""\/08\/""),
          "" set\. "",""\/09\/""),
        "" out\. "",""\/10\/""),
      "" nov\. "",""\/11\/""),
    "" dez\. "",""\/12\/""),
  ""\s*/\s*"",""/""),
"""")
"),"18/12/2022")</f>
        <v>18/12/2022</v>
      </c>
      <c r="G135" s="15">
        <f t="shared" si="1"/>
        <v>2022</v>
      </c>
      <c r="H135" s="14" t="s">
        <v>23</v>
      </c>
      <c r="I135" s="18" t="s">
        <v>757</v>
      </c>
      <c r="J135" s="210" t="str">
        <f>IFERROR(__xludf.DUMMYFUNCTION("REGEXEXTRACT(S135, ""\.\s(.*?)\s*YouTube"")"),"Cachaça na cadeia – Parte 2.")</f>
        <v>Cachaça na cadeia – Parte 2.</v>
      </c>
      <c r="K135" s="16" t="s">
        <v>83</v>
      </c>
      <c r="L135" s="18" t="s">
        <v>329</v>
      </c>
      <c r="M135" s="15" t="str">
        <f>IFERROR(__xludf.DUMMYFUNCTION("IF(REGEXMATCH(S135, ""Companhia das Letras""), ""Companhia das Letras"",
IF(REGEXMATCH(S135, ""Labortexto Editorial""), ""Labortexto Editorial"",
IF(REGEXMATCH(S135, ""Geração Editorial""), ""Geração Editorial"",
IF(REGEXMATCH(S135, ""Editora Imprensa Ofi"&amp;"cial|Imprensa Oficial""), ""Editora Imprensa Oficial"",
IF(REGEXMATCH(S135, ""Folha Online""), ""Folha Online"",
IF(REGEXMATCH(S135, ""FGV DIREITO SP|FGV Direito SP""), ""FGV DIREITO SP"",
IF(REGEXMATCH(S135, ""massacrecarandiru\.org\.br""), ""Memória Mas"&amp;"sacre Carandiru"",
IF(REGEXMATCH(S135, ""Itaú Cultural""), ""YouTube (Itaú Cultural)"",
IF(REGEXMATCH(S135, ""Passa Palavra""), ""Vimeo (Passa Palavra)"",
IF(REGEXMATCH(S135, ""rede2deoutubro\.blogspot""), ""Blogspot (Rede 02 de Outubro)"",
IF(REGEXMATCH("&amp;"S135, ""Rede TVT""), ""YouTube (Rede TVT)"",
IF(REGEXMATCH(S135, ""Esquerda Diário""), ""Esquerda Diário"",
IF(REGEXMATCH(S135, ""GZH""), ""GZH"",
IF(REGEXMATCH(S135, ""TVPUC""), ""TVPUC"",
IF(REGEXMATCH(S135, ""Mídia Ninja.*Facebook""), ""Facebook (Mídia"&amp;" Ninja)"",
IF(REGEXMATCH(S135, ""Memórias Carandiru.*Instagram""), ""Instagram (Memórias Carandiru)"",
IF(REGEXMATCH(S135, ""Frente pelo Desencarceramento SP""), ""YouTube (Frente Pelo Desencarceramento SP)"",
IF(REGEXMATCH(S135, ""TV ABA""), ""YouTube (T"&amp;"V ABA)"",
IF(REGEXMATCH(S135, ""TV SENADO""), ""YouTube (TV Senado)"",
IF(REGEXMATCH(S135, ""Google Arts &amp; Culture""), ""Google Arts &amp; Culture (Memória Massacre Carandiru)"",
IF(REGEXMATCH(S135, ""Anistia Internacional|ANISTIA INTERNACIONAL""), ""Anistia "&amp;"Internacional"",
IF(REGEXMATCH(S135, ""47\.mostra|47a Mostra""), ""47a Mostra Internacional de Cinema em São Paulo"",
IF(REGEXMATCH(S135, ""Canal USP""), ""YouTube (Canal USP)"",
IF(AND(
  REGEXMATCH(S135, ""(?i)(teses?\.usp\.br|dissertacoes?\.usp\.br|rep"&amp;"ositorio\.usp\.br)""),
  NOT(REGEXMATCH(S135, ""Canal USP""))
), ""Biblioteca Digital de Teses e Dissertações da USP"",
IF(REGEXMATCH(S135, ""SINTRAJUSC""), ""SINTRAJUSC"",
IF(REGEXMATCH(S135, ""Agência Brasil|Agencia Brasil""), ""Agência Brasil"",
IF(REG"&amp;"EXMATCH(S135, ""Brasil de Fato""), ""Brasil de Fato"",
IF(REGEXMATCH(S135, ""Ponte Jornalismo|pontejornalismo""), ""Ponte Jornalismo"",
IF(REGEXMATCH(S135, ""letras\.mus\.br|Letras,""), ""Letras"",
IF(REGEXMATCH(S135, ""YouTube|youtube""), 
   ""YouTube "&amp;"(""&amp;
   IF(REGEXMATCH(S135, ""Itaú Cultural""), ""Itaú Cultural"",
   IF(REGEXMATCH(S135, ""Rede TVT""), ""Rede TVT"",
   IF(REGEXMATCH(S135, ""Frente pelo Desencarceramento SP""), ""Frente Pelo Desencarceramento SP"",
   IF(REGEXMATCH(S135, ""TV ABA""), "&amp;"""TV ABA"",
   IF(REGEXMATCH(S135, ""TV SENADO""), ""TV Senado"",
   IF(REGEXMATCH(S135, ""Canal USP""), ""Canal USP"",
   IF(REGEXMATCH(S135, ""Douer, Zack|Zack Douer""), ""Douer Zack"",
   IF(REGEXMATCH(S135, ""PRISIONEIRO 84\.901|PRISIONEIRO 84""), ""P"&amp;"risioneiro 84.901"",
   IF(REGEXMATCH(S135, ""^[^,]*, ""), 
        PROPER(REGEXREPLACE(REGEXEXTRACT(S135, ""^([^.]*)\.""), ""^([^,]*), (.*)"", ""$2 $1"")),
        PROPER(REGEXEXTRACT(S135, ""^([^.]*)\.""))
   )))))))))&amp;"")"",
IF(REGEXMATCH(S135, ""Spot"&amp;"ify|spotify""), 
   ""Spotify (""&amp;
   IF(REGEXMATCH(S135, ""ESTRANHO SORRISO""), ""Estranho Sorriso"",
   PROPER(REGEXEXTRACT(S135, ""^([^.]*)\.""))
   )&amp;"")"",
IF(REGEXMATCH(S135, ""Vimeo|vimeo""), 
   ""Vimeo (""&amp;
   IF(REGEXMATCH(S135, ""Passa Palavra"&amp;"""), ""Passa Palavra"",
   PROPER(REGEXEXTRACT(S135, ""^([^.]*)\.""))
   )&amp;"")"",
IF(REGEXMATCH(S135, ""Blogspot""), 
   ""Blogspot (""&amp;
   IF(REGEXMATCH(S135, ""rede2deoutubro""), ""Rede 02 de Outubro"",
   PROPER(REGEXEXTRACT(S135, ""^([^.]*)\.""))
   "&amp;")&amp;"")"",
IF(REGEXMATCH(S135, ""Facebook""), 
   ""Facebook (""&amp;
   IF(REGEXMATCH(S135, ""Mídia Ninja""), ""Mídia Ninja"",
   PROPER(REGEXEXTRACT(S135, ""^([^.]*)\.""))
   )&amp;"")"",
IF(REGEXMATCH(S135, ""Instagram""), 
   ""Instagram (""&amp;
   IF(REGEXMATCH"&amp;"(S135, ""Memórias Carandiru""), ""Memórias Carandiru"",
   PROPER(REGEXEXTRACT(S135, ""^([^.]*)\.""))
   )&amp;"")"",
IF(REGEXMATCH(S135, ""Folha de S\. Paulo|FOLHA DE S\. PAULO""), ""Folha de S. Paulo"",
IF(REGEXMATCH(S135, ""O Estado de S\. Paulo|ESTADAO"""&amp;"), ""O Estado de S. Paulo"",
IF(REGEXMATCH(S135, ""salasecreta""), ""Wordpress (Sala Secreta)"",
IF(REGEXMATCH(S135, ""Wikipedia|Wikipédia|WIKIPÉDIA""), ""Wikipedia"",
IF(REGEXMATCH(S135, ""VEJA|Veja""), ""Veja Abril"",
IF(REGEXMATCH(S407, ""Rede Globo|RE"&amp;"DE GLOBO""), ""Rede Globo"",
IF(REGEXMATCH(S407, ""G1|globo\.com""), ""G1"",
IF(REGEXMATCH(S135, ""Deutsche Welle|DW\.com""), ""Deutsche Welle"",
IF(REGEXMATCH(S135, ""CIDH|Comissão Interamericana""), ""Comissão Interamericana de Direitos Humanos (CIDH)"""&amp;",
IF(REGEXMATCH(S135, ""Pastoral Carcerária""), ""Pastoral Carcerária"",
IF(REGEXMATCH(S135, ""Esquerda Web""), ""Esquerda Web"",
IF(REGEXMATCH(S135, ""ONU|Organização das Nações Unidas""), ""ONU Brasil"",
IF(REGEXMATCH(S135, ""Quilombo Invisível""), ""Qu"&amp;"ilombo Invisível"",
IF(REGEXMATCH(S135, ""ALESP|Assembleia Legislativa""), ""ALESP"",
IF(REGEXMATCH(S135, ""Revista Opera""), ""Revista Opera"",
IF(REGEXMATCH(S135, ""SP Escola de Teatro""), ""SP Escola de Teatro"",
IF(REGEXMATCH(S135, ""EMC|Espaço Memóri"&amp;"a Carandiru""), ""EMC Espaço Memória Carandiru"",
IF(REGEXMATCH(S135, ""^RAMOS, Nuno|Nuno Ramos""), ""Nuno Ramos"",
IF(REGEXMATCH(S135, ""^VELOSO, Caetano|Caetano Veloso""), ""YouTube (Caetano Veloso)"",
IF(REGEXMATCH(S135, ""^FATOS REAIS""), ""YouTube ("&amp;"Fatos Reais - Topic)"",
IF(REGEXMATCH(S135, ""^SALA SECRETA""), ""Wordpress (Sala Secreta)"",
PROPER(REGEXEXTRACT(S135, ""^([^.]*)\.""))
))))))))))))))))))))))))))))))))))))))))))))))))))))))))"),"YouTube (Prisioneiro 84.901)")</f>
        <v>YouTube (Prisioneiro 84.901)</v>
      </c>
      <c r="N135" s="11" t="s">
        <v>47</v>
      </c>
      <c r="O135" s="14" t="s">
        <v>546</v>
      </c>
      <c r="P135" s="171">
        <v>45946.0</v>
      </c>
      <c r="Q135" s="11" t="s">
        <v>154</v>
      </c>
      <c r="R135" s="70" t="str">
        <f t="shared" si="8"/>
        <v>Aqui</v>
      </c>
      <c r="S135" s="172" t="s">
        <v>792</v>
      </c>
    </row>
    <row r="136">
      <c r="A136" s="11">
        <v>134.0</v>
      </c>
      <c r="B136" s="11" t="s">
        <v>703</v>
      </c>
      <c r="C136" s="12" t="str">
        <f>IFERROR(__xludf.DUMMYFUNCTION("IF(B136="""","""",IF(OR(
  REGEXMATCH(B136,""Performance|Instalação|Álbum|Música|Poema|Livro|Filme|Documentário|Recitação|Espetáculo|Peça|Intervenção|Desfile|Fotografia|Exposição|Charge|Grafite|Leitura pública|Fabricação de cachaça artesanal""),
  REGEXMA"&amp;"TCH(B136,""dança|teatral|artístico|musical|artística"")
),""Manifestação artístico-cultural"",
IF(OR(
  REGEXMATCH(B136,""Crônica|Série|Reportagem|Podcast|Audiotour|Entrevista|Vídeo|Rádio""),
  REGEXMATCH(B136,""midiática"")
),""Produção midiática"","""")"&amp;"))
"),"Produção midiática")</f>
        <v>Produção midiática</v>
      </c>
      <c r="D136" s="13" t="str">
        <f>IFERROR(__xludf.DUMMYFUNCTION("IF(B136="""","""",IF(OR(
  REGEXMATCH(B136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REGEXMATCH(B136,""público|Imediato|artística|teatral|memória"")
),""Público Imediato"",
IF(REGEXMATCH(B136,""Música|Álbum|Filme|Documentário|Série|Podc"&amp;"ast|Rádio|Audiotour|Entrevista|Reportagem|Crônica|Relatório|Abaixo-assinado|Manifesto|Petição|Poema|Livro|Fotografia|Curta|Live|Webinário|Charge|Leitura pública|Vídeo""),
""Público Mediado"","""")))
"),"Público Mediado")</f>
        <v>Público Mediado</v>
      </c>
      <c r="E136" s="13" t="str">
        <f>IFERROR(__xludf.DUMMYFUNCTION("IF(B136="""","""",IF(OR(
  REGEXMATCH(B136,""Live|Webinário|Virtual""),
  REGEXMATCH(B136,""online"")
),""Virtual"",
IF(REGEXMATCH(B136,""Música|Álbum|Filme|Documentário|Série|Podcast|Rádio|Audiotour|Episódio|Reportagem|Curta|Charge|Livro|Vídeo|Entrevista"&amp;"""),
""Midiático"",
IF(REGEXMATCH(B136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6" s="211" t="str">
        <f>IFERROR(__xludf.DUMMYFUNCTION("IF(REGEXMATCH(S136,""YouTube""),
  REGEXREPLACE(
    REGEXREPLACE(
      REGEXREPLACE(
        REGEXREPLACE(
          REGEXREPLACE(
            REGEXREPLACE(
              REGEXREPLACE(
                REGEXREPLACE(
                  REGEXREPLACE(
      "&amp;"              REGEXREPLACE(
                      REGEXREPLACE(
                        REGEXREPLACE(
                          REGEXREPLACE(
                            REGEXEXTRACT(S136,""YouTube, ([0-9]{1,2} [a-z]{3,8}\. [0-9]{4})""),
                 "&amp;"         "" jan\. "",""\/01\/""),
                        "" fev\. "",""\/02\/""),
                      "" mar\. "",""\/03\/""),
                    "" abr\. "",""\/04\/""),
                  "" mai\. "",""\/05\/""),
                "" jun\. "",""\/06\/"&amp;"""),
              "" jul\. "",""\/07\/""),
            "" ago\. "",""\/08\/""),
          "" set\. "",""\/09\/""),
        "" out\. "",""\/10\/""),
      "" nov\. "",""\/11\/""),
    "" dez\. "",""\/12\/""),
  ""\s*/\s*"",""/""),
"""")
"),"7/04/2022")</f>
        <v>7/04/2022</v>
      </c>
      <c r="G136" s="15">
        <f t="shared" si="1"/>
        <v>2022</v>
      </c>
      <c r="H136" s="14" t="s">
        <v>23</v>
      </c>
      <c r="I136" s="18" t="s">
        <v>757</v>
      </c>
      <c r="J136" s="210" t="str">
        <f>IFERROR(__xludf.DUMMYFUNCTION("REGEXEXTRACT(S136, ""\.\s(.*?)\s*YouTube"")"),"Denúncias contra esse Estado mentiroso.")</f>
        <v>Denúncias contra esse Estado mentiroso.</v>
      </c>
      <c r="K136" s="16" t="s">
        <v>83</v>
      </c>
      <c r="L136" s="18" t="s">
        <v>329</v>
      </c>
      <c r="M136" s="15" t="str">
        <f>IFERROR(__xludf.DUMMYFUNCTION("IF(REGEXMATCH(S136, ""Companhia das Letras""), ""Companhia das Letras"",
IF(REGEXMATCH(S136, ""Labortexto Editorial""), ""Labortexto Editorial"",
IF(REGEXMATCH(S136, ""Geração Editorial""), ""Geração Editorial"",
IF(REGEXMATCH(S136, ""Editora Imprensa Ofi"&amp;"cial|Imprensa Oficial""), ""Editora Imprensa Oficial"",
IF(REGEXMATCH(S136, ""Folha Online""), ""Folha Online"",
IF(REGEXMATCH(S136, ""FGV DIREITO SP|FGV Direito SP""), ""FGV DIREITO SP"",
IF(REGEXMATCH(S136, ""massacrecarandiru\.org\.br""), ""Memória Mas"&amp;"sacre Carandiru"",
IF(REGEXMATCH(S136, ""Itaú Cultural""), ""YouTube (Itaú Cultural)"",
IF(REGEXMATCH(S136, ""Passa Palavra""), ""Vimeo (Passa Palavra)"",
IF(REGEXMATCH(S136, ""rede2deoutubro\.blogspot""), ""Blogspot (Rede 02 de Outubro)"",
IF(REGEXMATCH("&amp;"S136, ""Rede TVT""), ""YouTube (Rede TVT)"",
IF(REGEXMATCH(S136, ""Esquerda Diário""), ""Esquerda Diário"",
IF(REGEXMATCH(S136, ""GZH""), ""GZH"",
IF(REGEXMATCH(S136, ""TVPUC""), ""TVPUC"",
IF(REGEXMATCH(S136, ""Mídia Ninja.*Facebook""), ""Facebook (Mídia"&amp;" Ninja)"",
IF(REGEXMATCH(S136, ""Memórias Carandiru.*Instagram""), ""Instagram (Memórias Carandiru)"",
IF(REGEXMATCH(S136, ""Frente pelo Desencarceramento SP""), ""YouTube (Frente Pelo Desencarceramento SP)"",
IF(REGEXMATCH(S136, ""TV ABA""), ""YouTube (T"&amp;"V ABA)"",
IF(REGEXMATCH(S136, ""TV SENADO""), ""YouTube (TV Senado)"",
IF(REGEXMATCH(S136, ""Google Arts &amp; Culture""), ""Google Arts &amp; Culture (Memória Massacre Carandiru)"",
IF(REGEXMATCH(S136, ""Anistia Internacional|ANISTIA INTERNACIONAL""), ""Anistia "&amp;"Internacional"",
IF(REGEXMATCH(S136, ""47\.mostra|47a Mostra""), ""47a Mostra Internacional de Cinema em São Paulo"",
IF(REGEXMATCH(S136, ""Canal USP""), ""YouTube (Canal USP)"",
IF(AND(
  REGEXMATCH(S136, ""(?i)(teses?\.usp\.br|dissertacoes?\.usp\.br|rep"&amp;"ositorio\.usp\.br)""),
  NOT(REGEXMATCH(S136, ""Canal USP""))
), ""Biblioteca Digital de Teses e Dissertações da USP"",
IF(REGEXMATCH(S136, ""SINTRAJUSC""), ""SINTRAJUSC"",
IF(REGEXMATCH(S136, ""Agência Brasil|Agencia Brasil""), ""Agência Brasil"",
IF(REG"&amp;"EXMATCH(S136, ""Brasil de Fato""), ""Brasil de Fato"",
IF(REGEXMATCH(S136, ""Ponte Jornalismo|pontejornalismo""), ""Ponte Jornalismo"",
IF(REGEXMATCH(S136, ""letras\.mus\.br|Letras,""), ""Letras"",
IF(REGEXMATCH(S136, ""YouTube|youtube""), 
   ""YouTube "&amp;"(""&amp;
   IF(REGEXMATCH(S136, ""Itaú Cultural""), ""Itaú Cultural"",
   IF(REGEXMATCH(S136, ""Rede TVT""), ""Rede TVT"",
   IF(REGEXMATCH(S136, ""Frente pelo Desencarceramento SP""), ""Frente Pelo Desencarceramento SP"",
   IF(REGEXMATCH(S136, ""TV ABA""), "&amp;"""TV ABA"",
   IF(REGEXMATCH(S136, ""TV SENADO""), ""TV Senado"",
   IF(REGEXMATCH(S136, ""Canal USP""), ""Canal USP"",
   IF(REGEXMATCH(S136, ""Douer, Zack|Zack Douer""), ""Douer Zack"",
   IF(REGEXMATCH(S136, ""PRISIONEIRO 84\.901|PRISIONEIRO 84""), ""P"&amp;"risioneiro 84.901"",
   IF(REGEXMATCH(S136, ""^[^,]*, ""), 
        PROPER(REGEXREPLACE(REGEXEXTRACT(S136, ""^([^.]*)\.""), ""^([^,]*), (.*)"", ""$2 $1"")),
        PROPER(REGEXEXTRACT(S136, ""^([^.]*)\.""))
   )))))))))&amp;"")"",
IF(REGEXMATCH(S136, ""Spot"&amp;"ify|spotify""), 
   ""Spotify (""&amp;
   IF(REGEXMATCH(S136, ""ESTRANHO SORRISO""), ""Estranho Sorriso"",
   PROPER(REGEXEXTRACT(S136, ""^([^.]*)\.""))
   )&amp;"")"",
IF(REGEXMATCH(S136, ""Vimeo|vimeo""), 
   ""Vimeo (""&amp;
   IF(REGEXMATCH(S136, ""Passa Palavra"&amp;"""), ""Passa Palavra"",
   PROPER(REGEXEXTRACT(S136, ""^([^.]*)\.""))
   )&amp;"")"",
IF(REGEXMATCH(S136, ""Blogspot""), 
   ""Blogspot (""&amp;
   IF(REGEXMATCH(S136, ""rede2deoutubro""), ""Rede 02 de Outubro"",
   PROPER(REGEXEXTRACT(S136, ""^([^.]*)\.""))
   "&amp;")&amp;"")"",
IF(REGEXMATCH(S136, ""Facebook""), 
   ""Facebook (""&amp;
   IF(REGEXMATCH(S136, ""Mídia Ninja""), ""Mídia Ninja"",
   PROPER(REGEXEXTRACT(S136, ""^([^.]*)\.""))
   )&amp;"")"",
IF(REGEXMATCH(S136, ""Instagram""), 
   ""Instagram (""&amp;
   IF(REGEXMATCH"&amp;"(S136, ""Memórias Carandiru""), ""Memórias Carandiru"",
   PROPER(REGEXEXTRACT(S136, ""^([^.]*)\.""))
   )&amp;"")"",
IF(REGEXMATCH(S136, ""Folha de S\. Paulo|FOLHA DE S\. PAULO""), ""Folha de S. Paulo"",
IF(REGEXMATCH(S136, ""O Estado de S\. Paulo|ESTADAO"""&amp;"), ""O Estado de S. Paulo"",
IF(REGEXMATCH(S136, ""salasecreta""), ""Wordpress (Sala Secreta)"",
IF(REGEXMATCH(S136, ""Wikipedia|Wikipédia|WIKIPÉDIA""), ""Wikipedia"",
IF(REGEXMATCH(S136, ""VEJA|Veja""), ""Veja Abril"",
IF(REGEXMATCH(S408, ""Rede Globo|RE"&amp;"DE GLOBO""), ""Rede Globo"",
IF(REGEXMATCH(S408, ""G1|globo\.com""), ""G1"",
IF(REGEXMATCH(S136, ""Deutsche Welle|DW\.com""), ""Deutsche Welle"",
IF(REGEXMATCH(S136, ""CIDH|Comissão Interamericana""), ""Comissão Interamericana de Direitos Humanos (CIDH)"""&amp;",
IF(REGEXMATCH(S136, ""Pastoral Carcerária""), ""Pastoral Carcerária"",
IF(REGEXMATCH(S136, ""Esquerda Web""), ""Esquerda Web"",
IF(REGEXMATCH(S136, ""ONU|Organização das Nações Unidas""), ""ONU Brasil"",
IF(REGEXMATCH(S136, ""Quilombo Invisível""), ""Qu"&amp;"ilombo Invisível"",
IF(REGEXMATCH(S136, ""ALESP|Assembleia Legislativa""), ""ALESP"",
IF(REGEXMATCH(S136, ""Revista Opera""), ""Revista Opera"",
IF(REGEXMATCH(S136, ""SP Escola de Teatro""), ""SP Escola de Teatro"",
IF(REGEXMATCH(S136, ""EMC|Espaço Memóri"&amp;"a Carandiru""), ""EMC Espaço Memória Carandiru"",
IF(REGEXMATCH(S136, ""^RAMOS, Nuno|Nuno Ramos""), ""Nuno Ramos"",
IF(REGEXMATCH(S136, ""^VELOSO, Caetano|Caetano Veloso""), ""YouTube (Caetano Veloso)"",
IF(REGEXMATCH(S136, ""^FATOS REAIS""), ""YouTube ("&amp;"Fatos Reais - Topic)"",
IF(REGEXMATCH(S136, ""^SALA SECRETA""), ""Wordpress (Sala Secreta)"",
PROPER(REGEXEXTRACT(S136, ""^([^.]*)\.""))
))))))))))))))))))))))))))))))))))))))))))))))))))))))))"),"YouTube (Prisioneiro 84.901)")</f>
        <v>YouTube (Prisioneiro 84.901)</v>
      </c>
      <c r="N136" s="11" t="s">
        <v>47</v>
      </c>
      <c r="O136" s="14" t="s">
        <v>546</v>
      </c>
      <c r="P136" s="171">
        <v>45946.0</v>
      </c>
      <c r="Q136" s="11" t="s">
        <v>154</v>
      </c>
      <c r="R136" s="70" t="str">
        <f t="shared" si="8"/>
        <v>Aqui</v>
      </c>
      <c r="S136" s="172" t="s">
        <v>793</v>
      </c>
    </row>
    <row r="137">
      <c r="A137" s="11">
        <v>135.0</v>
      </c>
      <c r="B137" s="11" t="s">
        <v>703</v>
      </c>
      <c r="C137" s="12" t="str">
        <f>IFERROR(__xludf.DUMMYFUNCTION("IF(B137="""","""",IF(OR(
  REGEXMATCH(B137,""Performance|Instalação|Álbum|Música|Poema|Livro|Filme|Documentário|Recitação|Espetáculo|Peça|Intervenção|Desfile|Fotografia|Exposição|Charge|Grafite|Leitura pública|Fabricação de cachaça artesanal""),
  REGEXMA"&amp;"TCH(B137,""dança|teatral|artístico|musical|artística"")
),""Manifestação artístico-cultural"",
IF(OR(
  REGEXMATCH(B137,""Crônica|Série|Reportagem|Podcast|Audiotour|Entrevista|Vídeo|Rádio""),
  REGEXMATCH(B137,""midiática"")
),""Produção midiática"","""")"&amp;"))
"),"Produção midiática")</f>
        <v>Produção midiática</v>
      </c>
      <c r="D137" s="13" t="str">
        <f>IFERROR(__xludf.DUMMYFUNCTION("IF(B137="""","""",IF(OR(
  REGEXMATCH(B137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REGEXMATCH(B137,""público|Imediato|artística|teatral|memória"")
),""Público Imediato"",
IF(REGEXMATCH(B137,""Música|Álbum|Filme|Documentário|Série|Podc"&amp;"ast|Rádio|Audiotour|Entrevista|Reportagem|Crônica|Relatório|Abaixo-assinado|Manifesto|Petição|Poema|Livro|Fotografia|Curta|Live|Webinário|Charge|Leitura pública|Vídeo""),
""Público Mediado"","""")))
"),"Público Mediado")</f>
        <v>Público Mediado</v>
      </c>
      <c r="E137" s="13" t="str">
        <f>IFERROR(__xludf.DUMMYFUNCTION("IF(B137="""","""",IF(OR(
  REGEXMATCH(B137,""Live|Webinário|Virtual""),
  REGEXMATCH(B137,""online"")
),""Virtual"",
IF(REGEXMATCH(B137,""Música|Álbum|Filme|Documentário|Série|Podcast|Rádio|Audiotour|Episódio|Reportagem|Curta|Charge|Livro|Vídeo|Entrevista"&amp;"""),
""Midiático"",
IF(REGEXMATCH(B137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7" s="211" t="str">
        <f>IFERROR(__xludf.DUMMYFUNCTION("IF(REGEXMATCH(S137,""YouTube""),
  REGEXREPLACE(
    REGEXREPLACE(
      REGEXREPLACE(
        REGEXREPLACE(
          REGEXREPLACE(
            REGEXREPLACE(
              REGEXREPLACE(
                REGEXREPLACE(
                  REGEXREPLACE(
      "&amp;"              REGEXREPLACE(
                      REGEXREPLACE(
                        REGEXREPLACE(
                          REGEXREPLACE(
                            REGEXEXTRACT(S137,""YouTube, ([0-9]{1,2} [a-z]{3,8}\. [0-9]{4})""),
                 "&amp;"         "" jan\. "",""\/01\/""),
                        "" fev\. "",""\/02\/""),
                      "" mar\. "",""\/03\/""),
                    "" abr\. "",""\/04\/""),
                  "" mai\. "",""\/05\/""),
                "" jun\. "",""\/06\/"&amp;"""),
              "" jul\. "",""\/07\/""),
            "" ago\. "",""\/08\/""),
          "" set\. "",""\/09\/""),
        "" out\. "",""\/10\/""),
      "" nov\. "",""\/11\/""),
    "" dez\. "",""\/12\/""),
  ""\s*/\s*"",""/""),
"""")
"),"2/06/2022")</f>
        <v>2/06/2022</v>
      </c>
      <c r="G137" s="15">
        <f t="shared" si="1"/>
        <v>2022</v>
      </c>
      <c r="H137" s="14" t="s">
        <v>23</v>
      </c>
      <c r="I137" s="18" t="s">
        <v>757</v>
      </c>
      <c r="J137" s="210" t="str">
        <f>IFERROR(__xludf.DUMMYFUNCTION("REGEXEXTRACT(S137, ""\.\s(.*?)\s*YouTube"")"),"O dia depois: 03/10/92.")</f>
        <v>O dia depois: 03/10/92.</v>
      </c>
      <c r="K137" s="16" t="s">
        <v>83</v>
      </c>
      <c r="L137" s="18" t="s">
        <v>329</v>
      </c>
      <c r="M137" s="15" t="str">
        <f>IFERROR(__xludf.DUMMYFUNCTION("IF(REGEXMATCH(S137, ""Companhia das Letras""), ""Companhia das Letras"",
IF(REGEXMATCH(S137, ""Labortexto Editorial""), ""Labortexto Editorial"",
IF(REGEXMATCH(S137, ""Geração Editorial""), ""Geração Editorial"",
IF(REGEXMATCH(S137, ""Editora Imprensa Ofi"&amp;"cial|Imprensa Oficial""), ""Editora Imprensa Oficial"",
IF(REGEXMATCH(S137, ""Folha Online""), ""Folha Online"",
IF(REGEXMATCH(S137, ""FGV DIREITO SP|FGV Direito SP""), ""FGV DIREITO SP"",
IF(REGEXMATCH(S137, ""massacrecarandiru\.org\.br""), ""Memória Mas"&amp;"sacre Carandiru"",
IF(REGEXMATCH(S137, ""Itaú Cultural""), ""YouTube (Itaú Cultural)"",
IF(REGEXMATCH(S137, ""Passa Palavra""), ""Vimeo (Passa Palavra)"",
IF(REGEXMATCH(S137, ""rede2deoutubro\.blogspot""), ""Blogspot (Rede 02 de Outubro)"",
IF(REGEXMATCH("&amp;"S137, ""Rede TVT""), ""YouTube (Rede TVT)"",
IF(REGEXMATCH(S137, ""Esquerda Diário""), ""Esquerda Diário"",
IF(REGEXMATCH(S137, ""GZH""), ""GZH"",
IF(REGEXMATCH(S137, ""TVPUC""), ""TVPUC"",
IF(REGEXMATCH(S137, ""Mídia Ninja.*Facebook""), ""Facebook (Mídia"&amp;" Ninja)"",
IF(REGEXMATCH(S137, ""Memórias Carandiru.*Instagram""), ""Instagram (Memórias Carandiru)"",
IF(REGEXMATCH(S137, ""Frente pelo Desencarceramento SP""), ""YouTube (Frente Pelo Desencarceramento SP)"",
IF(REGEXMATCH(S137, ""TV ABA""), ""YouTube (T"&amp;"V ABA)"",
IF(REGEXMATCH(S137, ""TV SENADO""), ""YouTube (TV Senado)"",
IF(REGEXMATCH(S137, ""Google Arts &amp; Culture""), ""Google Arts &amp; Culture (Memória Massacre Carandiru)"",
IF(REGEXMATCH(S137, ""Anistia Internacional|ANISTIA INTERNACIONAL""), ""Anistia "&amp;"Internacional"",
IF(REGEXMATCH(S137, ""47\.mostra|47a Mostra""), ""47a Mostra Internacional de Cinema em São Paulo"",
IF(REGEXMATCH(S137, ""Canal USP""), ""YouTube (Canal USP)"",
IF(AND(
  REGEXMATCH(S137, ""(?i)(teses?\.usp\.br|dissertacoes?\.usp\.br|rep"&amp;"ositorio\.usp\.br)""),
  NOT(REGEXMATCH(S137, ""Canal USP""))
), ""Biblioteca Digital de Teses e Dissertações da USP"",
IF(REGEXMATCH(S137, ""SINTRAJUSC""), ""SINTRAJUSC"",
IF(REGEXMATCH(S137, ""Agência Brasil|Agencia Brasil""), ""Agência Brasil"",
IF(REG"&amp;"EXMATCH(S137, ""Brasil de Fato""), ""Brasil de Fato"",
IF(REGEXMATCH(S137, ""Ponte Jornalismo|pontejornalismo""), ""Ponte Jornalismo"",
IF(REGEXMATCH(S137, ""letras\.mus\.br|Letras,""), ""Letras"",
IF(REGEXMATCH(S137, ""YouTube|youtube""), 
   ""YouTube "&amp;"(""&amp;
   IF(REGEXMATCH(S137, ""Itaú Cultural""), ""Itaú Cultural"",
   IF(REGEXMATCH(S137, ""Rede TVT""), ""Rede TVT"",
   IF(REGEXMATCH(S137, ""Frente pelo Desencarceramento SP""), ""Frente Pelo Desencarceramento SP"",
   IF(REGEXMATCH(S137, ""TV ABA""), "&amp;"""TV ABA"",
   IF(REGEXMATCH(S137, ""TV SENADO""), ""TV Senado"",
   IF(REGEXMATCH(S137, ""Canal USP""), ""Canal USP"",
   IF(REGEXMATCH(S137, ""Douer, Zack|Zack Douer""), ""Douer Zack"",
   IF(REGEXMATCH(S137, ""PRISIONEIRO 84\.901|PRISIONEIRO 84""), ""P"&amp;"risioneiro 84.901"",
   IF(REGEXMATCH(S137, ""^[^,]*, ""), 
        PROPER(REGEXREPLACE(REGEXEXTRACT(S137, ""^([^.]*)\.""), ""^([^,]*), (.*)"", ""$2 $1"")),
        PROPER(REGEXEXTRACT(S137, ""^([^.]*)\.""))
   )))))))))&amp;"")"",
IF(REGEXMATCH(S137, ""Spot"&amp;"ify|spotify""), 
   ""Spotify (""&amp;
   IF(REGEXMATCH(S137, ""ESTRANHO SORRISO""), ""Estranho Sorriso"",
   PROPER(REGEXEXTRACT(S137, ""^([^.]*)\.""))
   )&amp;"")"",
IF(REGEXMATCH(S137, ""Vimeo|vimeo""), 
   ""Vimeo (""&amp;
   IF(REGEXMATCH(S137, ""Passa Palavra"&amp;"""), ""Passa Palavra"",
   PROPER(REGEXEXTRACT(S137, ""^([^.]*)\.""))
   )&amp;"")"",
IF(REGEXMATCH(S137, ""Blogspot""), 
   ""Blogspot (""&amp;
   IF(REGEXMATCH(S137, ""rede2deoutubro""), ""Rede 02 de Outubro"",
   PROPER(REGEXEXTRACT(S137, ""^([^.]*)\.""))
   "&amp;")&amp;"")"",
IF(REGEXMATCH(S137, ""Facebook""), 
   ""Facebook (""&amp;
   IF(REGEXMATCH(S137, ""Mídia Ninja""), ""Mídia Ninja"",
   PROPER(REGEXEXTRACT(S137, ""^([^.]*)\.""))
   )&amp;"")"",
IF(REGEXMATCH(S137, ""Instagram""), 
   ""Instagram (""&amp;
   IF(REGEXMATCH"&amp;"(S137, ""Memórias Carandiru""), ""Memórias Carandiru"",
   PROPER(REGEXEXTRACT(S137, ""^([^.]*)\.""))
   )&amp;"")"",
IF(REGEXMATCH(S137, ""Folha de S\. Paulo|FOLHA DE S\. PAULO""), ""Folha de S. Paulo"",
IF(REGEXMATCH(S137, ""O Estado de S\. Paulo|ESTADAO"""&amp;"), ""O Estado de S. Paulo"",
IF(REGEXMATCH(S137, ""salasecreta""), ""Wordpress (Sala Secreta)"",
IF(REGEXMATCH(S137, ""Wikipedia|Wikipédia|WIKIPÉDIA""), ""Wikipedia"",
IF(REGEXMATCH(S137, ""VEJA|Veja""), ""Veja Abril"",
IF(REGEXMATCH(S409, ""Rede Globo|RE"&amp;"DE GLOBO""), ""Rede Globo"",
IF(REGEXMATCH(S409, ""G1|globo\.com""), ""G1"",
IF(REGEXMATCH(S137, ""Deutsche Welle|DW\.com""), ""Deutsche Welle"",
IF(REGEXMATCH(S137, ""CIDH|Comissão Interamericana""), ""Comissão Interamericana de Direitos Humanos (CIDH)"""&amp;",
IF(REGEXMATCH(S137, ""Pastoral Carcerária""), ""Pastoral Carcerária"",
IF(REGEXMATCH(S137, ""Esquerda Web""), ""Esquerda Web"",
IF(REGEXMATCH(S137, ""ONU|Organização das Nações Unidas""), ""ONU Brasil"",
IF(REGEXMATCH(S137, ""Quilombo Invisível""), ""Qu"&amp;"ilombo Invisível"",
IF(REGEXMATCH(S137, ""ALESP|Assembleia Legislativa""), ""ALESP"",
IF(REGEXMATCH(S137, ""Revista Opera""), ""Revista Opera"",
IF(REGEXMATCH(S137, ""SP Escola de Teatro""), ""SP Escola de Teatro"",
IF(REGEXMATCH(S137, ""EMC|Espaço Memóri"&amp;"a Carandiru""), ""EMC Espaço Memória Carandiru"",
IF(REGEXMATCH(S137, ""^RAMOS, Nuno|Nuno Ramos""), ""Nuno Ramos"",
IF(REGEXMATCH(S137, ""^VELOSO, Caetano|Caetano Veloso""), ""YouTube (Caetano Veloso)"",
IF(REGEXMATCH(S137, ""^FATOS REAIS""), ""YouTube ("&amp;"Fatos Reais - Topic)"",
IF(REGEXMATCH(S137, ""^SALA SECRETA""), ""Wordpress (Sala Secreta)"",
PROPER(REGEXEXTRACT(S137, ""^([^.]*)\.""))
))))))))))))))))))))))))))))))))))))))))))))))))))))))))"),"YouTube (Prisioneiro 84.901)")</f>
        <v>YouTube (Prisioneiro 84.901)</v>
      </c>
      <c r="N137" s="11" t="s">
        <v>47</v>
      </c>
      <c r="O137" s="14" t="s">
        <v>546</v>
      </c>
      <c r="P137" s="171">
        <v>45946.0</v>
      </c>
      <c r="Q137" s="11" t="s">
        <v>154</v>
      </c>
      <c r="R137" s="70" t="str">
        <f t="shared" si="8"/>
        <v>Aqui</v>
      </c>
      <c r="S137" s="172" t="s">
        <v>794</v>
      </c>
    </row>
    <row r="138">
      <c r="A138" s="11">
        <v>136.0</v>
      </c>
      <c r="B138" s="11" t="s">
        <v>703</v>
      </c>
      <c r="C138" s="12" t="str">
        <f>IFERROR(__xludf.DUMMYFUNCTION("IF(B138="""","""",IF(OR(
  REGEXMATCH(B138,""Performance|Instalação|Álbum|Música|Poema|Livro|Filme|Documentário|Recitação|Espetáculo|Peça|Intervenção|Desfile|Fotografia|Exposição|Charge|Grafite|Leitura pública|Fabricação de cachaça artesanal""),
  REGEXMA"&amp;"TCH(B138,""dança|teatral|artístico|musical|artística"")
),""Manifestação artístico-cultural"",
IF(OR(
  REGEXMATCH(B138,""Crônica|Série|Reportagem|Podcast|Audiotour|Entrevista|Vídeo|Rádio""),
  REGEXMATCH(B138,""midiática"")
),""Produção midiática"","""")"&amp;"))
"),"Produção midiática")</f>
        <v>Produção midiática</v>
      </c>
      <c r="D138" s="13" t="str">
        <f>IFERROR(__xludf.DUMMYFUNCTION("IF(B138="""","""",IF(OR(
  REGEXMATCH(B138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REGEXMATCH(B138,""público|Imediato|artística|teatral|memória"")
),""Público Imediato"",
IF(REGEXMATCH(B138,""Música|Álbum|Filme|Documentário|Série|Podc"&amp;"ast|Rádio|Audiotour|Entrevista|Reportagem|Crônica|Relatório|Abaixo-assinado|Manifesto|Petição|Poema|Livro|Fotografia|Curta|Live|Webinário|Charge|Leitura pública|Vídeo""),
""Público Mediado"","""")))
"),"Público Mediado")</f>
        <v>Público Mediado</v>
      </c>
      <c r="E138" s="13" t="str">
        <f>IFERROR(__xludf.DUMMYFUNCTION("IF(B138="""","""",IF(OR(
  REGEXMATCH(B138,""Live|Webinário|Virtual""),
  REGEXMATCH(B138,""online"")
),""Virtual"",
IF(REGEXMATCH(B138,""Música|Álbum|Filme|Documentário|Série|Podcast|Rádio|Audiotour|Episódio|Reportagem|Curta|Charge|Livro|Vídeo|Entrevista"&amp;"""),
""Midiático"",
IF(REGEXMATCH(B138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8" s="211" t="str">
        <f>IFERROR(__xludf.DUMMYFUNCTION("IF(REGEXMATCH(S138,""YouTube""),
  REGEXREPLACE(
    REGEXREPLACE(
      REGEXREPLACE(
        REGEXREPLACE(
          REGEXREPLACE(
            REGEXREPLACE(
              REGEXREPLACE(
                REGEXREPLACE(
                  REGEXREPLACE(
      "&amp;"              REGEXREPLACE(
                      REGEXREPLACE(
                        REGEXREPLACE(
                          REGEXREPLACE(
                            REGEXEXTRACT(S138,""YouTube, ([0-9]{1,2} [a-z]{3,8}\. [0-9]{4})""),
                 "&amp;"         "" jan\. "",""\/01\/""),
                        "" fev\. "",""\/02\/""),
                      "" mar\. "",""\/03\/""),
                    "" abr\. "",""\/04\/""),
                  "" mai\. "",""\/05\/""),
                "" jun\. "",""\/06\/"&amp;"""),
              "" jul\. "",""\/07\/""),
            "" ago\. "",""\/08\/""),
          "" set\. "",""\/09\/""),
        "" out\. "",""\/10\/""),
      "" nov\. "",""\/11\/""),
    "" dez\. "",""\/12\/""),
  ""\s*/\s*"",""/""),
"""")
"),"8/08/2022")</f>
        <v>8/08/2022</v>
      </c>
      <c r="G138" s="15">
        <f t="shared" si="1"/>
        <v>2022</v>
      </c>
      <c r="H138" s="14" t="s">
        <v>23</v>
      </c>
      <c r="I138" s="18" t="s">
        <v>757</v>
      </c>
      <c r="J138" s="210" t="str">
        <f>IFERROR(__xludf.DUMMYFUNCTION("REGEXEXTRACT(S138, ""\.\s(.*?)\s*YouTube"")"),"Vários sobreviventes.")</f>
        <v>Vários sobreviventes.</v>
      </c>
      <c r="K138" s="16" t="s">
        <v>83</v>
      </c>
      <c r="L138" s="18" t="s">
        <v>329</v>
      </c>
      <c r="M138" s="15" t="str">
        <f>IFERROR(__xludf.DUMMYFUNCTION("IF(REGEXMATCH(S138, ""Companhia das Letras""), ""Companhia das Letras"",
IF(REGEXMATCH(S138, ""Labortexto Editorial""), ""Labortexto Editorial"",
IF(REGEXMATCH(S138, ""Geração Editorial""), ""Geração Editorial"",
IF(REGEXMATCH(S138, ""Editora Imprensa Ofi"&amp;"cial|Imprensa Oficial""), ""Editora Imprensa Oficial"",
IF(REGEXMATCH(S138, ""Folha Online""), ""Folha Online"",
IF(REGEXMATCH(S138, ""FGV DIREITO SP|FGV Direito SP""), ""FGV DIREITO SP"",
IF(REGEXMATCH(S138, ""massacrecarandiru\.org\.br""), ""Memória Mas"&amp;"sacre Carandiru"",
IF(REGEXMATCH(S138, ""Itaú Cultural""), ""YouTube (Itaú Cultural)"",
IF(REGEXMATCH(S138, ""Passa Palavra""), ""Vimeo (Passa Palavra)"",
IF(REGEXMATCH(S138, ""rede2deoutubro\.blogspot""), ""Blogspot (Rede 02 de Outubro)"",
IF(REGEXMATCH("&amp;"S138, ""Rede TVT""), ""YouTube (Rede TVT)"",
IF(REGEXMATCH(S138, ""Esquerda Diário""), ""Esquerda Diário"",
IF(REGEXMATCH(S138, ""GZH""), ""GZH"",
IF(REGEXMATCH(S138, ""TVPUC""), ""TVPUC"",
IF(REGEXMATCH(S138, ""Mídia Ninja.*Facebook""), ""Facebook (Mídia"&amp;" Ninja)"",
IF(REGEXMATCH(S138, ""Memórias Carandiru.*Instagram""), ""Instagram (Memórias Carandiru)"",
IF(REGEXMATCH(S138, ""Frente pelo Desencarceramento SP""), ""YouTube (Frente Pelo Desencarceramento SP)"",
IF(REGEXMATCH(S138, ""TV ABA""), ""YouTube (T"&amp;"V ABA)"",
IF(REGEXMATCH(S138, ""TV SENADO""), ""YouTube (TV Senado)"",
IF(REGEXMATCH(S138, ""Google Arts &amp; Culture""), ""Google Arts &amp; Culture (Memória Massacre Carandiru)"",
IF(REGEXMATCH(S138, ""Anistia Internacional|ANISTIA INTERNACIONAL""), ""Anistia "&amp;"Internacional"",
IF(REGEXMATCH(S138, ""47\.mostra|47a Mostra""), ""47a Mostra Internacional de Cinema em São Paulo"",
IF(REGEXMATCH(S138, ""Canal USP""), ""YouTube (Canal USP)"",
IF(AND(
  REGEXMATCH(S138, ""(?i)(teses?\.usp\.br|dissertacoes?\.usp\.br|rep"&amp;"ositorio\.usp\.br)""),
  NOT(REGEXMATCH(S138, ""Canal USP""))
), ""Biblioteca Digital de Teses e Dissertações da USP"",
IF(REGEXMATCH(S138, ""SINTRAJUSC""), ""SINTRAJUSC"",
IF(REGEXMATCH(S138, ""Agência Brasil|Agencia Brasil""), ""Agência Brasil"",
IF(REG"&amp;"EXMATCH(S138, ""Brasil de Fato""), ""Brasil de Fato"",
IF(REGEXMATCH(S138, ""Ponte Jornalismo|pontejornalismo""), ""Ponte Jornalismo"",
IF(REGEXMATCH(S138, ""letras\.mus\.br|Letras,""), ""Letras"",
IF(REGEXMATCH(S138, ""YouTube|youtube""), 
   ""YouTube "&amp;"(""&amp;
   IF(REGEXMATCH(S138, ""Itaú Cultural""), ""Itaú Cultural"",
   IF(REGEXMATCH(S138, ""Rede TVT""), ""Rede TVT"",
   IF(REGEXMATCH(S138, ""Frente pelo Desencarceramento SP""), ""Frente Pelo Desencarceramento SP"",
   IF(REGEXMATCH(S138, ""TV ABA""), "&amp;"""TV ABA"",
   IF(REGEXMATCH(S138, ""TV SENADO""), ""TV Senado"",
   IF(REGEXMATCH(S138, ""Canal USP""), ""Canal USP"",
   IF(REGEXMATCH(S138, ""Douer, Zack|Zack Douer""), ""Douer Zack"",
   IF(REGEXMATCH(S138, ""PRISIONEIRO 84\.901|PRISIONEIRO 84""), ""P"&amp;"risioneiro 84.901"",
   IF(REGEXMATCH(S138, ""^[^,]*, ""), 
        PROPER(REGEXREPLACE(REGEXEXTRACT(S138, ""^([^.]*)\.""), ""^([^,]*), (.*)"", ""$2 $1"")),
        PROPER(REGEXEXTRACT(S138, ""^([^.]*)\.""))
   )))))))))&amp;"")"",
IF(REGEXMATCH(S138, ""Spot"&amp;"ify|spotify""), 
   ""Spotify (""&amp;
   IF(REGEXMATCH(S138, ""ESTRANHO SORRISO""), ""Estranho Sorriso"",
   PROPER(REGEXEXTRACT(S138, ""^([^.]*)\.""))
   )&amp;"")"",
IF(REGEXMATCH(S138, ""Vimeo|vimeo""), 
   ""Vimeo (""&amp;
   IF(REGEXMATCH(S138, ""Passa Palavra"&amp;"""), ""Passa Palavra"",
   PROPER(REGEXEXTRACT(S138, ""^([^.]*)\.""))
   )&amp;"")"",
IF(REGEXMATCH(S138, ""Blogspot""), 
   ""Blogspot (""&amp;
   IF(REGEXMATCH(S138, ""rede2deoutubro""), ""Rede 02 de Outubro"",
   PROPER(REGEXEXTRACT(S138, ""^([^.]*)\.""))
   "&amp;")&amp;"")"",
IF(REGEXMATCH(S138, ""Facebook""), 
   ""Facebook (""&amp;
   IF(REGEXMATCH(S138, ""Mídia Ninja""), ""Mídia Ninja"",
   PROPER(REGEXEXTRACT(S138, ""^([^.]*)\.""))
   )&amp;"")"",
IF(REGEXMATCH(S138, ""Instagram""), 
   ""Instagram (""&amp;
   IF(REGEXMATCH"&amp;"(S138, ""Memórias Carandiru""), ""Memórias Carandiru"",
   PROPER(REGEXEXTRACT(S138, ""^([^.]*)\.""))
   )&amp;"")"",
IF(REGEXMATCH(S138, ""Folha de S\. Paulo|FOLHA DE S\. PAULO""), ""Folha de S. Paulo"",
IF(REGEXMATCH(S138, ""O Estado de S\. Paulo|ESTADAO"""&amp;"), ""O Estado de S. Paulo"",
IF(REGEXMATCH(S138, ""salasecreta""), ""Wordpress (Sala Secreta)"",
IF(REGEXMATCH(S138, ""Wikipedia|Wikipédia|WIKIPÉDIA""), ""Wikipedia"",
IF(REGEXMATCH(S138, ""VEJA|Veja""), ""Veja Abril"",
IF(REGEXMATCH(S410, ""Rede Globo|RE"&amp;"DE GLOBO""), ""Rede Globo"",
IF(REGEXMATCH(S410, ""G1|globo\.com""), ""G1"",
IF(REGEXMATCH(S138, ""Deutsche Welle|DW\.com""), ""Deutsche Welle"",
IF(REGEXMATCH(S138, ""CIDH|Comissão Interamericana""), ""Comissão Interamericana de Direitos Humanos (CIDH)"""&amp;",
IF(REGEXMATCH(S138, ""Pastoral Carcerária""), ""Pastoral Carcerária"",
IF(REGEXMATCH(S138, ""Esquerda Web""), ""Esquerda Web"",
IF(REGEXMATCH(S138, ""ONU|Organização das Nações Unidas""), ""ONU Brasil"",
IF(REGEXMATCH(S138, ""Quilombo Invisível""), ""Qu"&amp;"ilombo Invisível"",
IF(REGEXMATCH(S138, ""ALESP|Assembleia Legislativa""), ""ALESP"",
IF(REGEXMATCH(S138, ""Revista Opera""), ""Revista Opera"",
IF(REGEXMATCH(S138, ""SP Escola de Teatro""), ""SP Escola de Teatro"",
IF(REGEXMATCH(S138, ""EMC|Espaço Memóri"&amp;"a Carandiru""), ""EMC Espaço Memória Carandiru"",
IF(REGEXMATCH(S138, ""^RAMOS, Nuno|Nuno Ramos""), ""Nuno Ramos"",
IF(REGEXMATCH(S138, ""^VELOSO, Caetano|Caetano Veloso""), ""YouTube (Caetano Veloso)"",
IF(REGEXMATCH(S138, ""^FATOS REAIS""), ""YouTube ("&amp;"Fatos Reais - Topic)"",
IF(REGEXMATCH(S138, ""^SALA SECRETA""), ""Wordpress (Sala Secreta)"",
PROPER(REGEXEXTRACT(S138, ""^([^.]*)\.""))
))))))))))))))))))))))))))))))))))))))))))))))))))))))))"),"YouTube (Prisioneiro 84.901)")</f>
        <v>YouTube (Prisioneiro 84.901)</v>
      </c>
      <c r="N138" s="11" t="s">
        <v>47</v>
      </c>
      <c r="O138" s="14" t="s">
        <v>546</v>
      </c>
      <c r="P138" s="171">
        <v>45946.0</v>
      </c>
      <c r="Q138" s="11" t="s">
        <v>154</v>
      </c>
      <c r="R138" s="70" t="str">
        <f t="shared" si="8"/>
        <v>Aqui</v>
      </c>
      <c r="S138" s="172" t="s">
        <v>795</v>
      </c>
    </row>
    <row r="139">
      <c r="A139" s="11">
        <v>137.0</v>
      </c>
      <c r="B139" s="11" t="s">
        <v>703</v>
      </c>
      <c r="C139" s="12" t="str">
        <f>IFERROR(__xludf.DUMMYFUNCTION("IF(B139="""","""",IF(OR(
  REGEXMATCH(B139,""Performance|Instalação|Álbum|Música|Poema|Livro|Filme|Documentário|Recitação|Espetáculo|Peça|Intervenção|Desfile|Fotografia|Exposição|Charge|Grafite|Leitura pública|Fabricação de cachaça artesanal""),
  REGEXMA"&amp;"TCH(B139,""dança|teatral|artístico|musical|artística"")
),""Manifestação artístico-cultural"",
IF(OR(
  REGEXMATCH(B139,""Crônica|Série|Reportagem|Podcast|Audiotour|Entrevista|Vídeo|Rádio""),
  REGEXMATCH(B139,""midiática"")
),""Produção midiática"","""")"&amp;"))
"),"Produção midiática")</f>
        <v>Produção midiática</v>
      </c>
      <c r="D139" s="13" t="str">
        <f>IFERROR(__xludf.DUMMYFUNCTION("IF(B139="""","""",IF(OR(
  REGEXMATCH(B139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REGEXMATCH(B139,""público|Imediato|artística|teatral|memória"")
),""Público Imediato"",
IF(REGEXMATCH(B139,""Música|Álbum|Filme|Documentário|Série|Podc"&amp;"ast|Rádio|Audiotour|Entrevista|Reportagem|Crônica|Relatório|Abaixo-assinado|Manifesto|Petição|Poema|Livro|Fotografia|Curta|Live|Webinário|Charge|Leitura pública|Vídeo""),
""Público Mediado"","""")))
"),"Público Mediado")</f>
        <v>Público Mediado</v>
      </c>
      <c r="E139" s="13" t="str">
        <f>IFERROR(__xludf.DUMMYFUNCTION("IF(B139="""","""",IF(OR(
  REGEXMATCH(B139,""Live|Webinário|Virtual""),
  REGEXMATCH(B139,""online"")
),""Virtual"",
IF(REGEXMATCH(B139,""Música|Álbum|Filme|Documentário|Série|Podcast|Rádio|Audiotour|Episódio|Reportagem|Curta|Charge|Livro|Vídeo|Entrevista"&amp;"""),
""Midiático"",
IF(REGEXMATCH(B139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9" s="211" t="str">
        <f>IFERROR(__xludf.DUMMYFUNCTION("IF(REGEXMATCH(S139,""YouTube""),
  REGEXREPLACE(
    REGEXREPLACE(
      REGEXREPLACE(
        REGEXREPLACE(
          REGEXREPLACE(
            REGEXREPLACE(
              REGEXREPLACE(
                REGEXREPLACE(
                  REGEXREPLACE(
      "&amp;"              REGEXREPLACE(
                      REGEXREPLACE(
                        REGEXREPLACE(
                          REGEXREPLACE(
                            REGEXEXTRACT(S139,""YouTube, ([0-9]{1,2} [a-z]{3,8}\. [0-9]{4})""),
                 "&amp;"         "" jan\. "",""\/01\/""),
                        "" fev\. "",""\/02\/""),
                      "" mar\. "",""\/03\/""),
                    "" abr\. "",""\/04\/""),
                  "" mai\. "",""\/05\/""),
                "" jun\. "",""\/06\/"&amp;"""),
              "" jul\. "",""\/07\/""),
            "" ago\. "",""\/08\/""),
          "" set\. "",""\/09\/""),
        "" out\. "",""\/10\/""),
      "" nov\. "",""\/11\/""),
    "" dez\. "",""\/12\/""),
  ""\s*/\s*"",""/""),
"""")
"),"17/09/2022")</f>
        <v>17/09/2022</v>
      </c>
      <c r="G139" s="15">
        <f t="shared" si="1"/>
        <v>2022</v>
      </c>
      <c r="H139" s="14" t="s">
        <v>23</v>
      </c>
      <c r="I139" s="18" t="s">
        <v>757</v>
      </c>
      <c r="J139" s="210" t="str">
        <f>IFERROR(__xludf.DUMMYFUNCTION("REGEXEXTRACT(S139, ""\.\s(.*?)\s*YouTube"")"),"30 anos.")</f>
        <v>30 anos.</v>
      </c>
      <c r="K139" s="16" t="s">
        <v>83</v>
      </c>
      <c r="L139" s="18" t="s">
        <v>329</v>
      </c>
      <c r="M139" s="15" t="str">
        <f>IFERROR(__xludf.DUMMYFUNCTION("IF(REGEXMATCH(S139, ""Companhia das Letras""), ""Companhia das Letras"",
IF(REGEXMATCH(S139, ""Labortexto Editorial""), ""Labortexto Editorial"",
IF(REGEXMATCH(S139, ""Geração Editorial""), ""Geração Editorial"",
IF(REGEXMATCH(S139, ""Editora Imprensa Ofi"&amp;"cial|Imprensa Oficial""), ""Editora Imprensa Oficial"",
IF(REGEXMATCH(S139, ""Folha Online""), ""Folha Online"",
IF(REGEXMATCH(S139, ""FGV DIREITO SP|FGV Direito SP""), ""FGV DIREITO SP"",
IF(REGEXMATCH(S139, ""massacrecarandiru\.org\.br""), ""Memória Mas"&amp;"sacre Carandiru"",
IF(REGEXMATCH(S139, ""Itaú Cultural""), ""YouTube (Itaú Cultural)"",
IF(REGEXMATCH(S139, ""Passa Palavra""), ""Vimeo (Passa Palavra)"",
IF(REGEXMATCH(S139, ""rede2deoutubro\.blogspot""), ""Blogspot (Rede 02 de Outubro)"",
IF(REGEXMATCH("&amp;"S139, ""Rede TVT""), ""YouTube (Rede TVT)"",
IF(REGEXMATCH(S139, ""Esquerda Diário""), ""Esquerda Diário"",
IF(REGEXMATCH(S139, ""GZH""), ""GZH"",
IF(REGEXMATCH(S139, ""TVPUC""), ""TVPUC"",
IF(REGEXMATCH(S139, ""Mídia Ninja.*Facebook""), ""Facebook (Mídia"&amp;" Ninja)"",
IF(REGEXMATCH(S139, ""Memórias Carandiru.*Instagram""), ""Instagram (Memórias Carandiru)"",
IF(REGEXMATCH(S139, ""Frente pelo Desencarceramento SP""), ""YouTube (Frente Pelo Desencarceramento SP)"",
IF(REGEXMATCH(S139, ""TV ABA""), ""YouTube (T"&amp;"V ABA)"",
IF(REGEXMATCH(S139, ""TV SENADO""), ""YouTube (TV Senado)"",
IF(REGEXMATCH(S139, ""Google Arts &amp; Culture""), ""Google Arts &amp; Culture (Memória Massacre Carandiru)"",
IF(REGEXMATCH(S139, ""Anistia Internacional|ANISTIA INTERNACIONAL""), ""Anistia "&amp;"Internacional"",
IF(REGEXMATCH(S139, ""47\.mostra|47a Mostra""), ""47a Mostra Internacional de Cinema em São Paulo"",
IF(REGEXMATCH(S139, ""Canal USP""), ""YouTube (Canal USP)"",
IF(AND(
  REGEXMATCH(S139, ""(?i)(teses?\.usp\.br|dissertacoes?\.usp\.br|rep"&amp;"ositorio\.usp\.br)""),
  NOT(REGEXMATCH(S139, ""Canal USP""))
), ""Biblioteca Digital de Teses e Dissertações da USP"",
IF(REGEXMATCH(S139, ""SINTRAJUSC""), ""SINTRAJUSC"",
IF(REGEXMATCH(S139, ""Agência Brasil|Agencia Brasil""), ""Agência Brasil"",
IF(REG"&amp;"EXMATCH(S139, ""Brasil de Fato""), ""Brasil de Fato"",
IF(REGEXMATCH(S139, ""Ponte Jornalismo|pontejornalismo""), ""Ponte Jornalismo"",
IF(REGEXMATCH(S139, ""letras\.mus\.br|Letras,""), ""Letras"",
IF(REGEXMATCH(S139, ""YouTube|youtube""), 
   ""YouTube "&amp;"(""&amp;
   IF(REGEXMATCH(S139, ""Itaú Cultural""), ""Itaú Cultural"",
   IF(REGEXMATCH(S139, ""Rede TVT""), ""Rede TVT"",
   IF(REGEXMATCH(S139, ""Frente pelo Desencarceramento SP""), ""Frente Pelo Desencarceramento SP"",
   IF(REGEXMATCH(S139, ""TV ABA""), "&amp;"""TV ABA"",
   IF(REGEXMATCH(S139, ""TV SENADO""), ""TV Senado"",
   IF(REGEXMATCH(S139, ""Canal USP""), ""Canal USP"",
   IF(REGEXMATCH(S139, ""Douer, Zack|Zack Douer""), ""Douer Zack"",
   IF(REGEXMATCH(S139, ""PRISIONEIRO 84\.901|PRISIONEIRO 84""), ""P"&amp;"risioneiro 84.901"",
   IF(REGEXMATCH(S139, ""^[^,]*, ""), 
        PROPER(REGEXREPLACE(REGEXEXTRACT(S139, ""^([^.]*)\.""), ""^([^,]*), (.*)"", ""$2 $1"")),
        PROPER(REGEXEXTRACT(S139, ""^([^.]*)\.""))
   )))))))))&amp;"")"",
IF(REGEXMATCH(S139, ""Spot"&amp;"ify|spotify""), 
   ""Spotify (""&amp;
   IF(REGEXMATCH(S139, ""ESTRANHO SORRISO""), ""Estranho Sorriso"",
   PROPER(REGEXEXTRACT(S139, ""^([^.]*)\.""))
   )&amp;"")"",
IF(REGEXMATCH(S139, ""Vimeo|vimeo""), 
   ""Vimeo (""&amp;
   IF(REGEXMATCH(S139, ""Passa Palavra"&amp;"""), ""Passa Palavra"",
   PROPER(REGEXEXTRACT(S139, ""^([^.]*)\.""))
   )&amp;"")"",
IF(REGEXMATCH(S139, ""Blogspot""), 
   ""Blogspot (""&amp;
   IF(REGEXMATCH(S139, ""rede2deoutubro""), ""Rede 02 de Outubro"",
   PROPER(REGEXEXTRACT(S139, ""^([^.]*)\.""))
   "&amp;")&amp;"")"",
IF(REGEXMATCH(S139, ""Facebook""), 
   ""Facebook (""&amp;
   IF(REGEXMATCH(S139, ""Mídia Ninja""), ""Mídia Ninja"",
   PROPER(REGEXEXTRACT(S139, ""^([^.]*)\.""))
   )&amp;"")"",
IF(REGEXMATCH(S139, ""Instagram""), 
   ""Instagram (""&amp;
   IF(REGEXMATCH"&amp;"(S139, ""Memórias Carandiru""), ""Memórias Carandiru"",
   PROPER(REGEXEXTRACT(S139, ""^([^.]*)\.""))
   )&amp;"")"",
IF(REGEXMATCH(S139, ""Folha de S\. Paulo|FOLHA DE S\. PAULO""), ""Folha de S. Paulo"",
IF(REGEXMATCH(S139, ""O Estado de S\. Paulo|ESTADAO"""&amp;"), ""O Estado de S. Paulo"",
IF(REGEXMATCH(S139, ""salasecreta""), ""Wordpress (Sala Secreta)"",
IF(REGEXMATCH(S139, ""Wikipedia|Wikipédia|WIKIPÉDIA""), ""Wikipedia"",
IF(REGEXMATCH(S139, ""VEJA|Veja""), ""Veja Abril"",
IF(REGEXMATCH(S411, ""Rede Globo|RE"&amp;"DE GLOBO""), ""Rede Globo"",
IF(REGEXMATCH(S411, ""G1|globo\.com""), ""G1"",
IF(REGEXMATCH(S139, ""Deutsche Welle|DW\.com""), ""Deutsche Welle"",
IF(REGEXMATCH(S139, ""CIDH|Comissão Interamericana""), ""Comissão Interamericana de Direitos Humanos (CIDH)"""&amp;",
IF(REGEXMATCH(S139, ""Pastoral Carcerária""), ""Pastoral Carcerária"",
IF(REGEXMATCH(S139, ""Esquerda Web""), ""Esquerda Web"",
IF(REGEXMATCH(S139, ""ONU|Organização das Nações Unidas""), ""ONU Brasil"",
IF(REGEXMATCH(S139, ""Quilombo Invisível""), ""Qu"&amp;"ilombo Invisível"",
IF(REGEXMATCH(S139, ""ALESP|Assembleia Legislativa""), ""ALESP"",
IF(REGEXMATCH(S139, ""Revista Opera""), ""Revista Opera"",
IF(REGEXMATCH(S139, ""SP Escola de Teatro""), ""SP Escola de Teatro"",
IF(REGEXMATCH(S139, ""EMC|Espaço Memóri"&amp;"a Carandiru""), ""EMC Espaço Memória Carandiru"",
IF(REGEXMATCH(S139, ""^RAMOS, Nuno|Nuno Ramos""), ""Nuno Ramos"",
IF(REGEXMATCH(S139, ""^VELOSO, Caetano|Caetano Veloso""), ""YouTube (Caetano Veloso)"",
IF(REGEXMATCH(S139, ""^FATOS REAIS""), ""YouTube ("&amp;"Fatos Reais - Topic)"",
IF(REGEXMATCH(S139, ""^SALA SECRETA""), ""Wordpress (Sala Secreta)"",
PROPER(REGEXEXTRACT(S139, ""^([^.]*)\.""))
))))))))))))))))))))))))))))))))))))))))))))))))))))))))"),"YouTube (Prisioneiro 84.901)")</f>
        <v>YouTube (Prisioneiro 84.901)</v>
      </c>
      <c r="N139" s="11" t="s">
        <v>47</v>
      </c>
      <c r="O139" s="14" t="s">
        <v>546</v>
      </c>
      <c r="P139" s="171">
        <v>45946.0</v>
      </c>
      <c r="Q139" s="11" t="s">
        <v>154</v>
      </c>
      <c r="R139" s="70" t="str">
        <f t="shared" si="8"/>
        <v>Aqui</v>
      </c>
      <c r="S139" s="172" t="s">
        <v>796</v>
      </c>
    </row>
    <row r="140">
      <c r="A140" s="11">
        <v>138.0</v>
      </c>
      <c r="B140" s="14" t="s">
        <v>729</v>
      </c>
      <c r="C140" s="122" t="s">
        <v>165</v>
      </c>
      <c r="D140" s="13" t="str">
        <f>IFERROR(__xludf.DUMMYFUNCTION("IF(B140="""","""",IF(OR(
  REGEXMATCH(B140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REGEXMATCH(B140,""público|Imediato|artística|teatral|memória"")
),""Público Imediato"",
IF(REGEXMATCH(B140,""Música|Álbum|Filme|Documentário|Série|Podc"&amp;"ast|Rádio|Audiotour|Entrevista|Reportagem|Crônica|Relatório|Abaixo-assinado|Manifesto|Petição|Poema|Livro|Fotografia|Curta|Live|Webinário|Charge|Leitura pública|Vídeo""),
""Público Mediado"","""")))
"),"Público Imediato")</f>
        <v>Público Imediato</v>
      </c>
      <c r="E140" s="13" t="str">
        <f>IFERROR(__xludf.DUMMYFUNCTION("IF(B140="""","""",IF(OR(
  REGEXMATCH(B140,""Live|Webinário|Virtual""),
  REGEXMATCH(B140,""online"")
),""Virtual"",
IF(REGEXMATCH(B140,""Música|Álbum|Filme|Documentário|Série|Podcast|Rádio|Audiotour|Episódio|Reportagem|Curta|Charge|Livro|Vídeo|Entrevista"&amp;"""),
""Midiático"",
IF(REGEXMATCH(B140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0" s="186">
        <v>45029.0</v>
      </c>
      <c r="G140" s="15">
        <f t="shared" si="1"/>
        <v>2023</v>
      </c>
      <c r="H140" s="14" t="s">
        <v>733</v>
      </c>
      <c r="I140" s="177" t="s">
        <v>741</v>
      </c>
      <c r="J140" s="175" t="s">
        <v>797</v>
      </c>
      <c r="K140" s="16" t="s">
        <v>736</v>
      </c>
      <c r="L140" s="18" t="s">
        <v>489</v>
      </c>
      <c r="M140" s="15" t="str">
        <f>IFERROR(__xludf.DUMMYFUNCTION("IF(REGEXMATCH(S140, ""Companhia das Letras""), ""Companhia das Letras"",
IF(REGEXMATCH(S140, ""Labortexto Editorial""), ""Labortexto Editorial"",
IF(REGEXMATCH(S140, ""Geração Editorial""), ""Geração Editorial"",
IF(REGEXMATCH(S140, ""Editora Imprensa Ofi"&amp;"cial|Imprensa Oficial""), ""Editora Imprensa Oficial"",
IF(REGEXMATCH(S140, ""Folha Online""), ""Folha Online"",
IF(REGEXMATCH(S140, ""FGV DIREITO SP|FGV Direito SP""), ""FGV DIREITO SP"",
IF(REGEXMATCH(S140, ""massacrecarandiru\.org\.br""), ""Memória Mas"&amp;"sacre Carandiru"",
IF(REGEXMATCH(S140, ""Itaú Cultural""), ""YouTube (Itaú Cultural)"",
IF(REGEXMATCH(S140, ""Passa Palavra""), ""Vimeo (Passa Palavra)"",
IF(REGEXMATCH(S140, ""rede2deoutubro\.blogspot""), ""Blogspot (Rede 02 de Outubro)"",
IF(REGEXMATCH("&amp;"S140, ""Rede TVT""), ""YouTube (Rede TVT)"",
IF(REGEXMATCH(S140, ""Esquerda Diário""), ""Esquerda Diário"",
IF(REGEXMATCH(S140, ""GZH""), ""GZH"",
IF(REGEXMATCH(S140, ""TVPUC""), ""TVPUC"",
IF(REGEXMATCH(S140, ""Mídia Ninja.*Facebook""), ""Facebook (Mídia"&amp;" Ninja)"",
IF(REGEXMATCH(S140, ""Memórias Carandiru.*Instagram""), ""Instagram (Memórias Carandiru)"",
IF(REGEXMATCH(S140, ""Frente pelo Desencarceramento SP""), ""YouTube (Frente Pelo Desencarceramento SP)"",
IF(REGEXMATCH(S140, ""TV ABA""), ""YouTube (T"&amp;"V ABA)"",
IF(REGEXMATCH(S140, ""TV SENADO""), ""YouTube (TV Senado)"",
IF(REGEXMATCH(S140, ""Google Arts &amp; Culture""), ""Google Arts &amp; Culture (Memória Massacre Carandiru)"",
IF(REGEXMATCH(S140, ""Anistia Internacional|ANISTIA INTERNACIONAL""), ""Anistia "&amp;"Internacional"",
IF(REGEXMATCH(S140, ""47\.mostra|47a Mostra""), ""47a Mostra Internacional de Cinema em São Paulo"",
IF(REGEXMATCH(S140, ""Canal USP""), ""YouTube (Canal USP)"",
IF(AND(
  REGEXMATCH(S140, ""(?i)(teses?\.usp\.br|dissertacoes?\.usp\.br|rep"&amp;"ositorio\.usp\.br)""),
  NOT(REGEXMATCH(S140, ""Canal USP""))
), ""Biblioteca Digital de Teses e Dissertações da USP"",
IF(REGEXMATCH(S140, ""SINTRAJUSC""), ""SINTRAJUSC"",
IF(REGEXMATCH(S140, ""Agência Brasil|Agencia Brasil""), ""Agência Brasil"",
IF(REG"&amp;"EXMATCH(S140, ""Brasil de Fato""), ""Brasil de Fato"",
IF(REGEXMATCH(S140, ""Ponte Jornalismo|pontejornalismo""), ""Ponte Jornalismo"",
IF(REGEXMATCH(S140, ""letras\.mus\.br|Letras,""), ""Letras"",
IF(REGEXMATCH(S140, ""YouTube|youtube""), 
   ""YouTube "&amp;"(""&amp;
   IF(REGEXMATCH(S140, ""Itaú Cultural""), ""Itaú Cultural"",
   IF(REGEXMATCH(S140, ""Rede TVT""), ""Rede TVT"",
   IF(REGEXMATCH(S140, ""Frente pelo Desencarceramento SP""), ""Frente Pelo Desencarceramento SP"",
   IF(REGEXMATCH(S140, ""TV ABA""), "&amp;"""TV ABA"",
   IF(REGEXMATCH(S140, ""TV SENADO""), ""TV Senado"",
   IF(REGEXMATCH(S140, ""Canal USP""), ""Canal USP"",
   IF(REGEXMATCH(S140, ""Douer, Zack|Zack Douer""), ""Douer Zack"",
   IF(REGEXMATCH(S140, ""PRISIONEIRO 84\.901|PRISIONEIRO 84""), ""P"&amp;"risioneiro 84.901"",
   IF(REGEXMATCH(S140, ""^[^,]*, ""), 
        PROPER(REGEXREPLACE(REGEXEXTRACT(S140, ""^([^.]*)\.""), ""^([^,]*), (.*)"", ""$2 $1"")),
        PROPER(REGEXEXTRACT(S140, ""^([^.]*)\.""))
   )))))))))&amp;"")"",
IF(REGEXMATCH(S140, ""Spot"&amp;"ify|spotify""), 
   ""Spotify (""&amp;
   IF(REGEXMATCH(S140, ""ESTRANHO SORRISO""), ""Estranho Sorriso"",
   PROPER(REGEXEXTRACT(S140, ""^([^.]*)\.""))
   )&amp;"")"",
IF(REGEXMATCH(S140, ""Vimeo|vimeo""), 
   ""Vimeo (""&amp;
   IF(REGEXMATCH(S140, ""Passa Palavra"&amp;"""), ""Passa Palavra"",
   PROPER(REGEXEXTRACT(S140, ""^([^.]*)\.""))
   )&amp;"")"",
IF(REGEXMATCH(S140, ""Blogspot""), 
   ""Blogspot (""&amp;
   IF(REGEXMATCH(S140, ""rede2deoutubro""), ""Rede 02 de Outubro"",
   PROPER(REGEXEXTRACT(S140, ""^([^.]*)\.""))
   "&amp;")&amp;"")"",
IF(REGEXMATCH(S140, ""Facebook""), 
   ""Facebook (""&amp;
   IF(REGEXMATCH(S140, ""Mídia Ninja""), ""Mídia Ninja"",
   PROPER(REGEXEXTRACT(S140, ""^([^.]*)\.""))
   )&amp;"")"",
IF(REGEXMATCH(S140, ""Instagram""), 
   ""Instagram (""&amp;
   IF(REGEXMATCH"&amp;"(S140, ""Memórias Carandiru""), ""Memórias Carandiru"",
   PROPER(REGEXEXTRACT(S140, ""^([^.]*)\.""))
   )&amp;"")"",
IF(REGEXMATCH(S140, ""Folha de S\. Paulo|FOLHA DE S\. PAULO""), ""Folha de S. Paulo"",
IF(REGEXMATCH(S140, ""O Estado de S\. Paulo|ESTADAO"""&amp;"), ""O Estado de S. Paulo"",
IF(REGEXMATCH(S140, ""salasecreta""), ""Wordpress (Sala Secreta)"",
IF(REGEXMATCH(S140, ""Wikipedia|Wikipédia|WIKIPÉDIA""), ""Wikipedia"",
IF(REGEXMATCH(S140, ""VEJA|Veja""), ""Veja Abril"",
IF(REGEXMATCH(S412, ""Rede Globo|RE"&amp;"DE GLOBO""), ""Rede Globo"",
IF(REGEXMATCH(S412, ""G1|globo\.com""), ""G1"",
IF(REGEXMATCH(S140, ""Deutsche Welle|DW\.com""), ""Deutsche Welle"",
IF(REGEXMATCH(S140, ""CIDH|Comissão Interamericana""), ""Comissão Interamericana de Direitos Humanos (CIDH)"""&amp;",
IF(REGEXMATCH(S140, ""Pastoral Carcerária""), ""Pastoral Carcerária"",
IF(REGEXMATCH(S140, ""Esquerda Web""), ""Esquerda Web"",
IF(REGEXMATCH(S140, ""ONU|Organização das Nações Unidas""), ""ONU Brasil"",
IF(REGEXMATCH(S140, ""Quilombo Invisível""), ""Qu"&amp;"ilombo Invisível"",
IF(REGEXMATCH(S140, ""ALESP|Assembleia Legislativa""), ""ALESP"",
IF(REGEXMATCH(S140, ""Revista Opera""), ""Revista Opera"",
IF(REGEXMATCH(S140, ""SP Escola de Teatro""), ""SP Escola de Teatro"",
IF(REGEXMATCH(S140, ""EMC|Espaço Memóri"&amp;"a Carandiru""), ""EMC Espaço Memória Carandiru"",
IF(REGEXMATCH(S140, ""^RAMOS, Nuno|Nuno Ramos""), ""Nuno Ramos"",
IF(REGEXMATCH(S140, ""^VELOSO, Caetano|Caetano Veloso""), ""YouTube (Caetano Veloso)"",
IF(REGEXMATCH(S140, ""^FATOS REAIS""), ""YouTube ("&amp;"Fatos Reais - Topic)"",
IF(REGEXMATCH(S140, ""^SALA SECRETA""), ""Wordpress (Sala Secreta)"",
PROPER(REGEXEXTRACT(S140, ""^([^.]*)\.""))
))))))))))))))))))))))))))))))))))))))))))))))))))))))))"),"Instagram (Memórias Carandiru)")</f>
        <v>Instagram (Memórias Carandiru)</v>
      </c>
      <c r="N140" s="11" t="s">
        <v>47</v>
      </c>
      <c r="O140" s="14" t="s">
        <v>149</v>
      </c>
      <c r="P140" s="186">
        <v>45857.0</v>
      </c>
      <c r="Q140" s="11" t="s">
        <v>154</v>
      </c>
      <c r="R140" s="70" t="str">
        <f t="shared" si="8"/>
        <v>Aqui</v>
      </c>
      <c r="S140" s="75" t="s">
        <v>798</v>
      </c>
    </row>
    <row r="141">
      <c r="A141" s="11">
        <v>139.0</v>
      </c>
      <c r="B141" s="14" t="s">
        <v>799</v>
      </c>
      <c r="C141" s="122" t="s">
        <v>165</v>
      </c>
      <c r="D141" s="13" t="str">
        <f>IFERROR(__xludf.DUMMYFUNCTION("IF(B141="""","""",IF(OR(
  REGEXMATCH(B141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REGEXMATCH(B141,""público|Imediato|artística|teatral|memória"")
),""Público Imediato"",
IF(REGEXMATCH(B141,""Música|Álbum|Filme|Documentário|Série|Podc"&amp;"ast|Rádio|Audiotour|Entrevista|Reportagem|Crônica|Relatório|Abaixo-assinado|Manifesto|Petição|Poema|Livro|Fotografia|Curta|Live|Webinário|Charge|Leitura pública|Vídeo""),
""Público Mediado"","""")))
"),"Público Imediato")</f>
        <v>Público Imediato</v>
      </c>
      <c r="E141" s="13" t="str">
        <f>IFERROR(__xludf.DUMMYFUNCTION("IF(B141="""","""",IF(OR(
  REGEXMATCH(B141,""Live|Webinário|Virtual""),
  REGEXMATCH(B141,""online"")
),""Virtual"",
IF(REGEXMATCH(B141,""Música|Álbum|Filme|Documentário|Série|Podcast|Rádio|Audiotour|Episódio|Reportagem|Curta|Charge|Livro|Vídeo|Entrevista"&amp;"""),
""Midiático"",
IF(REGEXMATCH(B141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1" s="186">
        <v>45038.0</v>
      </c>
      <c r="G141" s="15">
        <f t="shared" si="1"/>
        <v>2023</v>
      </c>
      <c r="H141" s="14" t="s">
        <v>733</v>
      </c>
      <c r="I141" s="177" t="s">
        <v>741</v>
      </c>
      <c r="J141" s="175" t="s">
        <v>800</v>
      </c>
      <c r="K141" s="16" t="s">
        <v>736</v>
      </c>
      <c r="L141" s="18" t="s">
        <v>489</v>
      </c>
      <c r="M141" s="15" t="str">
        <f>IFERROR(__xludf.DUMMYFUNCTION("IF(REGEXMATCH(S141, ""Companhia das Letras""), ""Companhia das Letras"",
IF(REGEXMATCH(S141, ""Labortexto Editorial""), ""Labortexto Editorial"",
IF(REGEXMATCH(S141, ""Geração Editorial""), ""Geração Editorial"",
IF(REGEXMATCH(S141, ""Editora Imprensa Ofi"&amp;"cial|Imprensa Oficial""), ""Editora Imprensa Oficial"",
IF(REGEXMATCH(S141, ""Folha Online""), ""Folha Online"",
IF(REGEXMATCH(S141, ""FGV DIREITO SP|FGV Direito SP""), ""FGV DIREITO SP"",
IF(REGEXMATCH(S141, ""massacrecarandiru\.org\.br""), ""Memória Mas"&amp;"sacre Carandiru"",
IF(REGEXMATCH(S141, ""Itaú Cultural""), ""YouTube (Itaú Cultural)"",
IF(REGEXMATCH(S141, ""Passa Palavra""), ""Vimeo (Passa Palavra)"",
IF(REGEXMATCH(S141, ""rede2deoutubro\.blogspot""), ""Blogspot (Rede 02 de Outubro)"",
IF(REGEXMATCH("&amp;"S141, ""Rede TVT""), ""YouTube (Rede TVT)"",
IF(REGEXMATCH(S141, ""Esquerda Diário""), ""Esquerda Diário"",
IF(REGEXMATCH(S141, ""GZH""), ""GZH"",
IF(REGEXMATCH(S141, ""TVPUC""), ""TVPUC"",
IF(REGEXMATCH(S141, ""Mídia Ninja.*Facebook""), ""Facebook (Mídia"&amp;" Ninja)"",
IF(REGEXMATCH(S141, ""Memórias Carandiru.*Instagram""), ""Instagram (Memórias Carandiru)"",
IF(REGEXMATCH(S141, ""Frente pelo Desencarceramento SP""), ""YouTube (Frente Pelo Desencarceramento SP)"",
IF(REGEXMATCH(S141, ""TV ABA""), ""YouTube (T"&amp;"V ABA)"",
IF(REGEXMATCH(S141, ""TV SENADO""), ""YouTube (TV Senado)"",
IF(REGEXMATCH(S141, ""Google Arts &amp; Culture""), ""Google Arts &amp; Culture (Memória Massacre Carandiru)"",
IF(REGEXMATCH(S141, ""Anistia Internacional|ANISTIA INTERNACIONAL""), ""Anistia "&amp;"Internacional"",
IF(REGEXMATCH(S141, ""47\.mostra|47a Mostra""), ""47a Mostra Internacional de Cinema em São Paulo"",
IF(REGEXMATCH(S141, ""Canal USP""), ""YouTube (Canal USP)"",
IF(AND(
  REGEXMATCH(S141, ""(?i)(teses?\.usp\.br|dissertacoes?\.usp\.br|rep"&amp;"ositorio\.usp\.br)""),
  NOT(REGEXMATCH(S141, ""Canal USP""))
), ""Biblioteca Digital de Teses e Dissertações da USP"",
IF(REGEXMATCH(S141, ""SINTRAJUSC""), ""SINTRAJUSC"",
IF(REGEXMATCH(S141, ""Agência Brasil|Agencia Brasil""), ""Agência Brasil"",
IF(REG"&amp;"EXMATCH(S141, ""Brasil de Fato""), ""Brasil de Fato"",
IF(REGEXMATCH(S141, ""Ponte Jornalismo|pontejornalismo""), ""Ponte Jornalismo"",
IF(REGEXMATCH(S141, ""letras\.mus\.br|Letras,""), ""Letras"",
IF(REGEXMATCH(S141, ""YouTube|youtube""), 
   ""YouTube "&amp;"(""&amp;
   IF(REGEXMATCH(S141, ""Itaú Cultural""), ""Itaú Cultural"",
   IF(REGEXMATCH(S141, ""Rede TVT""), ""Rede TVT"",
   IF(REGEXMATCH(S141, ""Frente pelo Desencarceramento SP""), ""Frente Pelo Desencarceramento SP"",
   IF(REGEXMATCH(S141, ""TV ABA""), "&amp;"""TV ABA"",
   IF(REGEXMATCH(S141, ""TV SENADO""), ""TV Senado"",
   IF(REGEXMATCH(S141, ""Canal USP""), ""Canal USP"",
   IF(REGEXMATCH(S141, ""Douer, Zack|Zack Douer""), ""Douer Zack"",
   IF(REGEXMATCH(S141, ""PRISIONEIRO 84\.901|PRISIONEIRO 84""), ""P"&amp;"risioneiro 84.901"",
   IF(REGEXMATCH(S141, ""^[^,]*, ""), 
        PROPER(REGEXREPLACE(REGEXEXTRACT(S141, ""^([^.]*)\.""), ""^([^,]*), (.*)"", ""$2 $1"")),
        PROPER(REGEXEXTRACT(S141, ""^([^.]*)\.""))
   )))))))))&amp;"")"",
IF(REGEXMATCH(S141, ""Spot"&amp;"ify|spotify""), 
   ""Spotify (""&amp;
   IF(REGEXMATCH(S141, ""ESTRANHO SORRISO""), ""Estranho Sorriso"",
   PROPER(REGEXEXTRACT(S141, ""^([^.]*)\.""))
   )&amp;"")"",
IF(REGEXMATCH(S141, ""Vimeo|vimeo""), 
   ""Vimeo (""&amp;
   IF(REGEXMATCH(S141, ""Passa Palavra"&amp;"""), ""Passa Palavra"",
   PROPER(REGEXEXTRACT(S141, ""^([^.]*)\.""))
   )&amp;"")"",
IF(REGEXMATCH(S141, ""Blogspot""), 
   ""Blogspot (""&amp;
   IF(REGEXMATCH(S141, ""rede2deoutubro""), ""Rede 02 de Outubro"",
   PROPER(REGEXEXTRACT(S141, ""^([^.]*)\.""))
   "&amp;")&amp;"")"",
IF(REGEXMATCH(S141, ""Facebook""), 
   ""Facebook (""&amp;
   IF(REGEXMATCH(S141, ""Mídia Ninja""), ""Mídia Ninja"",
   PROPER(REGEXEXTRACT(S141, ""^([^.]*)\.""))
   )&amp;"")"",
IF(REGEXMATCH(S141, ""Instagram""), 
   ""Instagram (""&amp;
   IF(REGEXMATCH"&amp;"(S141, ""Memórias Carandiru""), ""Memórias Carandiru"",
   PROPER(REGEXEXTRACT(S141, ""^([^.]*)\.""))
   )&amp;"")"",
IF(REGEXMATCH(S141, ""Folha de S\. Paulo|FOLHA DE S\. PAULO""), ""Folha de S. Paulo"",
IF(REGEXMATCH(S141, ""O Estado de S\. Paulo|ESTADAO"""&amp;"), ""O Estado de S. Paulo"",
IF(REGEXMATCH(S141, ""salasecreta""), ""Wordpress (Sala Secreta)"",
IF(REGEXMATCH(S141, ""Wikipedia|Wikipédia|WIKIPÉDIA""), ""Wikipedia"",
IF(REGEXMATCH(S141, ""VEJA|Veja""), ""Veja Abril"",
IF(REGEXMATCH(S413, ""Rede Globo|RE"&amp;"DE GLOBO""), ""Rede Globo"",
IF(REGEXMATCH(S413, ""G1|globo\.com""), ""G1"",
IF(REGEXMATCH(S141, ""Deutsche Welle|DW\.com""), ""Deutsche Welle"",
IF(REGEXMATCH(S141, ""CIDH|Comissão Interamericana""), ""Comissão Interamericana de Direitos Humanos (CIDH)"""&amp;",
IF(REGEXMATCH(S141, ""Pastoral Carcerária""), ""Pastoral Carcerária"",
IF(REGEXMATCH(S141, ""Esquerda Web""), ""Esquerda Web"",
IF(REGEXMATCH(S141, ""ONU|Organização das Nações Unidas""), ""ONU Brasil"",
IF(REGEXMATCH(S141, ""Quilombo Invisível""), ""Qu"&amp;"ilombo Invisível"",
IF(REGEXMATCH(S141, ""ALESP|Assembleia Legislativa""), ""ALESP"",
IF(REGEXMATCH(S141, ""Revista Opera""), ""Revista Opera"",
IF(REGEXMATCH(S141, ""SP Escola de Teatro""), ""SP Escola de Teatro"",
IF(REGEXMATCH(S141, ""EMC|Espaço Memóri"&amp;"a Carandiru""), ""EMC Espaço Memória Carandiru"",
IF(REGEXMATCH(S141, ""^RAMOS, Nuno|Nuno Ramos""), ""Nuno Ramos"",
IF(REGEXMATCH(S141, ""^VELOSO, Caetano|Caetano Veloso""), ""YouTube (Caetano Veloso)"",
IF(REGEXMATCH(S141, ""^FATOS REAIS""), ""YouTube ("&amp;"Fatos Reais - Topic)"",
IF(REGEXMATCH(S141, ""^SALA SECRETA""), ""Wordpress (Sala Secreta)"",
PROPER(REGEXEXTRACT(S141, ""^([^.]*)\.""))
))))))))))))))))))))))))))))))))))))))))))))))))))))))))"),"Instagram (Memórias Carandiru)")</f>
        <v>Instagram (Memórias Carandiru)</v>
      </c>
      <c r="N141" s="11" t="s">
        <v>47</v>
      </c>
      <c r="O141" s="14" t="s">
        <v>149</v>
      </c>
      <c r="P141" s="186">
        <v>45857.0</v>
      </c>
      <c r="Q141" s="11" t="s">
        <v>154</v>
      </c>
      <c r="R141" s="70" t="str">
        <f t="shared" si="8"/>
        <v>Aqui</v>
      </c>
      <c r="S141" s="75" t="s">
        <v>801</v>
      </c>
    </row>
    <row r="142">
      <c r="A142" s="11">
        <v>140.0</v>
      </c>
      <c r="B142" s="14" t="s">
        <v>729</v>
      </c>
      <c r="C142" s="122" t="s">
        <v>165</v>
      </c>
      <c r="D142" s="13" t="str">
        <f>IFERROR(__xludf.DUMMYFUNCTION("IF(B142="""","""",IF(OR(
  REGEXMATCH(B142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REGEXMATCH(B142,""público|Imediato|artística|teatral|memória"")
),""Público Imediato"",
IF(REGEXMATCH(B142,""Música|Álbum|Filme|Documentário|Série|Podc"&amp;"ast|Rádio|Audiotour|Entrevista|Reportagem|Crônica|Relatório|Abaixo-assinado|Manifesto|Petição|Poema|Livro|Fotografia|Curta|Live|Webinário|Charge|Leitura pública|Vídeo""),
""Público Mediado"","""")))
"),"Público Imediato")</f>
        <v>Público Imediato</v>
      </c>
      <c r="E142" s="13" t="str">
        <f>IFERROR(__xludf.DUMMYFUNCTION("IF(B142="""","""",IF(OR(
  REGEXMATCH(B142,""Live|Webinário|Virtual""),
  REGEXMATCH(B142,""online"")
),""Virtual"",
IF(REGEXMATCH(B142,""Música|Álbum|Filme|Documentário|Série|Podcast|Rádio|Audiotour|Episódio|Reportagem|Curta|Charge|Livro|Vídeo|Entrevista"&amp;"""),
""Midiático"",
IF(REGEXMATCH(B142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2" s="186">
        <v>45059.0</v>
      </c>
      <c r="G142" s="15">
        <f t="shared" si="1"/>
        <v>2023</v>
      </c>
      <c r="H142" s="14" t="s">
        <v>733</v>
      </c>
      <c r="I142" s="177" t="s">
        <v>741</v>
      </c>
      <c r="J142" s="175" t="s">
        <v>802</v>
      </c>
      <c r="K142" s="16" t="s">
        <v>736</v>
      </c>
      <c r="L142" s="18" t="s">
        <v>489</v>
      </c>
      <c r="M142" s="15" t="str">
        <f>IFERROR(__xludf.DUMMYFUNCTION("IF(REGEXMATCH(S142, ""Companhia das Letras""), ""Companhia das Letras"",
IF(REGEXMATCH(S142, ""Labortexto Editorial""), ""Labortexto Editorial"",
IF(REGEXMATCH(S142, ""Geração Editorial""), ""Geração Editorial"",
IF(REGEXMATCH(S142, ""Editora Imprensa Ofi"&amp;"cial|Imprensa Oficial""), ""Editora Imprensa Oficial"",
IF(REGEXMATCH(S142, ""Folha Online""), ""Folha Online"",
IF(REGEXMATCH(S142, ""FGV DIREITO SP|FGV Direito SP""), ""FGV DIREITO SP"",
IF(REGEXMATCH(S142, ""massacrecarandiru\.org\.br""), ""Memória Mas"&amp;"sacre Carandiru"",
IF(REGEXMATCH(S142, ""Itaú Cultural""), ""YouTube (Itaú Cultural)"",
IF(REGEXMATCH(S142, ""Passa Palavra""), ""Vimeo (Passa Palavra)"",
IF(REGEXMATCH(S142, ""rede2deoutubro\.blogspot""), ""Blogspot (Rede 02 de Outubro)"",
IF(REGEXMATCH("&amp;"S142, ""Rede TVT""), ""YouTube (Rede TVT)"",
IF(REGEXMATCH(S142, ""Esquerda Diário""), ""Esquerda Diário"",
IF(REGEXMATCH(S142, ""GZH""), ""GZH"",
IF(REGEXMATCH(S142, ""TVPUC""), ""TVPUC"",
IF(REGEXMATCH(S142, ""Mídia Ninja.*Facebook""), ""Facebook (Mídia"&amp;" Ninja)"",
IF(REGEXMATCH(S142, ""Memórias Carandiru.*Instagram""), ""Instagram (Memórias Carandiru)"",
IF(REGEXMATCH(S142, ""Frente pelo Desencarceramento SP""), ""YouTube (Frente Pelo Desencarceramento SP)"",
IF(REGEXMATCH(S142, ""TV ABA""), ""YouTube (T"&amp;"V ABA)"",
IF(REGEXMATCH(S142, ""TV SENADO""), ""YouTube (TV Senado)"",
IF(REGEXMATCH(S142, ""Google Arts &amp; Culture""), ""Google Arts &amp; Culture (Memória Massacre Carandiru)"",
IF(REGEXMATCH(S142, ""Anistia Internacional|ANISTIA INTERNACIONAL""), ""Anistia "&amp;"Internacional"",
IF(REGEXMATCH(S142, ""47\.mostra|47a Mostra""), ""47a Mostra Internacional de Cinema em São Paulo"",
IF(REGEXMATCH(S142, ""Canal USP""), ""YouTube (Canal USP)"",
IF(AND(
  REGEXMATCH(S142, ""(?i)(teses?\.usp\.br|dissertacoes?\.usp\.br|rep"&amp;"ositorio\.usp\.br)""),
  NOT(REGEXMATCH(S142, ""Canal USP""))
), ""Biblioteca Digital de Teses e Dissertações da USP"",
IF(REGEXMATCH(S142, ""SINTRAJUSC""), ""SINTRAJUSC"",
IF(REGEXMATCH(S142, ""Agência Brasil|Agencia Brasil""), ""Agência Brasil"",
IF(REG"&amp;"EXMATCH(S142, ""Brasil de Fato""), ""Brasil de Fato"",
IF(REGEXMATCH(S142, ""Ponte Jornalismo|pontejornalismo""), ""Ponte Jornalismo"",
IF(REGEXMATCH(S142, ""letras\.mus\.br|Letras,""), ""Letras"",
IF(REGEXMATCH(S142, ""YouTube|youtube""), 
   ""YouTube "&amp;"(""&amp;
   IF(REGEXMATCH(S142, ""Itaú Cultural""), ""Itaú Cultural"",
   IF(REGEXMATCH(S142, ""Rede TVT""), ""Rede TVT"",
   IF(REGEXMATCH(S142, ""Frente pelo Desencarceramento SP""), ""Frente Pelo Desencarceramento SP"",
   IF(REGEXMATCH(S142, ""TV ABA""), "&amp;"""TV ABA"",
   IF(REGEXMATCH(S142, ""TV SENADO""), ""TV Senado"",
   IF(REGEXMATCH(S142, ""Canal USP""), ""Canal USP"",
   IF(REGEXMATCH(S142, ""Douer, Zack|Zack Douer""), ""Douer Zack"",
   IF(REGEXMATCH(S142, ""PRISIONEIRO 84\.901|PRISIONEIRO 84""), ""P"&amp;"risioneiro 84.901"",
   IF(REGEXMATCH(S142, ""^[^,]*, ""), 
        PROPER(REGEXREPLACE(REGEXEXTRACT(S142, ""^([^.]*)\.""), ""^([^,]*), (.*)"", ""$2 $1"")),
        PROPER(REGEXEXTRACT(S142, ""^([^.]*)\.""))
   )))))))))&amp;"")"",
IF(REGEXMATCH(S142, ""Spot"&amp;"ify|spotify""), 
   ""Spotify (""&amp;
   IF(REGEXMATCH(S142, ""ESTRANHO SORRISO""), ""Estranho Sorriso"",
   PROPER(REGEXEXTRACT(S142, ""^([^.]*)\.""))
   )&amp;"")"",
IF(REGEXMATCH(S142, ""Vimeo|vimeo""), 
   ""Vimeo (""&amp;
   IF(REGEXMATCH(S142, ""Passa Palavra"&amp;"""), ""Passa Palavra"",
   PROPER(REGEXEXTRACT(S142, ""^([^.]*)\.""))
   )&amp;"")"",
IF(REGEXMATCH(S142, ""Blogspot""), 
   ""Blogspot (""&amp;
   IF(REGEXMATCH(S142, ""rede2deoutubro""), ""Rede 02 de Outubro"",
   PROPER(REGEXEXTRACT(S142, ""^([^.]*)\.""))
   "&amp;")&amp;"")"",
IF(REGEXMATCH(S142, ""Facebook""), 
   ""Facebook (""&amp;
   IF(REGEXMATCH(S142, ""Mídia Ninja""), ""Mídia Ninja"",
   PROPER(REGEXEXTRACT(S142, ""^([^.]*)\.""))
   )&amp;"")"",
IF(REGEXMATCH(S142, ""Instagram""), 
   ""Instagram (""&amp;
   IF(REGEXMATCH"&amp;"(S142, ""Memórias Carandiru""), ""Memórias Carandiru"",
   PROPER(REGEXEXTRACT(S142, ""^([^.]*)\.""))
   )&amp;"")"",
IF(REGEXMATCH(S142, ""Folha de S\. Paulo|FOLHA DE S\. PAULO""), ""Folha de S. Paulo"",
IF(REGEXMATCH(S142, ""O Estado de S\. Paulo|ESTADAO"""&amp;"), ""O Estado de S. Paulo"",
IF(REGEXMATCH(S142, ""salasecreta""), ""Wordpress (Sala Secreta)"",
IF(REGEXMATCH(S142, ""Wikipedia|Wikipédia|WIKIPÉDIA""), ""Wikipedia"",
IF(REGEXMATCH(S142, ""VEJA|Veja""), ""Veja Abril"",
IF(REGEXMATCH(S414, ""Rede Globo|RE"&amp;"DE GLOBO""), ""Rede Globo"",
IF(REGEXMATCH(S414, ""G1|globo\.com""), ""G1"",
IF(REGEXMATCH(S142, ""Deutsche Welle|DW\.com""), ""Deutsche Welle"",
IF(REGEXMATCH(S142, ""CIDH|Comissão Interamericana""), ""Comissão Interamericana de Direitos Humanos (CIDH)"""&amp;",
IF(REGEXMATCH(S142, ""Pastoral Carcerária""), ""Pastoral Carcerária"",
IF(REGEXMATCH(S142, ""Esquerda Web""), ""Esquerda Web"",
IF(REGEXMATCH(S142, ""ONU|Organização das Nações Unidas""), ""ONU Brasil"",
IF(REGEXMATCH(S142, ""Quilombo Invisível""), ""Qu"&amp;"ilombo Invisível"",
IF(REGEXMATCH(S142, ""ALESP|Assembleia Legislativa""), ""ALESP"",
IF(REGEXMATCH(S142, ""Revista Opera""), ""Revista Opera"",
IF(REGEXMATCH(S142, ""SP Escola de Teatro""), ""SP Escola de Teatro"",
IF(REGEXMATCH(S142, ""EMC|Espaço Memóri"&amp;"a Carandiru""), ""EMC Espaço Memória Carandiru"",
IF(REGEXMATCH(S142, ""^RAMOS, Nuno|Nuno Ramos""), ""Nuno Ramos"",
IF(REGEXMATCH(S142, ""^VELOSO, Caetano|Caetano Veloso""), ""YouTube (Caetano Veloso)"",
IF(REGEXMATCH(S142, ""^FATOS REAIS""), ""YouTube ("&amp;"Fatos Reais - Topic)"",
IF(REGEXMATCH(S142, ""^SALA SECRETA""), ""Wordpress (Sala Secreta)"",
PROPER(REGEXEXTRACT(S142, ""^([^.]*)\.""))
))))))))))))))))))))))))))))))))))))))))))))))))))))))))"),"Instagram (Memórias Carandiru)")</f>
        <v>Instagram (Memórias Carandiru)</v>
      </c>
      <c r="N142" s="11" t="s">
        <v>47</v>
      </c>
      <c r="O142" s="14" t="s">
        <v>149</v>
      </c>
      <c r="P142" s="186">
        <v>45857.0</v>
      </c>
      <c r="Q142" s="11" t="s">
        <v>154</v>
      </c>
      <c r="R142" s="70" t="str">
        <f t="shared" si="8"/>
        <v>Aqui</v>
      </c>
      <c r="S142" s="75" t="s">
        <v>803</v>
      </c>
    </row>
    <row r="143">
      <c r="A143" s="11">
        <v>141.0</v>
      </c>
      <c r="B143" s="14" t="s">
        <v>799</v>
      </c>
      <c r="C143" s="122" t="s">
        <v>165</v>
      </c>
      <c r="D143" s="13" t="str">
        <f>IFERROR(__xludf.DUMMYFUNCTION("IF(B143="""","""",IF(OR(
  REGEXMATCH(B143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REGEXMATCH(B143,""público|Imediato|artística|teatral|memória"")
),""Público Imediato"",
IF(REGEXMATCH(B143,""Música|Álbum|Filme|Documentário|Série|Podc"&amp;"ast|Rádio|Audiotour|Entrevista|Reportagem|Crônica|Relatório|Abaixo-assinado|Manifesto|Petição|Poema|Livro|Fotografia|Curta|Live|Webinário|Charge|Leitura pública|Vídeo""),
""Público Mediado"","""")))
"),"Público Imediato")</f>
        <v>Público Imediato</v>
      </c>
      <c r="E143" s="13" t="str">
        <f>IFERROR(__xludf.DUMMYFUNCTION("IF(B143="""","""",IF(OR(
  REGEXMATCH(B143,""Live|Webinário|Virtual""),
  REGEXMATCH(B143,""online"")
),""Virtual"",
IF(REGEXMATCH(B143,""Música|Álbum|Filme|Documentário|Série|Podcast|Rádio|Audiotour|Episódio|Reportagem|Curta|Charge|Livro|Vídeo|Entrevista"&amp;"""),
""Midiático"",
IF(REGEXMATCH(B143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3" s="186">
        <v>45073.0</v>
      </c>
      <c r="G143" s="15">
        <f t="shared" si="1"/>
        <v>2023</v>
      </c>
      <c r="H143" s="14" t="s">
        <v>733</v>
      </c>
      <c r="I143" s="177" t="s">
        <v>741</v>
      </c>
      <c r="J143" s="175" t="s">
        <v>804</v>
      </c>
      <c r="K143" s="16" t="s">
        <v>736</v>
      </c>
      <c r="L143" s="18" t="s">
        <v>489</v>
      </c>
      <c r="M143" s="15" t="str">
        <f>IFERROR(__xludf.DUMMYFUNCTION("IF(REGEXMATCH(S143, ""Companhia das Letras""), ""Companhia das Letras"",
IF(REGEXMATCH(S143, ""Labortexto Editorial""), ""Labortexto Editorial"",
IF(REGEXMATCH(S143, ""Geração Editorial""), ""Geração Editorial"",
IF(REGEXMATCH(S143, ""Editora Imprensa Ofi"&amp;"cial|Imprensa Oficial""), ""Editora Imprensa Oficial"",
IF(REGEXMATCH(S143, ""Folha Online""), ""Folha Online"",
IF(REGEXMATCH(S143, ""FGV DIREITO SP|FGV Direito SP""), ""FGV DIREITO SP"",
IF(REGEXMATCH(S143, ""massacrecarandiru\.org\.br""), ""Memória Mas"&amp;"sacre Carandiru"",
IF(REGEXMATCH(S143, ""Itaú Cultural""), ""YouTube (Itaú Cultural)"",
IF(REGEXMATCH(S143, ""Passa Palavra""), ""Vimeo (Passa Palavra)"",
IF(REGEXMATCH(S143, ""rede2deoutubro\.blogspot""), ""Blogspot (Rede 02 de Outubro)"",
IF(REGEXMATCH("&amp;"S143, ""Rede TVT""), ""YouTube (Rede TVT)"",
IF(REGEXMATCH(S143, ""Esquerda Diário""), ""Esquerda Diário"",
IF(REGEXMATCH(S143, ""GZH""), ""GZH"",
IF(REGEXMATCH(S143, ""TVPUC""), ""TVPUC"",
IF(REGEXMATCH(S143, ""Mídia Ninja.*Facebook""), ""Facebook (Mídia"&amp;" Ninja)"",
IF(REGEXMATCH(S143, ""Memórias Carandiru.*Instagram""), ""Instagram (Memórias Carandiru)"",
IF(REGEXMATCH(S143, ""Frente pelo Desencarceramento SP""), ""YouTube (Frente Pelo Desencarceramento SP)"",
IF(REGEXMATCH(S143, ""TV ABA""), ""YouTube (T"&amp;"V ABA)"",
IF(REGEXMATCH(S143, ""TV SENADO""), ""YouTube (TV Senado)"",
IF(REGEXMATCH(S143, ""Google Arts &amp; Culture""), ""Google Arts &amp; Culture (Memória Massacre Carandiru)"",
IF(REGEXMATCH(S143, ""Anistia Internacional|ANISTIA INTERNACIONAL""), ""Anistia "&amp;"Internacional"",
IF(REGEXMATCH(S143, ""47\.mostra|47a Mostra""), ""47a Mostra Internacional de Cinema em São Paulo"",
IF(REGEXMATCH(S143, ""Canal USP""), ""YouTube (Canal USP)"",
IF(AND(
  REGEXMATCH(S143, ""(?i)(teses?\.usp\.br|dissertacoes?\.usp\.br|rep"&amp;"ositorio\.usp\.br)""),
  NOT(REGEXMATCH(S143, ""Canal USP""))
), ""Biblioteca Digital de Teses e Dissertações da USP"",
IF(REGEXMATCH(S143, ""SINTRAJUSC""), ""SINTRAJUSC"",
IF(REGEXMATCH(S143, ""Agência Brasil|Agencia Brasil""), ""Agência Brasil"",
IF(REG"&amp;"EXMATCH(S143, ""Brasil de Fato""), ""Brasil de Fato"",
IF(REGEXMATCH(S143, ""Ponte Jornalismo|pontejornalismo""), ""Ponte Jornalismo"",
IF(REGEXMATCH(S143, ""letras\.mus\.br|Letras,""), ""Letras"",
IF(REGEXMATCH(S143, ""YouTube|youtube""), 
   ""YouTube "&amp;"(""&amp;
   IF(REGEXMATCH(S143, ""Itaú Cultural""), ""Itaú Cultural"",
   IF(REGEXMATCH(S143, ""Rede TVT""), ""Rede TVT"",
   IF(REGEXMATCH(S143, ""Frente pelo Desencarceramento SP""), ""Frente Pelo Desencarceramento SP"",
   IF(REGEXMATCH(S143, ""TV ABA""), "&amp;"""TV ABA"",
   IF(REGEXMATCH(S143, ""TV SENADO""), ""TV Senado"",
   IF(REGEXMATCH(S143, ""Canal USP""), ""Canal USP"",
   IF(REGEXMATCH(S143, ""Douer, Zack|Zack Douer""), ""Douer Zack"",
   IF(REGEXMATCH(S143, ""PRISIONEIRO 84\.901|PRISIONEIRO 84""), ""P"&amp;"risioneiro 84.901"",
   IF(REGEXMATCH(S143, ""^[^,]*, ""), 
        PROPER(REGEXREPLACE(REGEXEXTRACT(S143, ""^([^.]*)\.""), ""^([^,]*), (.*)"", ""$2 $1"")),
        PROPER(REGEXEXTRACT(S143, ""^([^.]*)\.""))
   )))))))))&amp;"")"",
IF(REGEXMATCH(S143, ""Spot"&amp;"ify|spotify""), 
   ""Spotify (""&amp;
   IF(REGEXMATCH(S143, ""ESTRANHO SORRISO""), ""Estranho Sorriso"",
   PROPER(REGEXEXTRACT(S143, ""^([^.]*)\.""))
   )&amp;"")"",
IF(REGEXMATCH(S143, ""Vimeo|vimeo""), 
   ""Vimeo (""&amp;
   IF(REGEXMATCH(S143, ""Passa Palavra"&amp;"""), ""Passa Palavra"",
   PROPER(REGEXEXTRACT(S143, ""^([^.]*)\.""))
   )&amp;"")"",
IF(REGEXMATCH(S143, ""Blogspot""), 
   ""Blogspot (""&amp;
   IF(REGEXMATCH(S143, ""rede2deoutubro""), ""Rede 02 de Outubro"",
   PROPER(REGEXEXTRACT(S143, ""^([^.]*)\.""))
   "&amp;")&amp;"")"",
IF(REGEXMATCH(S143, ""Facebook""), 
   ""Facebook (""&amp;
   IF(REGEXMATCH(S143, ""Mídia Ninja""), ""Mídia Ninja"",
   PROPER(REGEXEXTRACT(S143, ""^([^.]*)\.""))
   )&amp;"")"",
IF(REGEXMATCH(S143, ""Instagram""), 
   ""Instagram (""&amp;
   IF(REGEXMATCH"&amp;"(S143, ""Memórias Carandiru""), ""Memórias Carandiru"",
   PROPER(REGEXEXTRACT(S143, ""^([^.]*)\.""))
   )&amp;"")"",
IF(REGEXMATCH(S143, ""Folha de S\. Paulo|FOLHA DE S\. PAULO""), ""Folha de S. Paulo"",
IF(REGEXMATCH(S143, ""O Estado de S\. Paulo|ESTADAO"""&amp;"), ""O Estado de S. Paulo"",
IF(REGEXMATCH(S143, ""salasecreta""), ""Wordpress (Sala Secreta)"",
IF(REGEXMATCH(S143, ""Wikipedia|Wikipédia|WIKIPÉDIA""), ""Wikipedia"",
IF(REGEXMATCH(S143, ""VEJA|Veja""), ""Veja Abril"",
IF(REGEXMATCH(S415, ""Rede Globo|RE"&amp;"DE GLOBO""), ""Rede Globo"",
IF(REGEXMATCH(S415, ""G1|globo\.com""), ""G1"",
IF(REGEXMATCH(S143, ""Deutsche Welle|DW\.com""), ""Deutsche Welle"",
IF(REGEXMATCH(S143, ""CIDH|Comissão Interamericana""), ""Comissão Interamericana de Direitos Humanos (CIDH)"""&amp;",
IF(REGEXMATCH(S143, ""Pastoral Carcerária""), ""Pastoral Carcerária"",
IF(REGEXMATCH(S143, ""Esquerda Web""), ""Esquerda Web"",
IF(REGEXMATCH(S143, ""ONU|Organização das Nações Unidas""), ""ONU Brasil"",
IF(REGEXMATCH(S143, ""Quilombo Invisível""), ""Qu"&amp;"ilombo Invisível"",
IF(REGEXMATCH(S143, ""ALESP|Assembleia Legislativa""), ""ALESP"",
IF(REGEXMATCH(S143, ""Revista Opera""), ""Revista Opera"",
IF(REGEXMATCH(S143, ""SP Escola de Teatro""), ""SP Escola de Teatro"",
IF(REGEXMATCH(S143, ""EMC|Espaço Memóri"&amp;"a Carandiru""), ""EMC Espaço Memória Carandiru"",
IF(REGEXMATCH(S143, ""^RAMOS, Nuno|Nuno Ramos""), ""Nuno Ramos"",
IF(REGEXMATCH(S143, ""^VELOSO, Caetano|Caetano Veloso""), ""YouTube (Caetano Veloso)"",
IF(REGEXMATCH(S143, ""^FATOS REAIS""), ""YouTube ("&amp;"Fatos Reais - Topic)"",
IF(REGEXMATCH(S143, ""^SALA SECRETA""), ""Wordpress (Sala Secreta)"",
PROPER(REGEXEXTRACT(S143, ""^([^.]*)\.""))
))))))))))))))))))))))))))))))))))))))))))))))))))))))))"),"Instagram (Memórias Carandiru)")</f>
        <v>Instagram (Memórias Carandiru)</v>
      </c>
      <c r="N143" s="11" t="s">
        <v>47</v>
      </c>
      <c r="O143" s="14" t="s">
        <v>149</v>
      </c>
      <c r="P143" s="186">
        <v>45857.0</v>
      </c>
      <c r="Q143" s="11" t="s">
        <v>154</v>
      </c>
      <c r="R143" s="70" t="str">
        <f t="shared" si="8"/>
        <v>Aqui</v>
      </c>
      <c r="S143" s="75" t="s">
        <v>805</v>
      </c>
    </row>
    <row r="144">
      <c r="A144" s="11">
        <v>142.0</v>
      </c>
      <c r="B144" s="14" t="s">
        <v>729</v>
      </c>
      <c r="C144" s="122" t="s">
        <v>165</v>
      </c>
      <c r="D144" s="13" t="str">
        <f>IFERROR(__xludf.DUMMYFUNCTION("IF(B144="""","""",IF(OR(
  REGEXMATCH(B144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REGEXMATCH(B144,""público|Imediato|artística|teatral|memória"")
),""Público Imediato"",
IF(REGEXMATCH(B144,""Música|Álbum|Filme|Documentário|Série|Podc"&amp;"ast|Rádio|Audiotour|Entrevista|Reportagem|Crônica|Relatório|Abaixo-assinado|Manifesto|Petição|Poema|Livro|Fotografia|Curta|Live|Webinário|Charge|Leitura pública|Vídeo""),
""Público Mediado"","""")))
"),"Público Imediato")</f>
        <v>Público Imediato</v>
      </c>
      <c r="E144" s="13" t="str">
        <f>IFERROR(__xludf.DUMMYFUNCTION("IF(B144="""","""",IF(OR(
  REGEXMATCH(B144,""Live|Webinário|Virtual""),
  REGEXMATCH(B144,""online"")
),""Virtual"",
IF(REGEXMATCH(B144,""Música|Álbum|Filme|Documentário|Série|Podcast|Rádio|Audiotour|Episódio|Reportagem|Curta|Charge|Livro|Vídeo|Entrevista"&amp;"""),
""Midiático"",
IF(REGEXMATCH(B144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4" s="186">
        <v>45085.0</v>
      </c>
      <c r="G144" s="15">
        <f t="shared" si="1"/>
        <v>2023</v>
      </c>
      <c r="H144" s="14" t="s">
        <v>733</v>
      </c>
      <c r="I144" s="177" t="s">
        <v>741</v>
      </c>
      <c r="J144" s="175" t="s">
        <v>806</v>
      </c>
      <c r="K144" s="16" t="s">
        <v>736</v>
      </c>
      <c r="L144" s="18" t="s">
        <v>489</v>
      </c>
      <c r="M144" s="15" t="str">
        <f>IFERROR(__xludf.DUMMYFUNCTION("IF(REGEXMATCH(S144, ""Companhia das Letras""), ""Companhia das Letras"",
IF(REGEXMATCH(S144, ""Labortexto Editorial""), ""Labortexto Editorial"",
IF(REGEXMATCH(S144, ""Geração Editorial""), ""Geração Editorial"",
IF(REGEXMATCH(S144, ""Editora Imprensa Ofi"&amp;"cial|Imprensa Oficial""), ""Editora Imprensa Oficial"",
IF(REGEXMATCH(S144, ""Folha Online""), ""Folha Online"",
IF(REGEXMATCH(S144, ""FGV DIREITO SP|FGV Direito SP""), ""FGV DIREITO SP"",
IF(REGEXMATCH(S144, ""massacrecarandiru\.org\.br""), ""Memória Mas"&amp;"sacre Carandiru"",
IF(REGEXMATCH(S144, ""Itaú Cultural""), ""YouTube (Itaú Cultural)"",
IF(REGEXMATCH(S144, ""Passa Palavra""), ""Vimeo (Passa Palavra)"",
IF(REGEXMATCH(S144, ""rede2deoutubro\.blogspot""), ""Blogspot (Rede 02 de Outubro)"",
IF(REGEXMATCH("&amp;"S144, ""Rede TVT""), ""YouTube (Rede TVT)"",
IF(REGEXMATCH(S144, ""Esquerda Diário""), ""Esquerda Diário"",
IF(REGEXMATCH(S144, ""GZH""), ""GZH"",
IF(REGEXMATCH(S144, ""TVPUC""), ""TVPUC"",
IF(REGEXMATCH(S144, ""Mídia Ninja.*Facebook""), ""Facebook (Mídia"&amp;" Ninja)"",
IF(REGEXMATCH(S144, ""Memórias Carandiru.*Instagram""), ""Instagram (Memórias Carandiru)"",
IF(REGEXMATCH(S144, ""Frente pelo Desencarceramento SP""), ""YouTube (Frente Pelo Desencarceramento SP)"",
IF(REGEXMATCH(S144, ""TV ABA""), ""YouTube (T"&amp;"V ABA)"",
IF(REGEXMATCH(S144, ""TV SENADO""), ""YouTube (TV Senado)"",
IF(REGEXMATCH(S144, ""Google Arts &amp; Culture""), ""Google Arts &amp; Culture (Memória Massacre Carandiru)"",
IF(REGEXMATCH(S144, ""Anistia Internacional|ANISTIA INTERNACIONAL""), ""Anistia "&amp;"Internacional"",
IF(REGEXMATCH(S144, ""47\.mostra|47a Mostra""), ""47a Mostra Internacional de Cinema em São Paulo"",
IF(REGEXMATCH(S144, ""Canal USP""), ""YouTube (Canal USP)"",
IF(AND(
  REGEXMATCH(S144, ""(?i)(teses?\.usp\.br|dissertacoes?\.usp\.br|rep"&amp;"ositorio\.usp\.br)""),
  NOT(REGEXMATCH(S144, ""Canal USP""))
), ""Biblioteca Digital de Teses e Dissertações da USP"",
IF(REGEXMATCH(S144, ""SINTRAJUSC""), ""SINTRAJUSC"",
IF(REGEXMATCH(S144, ""Agência Brasil|Agencia Brasil""), ""Agência Brasil"",
IF(REG"&amp;"EXMATCH(S144, ""Brasil de Fato""), ""Brasil de Fato"",
IF(REGEXMATCH(S144, ""Ponte Jornalismo|pontejornalismo""), ""Ponte Jornalismo"",
IF(REGEXMATCH(S144, ""letras\.mus\.br|Letras,""), ""Letras"",
IF(REGEXMATCH(S144, ""YouTube|youtube""), 
   ""YouTube "&amp;"(""&amp;
   IF(REGEXMATCH(S144, ""Itaú Cultural""), ""Itaú Cultural"",
   IF(REGEXMATCH(S144, ""Rede TVT""), ""Rede TVT"",
   IF(REGEXMATCH(S144, ""Frente pelo Desencarceramento SP""), ""Frente Pelo Desencarceramento SP"",
   IF(REGEXMATCH(S144, ""TV ABA""), "&amp;"""TV ABA"",
   IF(REGEXMATCH(S144, ""TV SENADO""), ""TV Senado"",
   IF(REGEXMATCH(S144, ""Canal USP""), ""Canal USP"",
   IF(REGEXMATCH(S144, ""Douer, Zack|Zack Douer""), ""Douer Zack"",
   IF(REGEXMATCH(S144, ""PRISIONEIRO 84\.901|PRISIONEIRO 84""), ""P"&amp;"risioneiro 84.901"",
   IF(REGEXMATCH(S144, ""^[^,]*, ""), 
        PROPER(REGEXREPLACE(REGEXEXTRACT(S144, ""^([^.]*)\.""), ""^([^,]*), (.*)"", ""$2 $1"")),
        PROPER(REGEXEXTRACT(S144, ""^([^.]*)\.""))
   )))))))))&amp;"")"",
IF(REGEXMATCH(S144, ""Spot"&amp;"ify|spotify""), 
   ""Spotify (""&amp;
   IF(REGEXMATCH(S144, ""ESTRANHO SORRISO""), ""Estranho Sorriso"",
   PROPER(REGEXEXTRACT(S144, ""^([^.]*)\.""))
   )&amp;"")"",
IF(REGEXMATCH(S144, ""Vimeo|vimeo""), 
   ""Vimeo (""&amp;
   IF(REGEXMATCH(S144, ""Passa Palavra"&amp;"""), ""Passa Palavra"",
   PROPER(REGEXEXTRACT(S144, ""^([^.]*)\.""))
   )&amp;"")"",
IF(REGEXMATCH(S144, ""Blogspot""), 
   ""Blogspot (""&amp;
   IF(REGEXMATCH(S144, ""rede2deoutubro""), ""Rede 02 de Outubro"",
   PROPER(REGEXEXTRACT(S144, ""^([^.]*)\.""))
   "&amp;")&amp;"")"",
IF(REGEXMATCH(S144, ""Facebook""), 
   ""Facebook (""&amp;
   IF(REGEXMATCH(S144, ""Mídia Ninja""), ""Mídia Ninja"",
   PROPER(REGEXEXTRACT(S144, ""^([^.]*)\.""))
   )&amp;"")"",
IF(REGEXMATCH(S144, ""Instagram""), 
   ""Instagram (""&amp;
   IF(REGEXMATCH"&amp;"(S144, ""Memórias Carandiru""), ""Memórias Carandiru"",
   PROPER(REGEXEXTRACT(S144, ""^([^.]*)\.""))
   )&amp;"")"",
IF(REGEXMATCH(S144, ""Folha de S\. Paulo|FOLHA DE S\. PAULO""), ""Folha de S. Paulo"",
IF(REGEXMATCH(S144, ""O Estado de S\. Paulo|ESTADAO"""&amp;"), ""O Estado de S. Paulo"",
IF(REGEXMATCH(S144, ""salasecreta""), ""Wordpress (Sala Secreta)"",
IF(REGEXMATCH(S144, ""Wikipedia|Wikipédia|WIKIPÉDIA""), ""Wikipedia"",
IF(REGEXMATCH(S144, ""VEJA|Veja""), ""Veja Abril"",
IF(REGEXMATCH(S416, ""Rede Globo|RE"&amp;"DE GLOBO""), ""Rede Globo"",
IF(REGEXMATCH(S416, ""G1|globo\.com""), ""G1"",
IF(REGEXMATCH(S144, ""Deutsche Welle|DW\.com""), ""Deutsche Welle"",
IF(REGEXMATCH(S144, ""CIDH|Comissão Interamericana""), ""Comissão Interamericana de Direitos Humanos (CIDH)"""&amp;",
IF(REGEXMATCH(S144, ""Pastoral Carcerária""), ""Pastoral Carcerária"",
IF(REGEXMATCH(S144, ""Esquerda Web""), ""Esquerda Web"",
IF(REGEXMATCH(S144, ""ONU|Organização das Nações Unidas""), ""ONU Brasil"",
IF(REGEXMATCH(S144, ""Quilombo Invisível""), ""Qu"&amp;"ilombo Invisível"",
IF(REGEXMATCH(S144, ""ALESP|Assembleia Legislativa""), ""ALESP"",
IF(REGEXMATCH(S144, ""Revista Opera""), ""Revista Opera"",
IF(REGEXMATCH(S144, ""SP Escola de Teatro""), ""SP Escola de Teatro"",
IF(REGEXMATCH(S144, ""EMC|Espaço Memóri"&amp;"a Carandiru""), ""EMC Espaço Memória Carandiru"",
IF(REGEXMATCH(S144, ""^RAMOS, Nuno|Nuno Ramos""), ""Nuno Ramos"",
IF(REGEXMATCH(S144, ""^VELOSO, Caetano|Caetano Veloso""), ""YouTube (Caetano Veloso)"",
IF(REGEXMATCH(S144, ""^FATOS REAIS""), ""YouTube ("&amp;"Fatos Reais - Topic)"",
IF(REGEXMATCH(S144, ""^SALA SECRETA""), ""Wordpress (Sala Secreta)"",
PROPER(REGEXEXTRACT(S144, ""^([^.]*)\.""))
))))))))))))))))))))))))))))))))))))))))))))))))))))))))"),"Instagram (Memórias Carandiru)")</f>
        <v>Instagram (Memórias Carandiru)</v>
      </c>
      <c r="N144" s="11" t="s">
        <v>47</v>
      </c>
      <c r="O144" s="14" t="s">
        <v>149</v>
      </c>
      <c r="P144" s="186">
        <v>45857.0</v>
      </c>
      <c r="Q144" s="11" t="s">
        <v>154</v>
      </c>
      <c r="R144" s="70" t="str">
        <f t="shared" si="8"/>
        <v>Aqui</v>
      </c>
      <c r="S144" s="75" t="s">
        <v>807</v>
      </c>
    </row>
    <row r="145">
      <c r="A145" s="11">
        <v>143.0</v>
      </c>
      <c r="B145" s="14" t="s">
        <v>729</v>
      </c>
      <c r="C145" s="122" t="s">
        <v>165</v>
      </c>
      <c r="D145" s="13" t="str">
        <f>IFERROR(__xludf.DUMMYFUNCTION("IF(B145="""","""",IF(OR(
  REGEXMATCH(B145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REGEXMATCH(B145,""público|Imediato|artística|teatral|memória"")
),""Público Imediato"",
IF(REGEXMATCH(B145,""Música|Álbum|Filme|Documentário|Série|Podc"&amp;"ast|Rádio|Audiotour|Entrevista|Reportagem|Crônica|Relatório|Abaixo-assinado|Manifesto|Petição|Poema|Livro|Fotografia|Curta|Live|Webinário|Charge|Leitura pública|Vídeo""),
""Público Mediado"","""")))
"),"Público Imediato")</f>
        <v>Público Imediato</v>
      </c>
      <c r="E145" s="13" t="str">
        <f>IFERROR(__xludf.DUMMYFUNCTION("IF(B145="""","""",IF(OR(
  REGEXMATCH(B145,""Live|Webinário|Virtual""),
  REGEXMATCH(B145,""online"")
),""Virtual"",
IF(REGEXMATCH(B145,""Música|Álbum|Filme|Documentário|Série|Podcast|Rádio|Audiotour|Episódio|Reportagem|Curta|Charge|Livro|Vídeo|Entrevista"&amp;"""),
""Midiático"",
IF(REGEXMATCH(B145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5" s="186">
        <v>45087.0</v>
      </c>
      <c r="G145" s="15">
        <f t="shared" si="1"/>
        <v>2023</v>
      </c>
      <c r="H145" s="14" t="s">
        <v>733</v>
      </c>
      <c r="I145" s="177" t="s">
        <v>741</v>
      </c>
      <c r="J145" s="175" t="s">
        <v>808</v>
      </c>
      <c r="K145" s="16" t="s">
        <v>736</v>
      </c>
      <c r="L145" s="18" t="s">
        <v>489</v>
      </c>
      <c r="M145" s="15" t="str">
        <f>IFERROR(__xludf.DUMMYFUNCTION("IF(REGEXMATCH(S145, ""Companhia das Letras""), ""Companhia das Letras"",
IF(REGEXMATCH(S145, ""Labortexto Editorial""), ""Labortexto Editorial"",
IF(REGEXMATCH(S145, ""Geração Editorial""), ""Geração Editorial"",
IF(REGEXMATCH(S145, ""Editora Imprensa Ofi"&amp;"cial|Imprensa Oficial""), ""Editora Imprensa Oficial"",
IF(REGEXMATCH(S145, ""Folha Online""), ""Folha Online"",
IF(REGEXMATCH(S145, ""FGV DIREITO SP|FGV Direito SP""), ""FGV DIREITO SP"",
IF(REGEXMATCH(S145, ""massacrecarandiru\.org\.br""), ""Memória Mas"&amp;"sacre Carandiru"",
IF(REGEXMATCH(S145, ""Itaú Cultural""), ""YouTube (Itaú Cultural)"",
IF(REGEXMATCH(S145, ""Passa Palavra""), ""Vimeo (Passa Palavra)"",
IF(REGEXMATCH(S145, ""rede2deoutubro\.blogspot""), ""Blogspot (Rede 02 de Outubro)"",
IF(REGEXMATCH("&amp;"S145, ""Rede TVT""), ""YouTube (Rede TVT)"",
IF(REGEXMATCH(S145, ""Esquerda Diário""), ""Esquerda Diário"",
IF(REGEXMATCH(S145, ""GZH""), ""GZH"",
IF(REGEXMATCH(S145, ""TVPUC""), ""TVPUC"",
IF(REGEXMATCH(S145, ""Mídia Ninja.*Facebook""), ""Facebook (Mídia"&amp;" Ninja)"",
IF(REGEXMATCH(S145, ""Memórias Carandiru.*Instagram""), ""Instagram (Memórias Carandiru)"",
IF(REGEXMATCH(S145, ""Frente pelo Desencarceramento SP""), ""YouTube (Frente Pelo Desencarceramento SP)"",
IF(REGEXMATCH(S145, ""TV ABA""), ""YouTube (T"&amp;"V ABA)"",
IF(REGEXMATCH(S145, ""TV SENADO""), ""YouTube (TV Senado)"",
IF(REGEXMATCH(S145, ""Google Arts &amp; Culture""), ""Google Arts &amp; Culture (Memória Massacre Carandiru)"",
IF(REGEXMATCH(S145, ""Anistia Internacional|ANISTIA INTERNACIONAL""), ""Anistia "&amp;"Internacional"",
IF(REGEXMATCH(S145, ""47\.mostra|47a Mostra""), ""47a Mostra Internacional de Cinema em São Paulo"",
IF(REGEXMATCH(S145, ""Canal USP""), ""YouTube (Canal USP)"",
IF(AND(
  REGEXMATCH(S145, ""(?i)(teses?\.usp\.br|dissertacoes?\.usp\.br|rep"&amp;"ositorio\.usp\.br)""),
  NOT(REGEXMATCH(S145, ""Canal USP""))
), ""Biblioteca Digital de Teses e Dissertações da USP"",
IF(REGEXMATCH(S145, ""SINTRAJUSC""), ""SINTRAJUSC"",
IF(REGEXMATCH(S145, ""Agência Brasil|Agencia Brasil""), ""Agência Brasil"",
IF(REG"&amp;"EXMATCH(S145, ""Brasil de Fato""), ""Brasil de Fato"",
IF(REGEXMATCH(S145, ""Ponte Jornalismo|pontejornalismo""), ""Ponte Jornalismo"",
IF(REGEXMATCH(S145, ""letras\.mus\.br|Letras,""), ""Letras"",
IF(REGEXMATCH(S145, ""YouTube|youtube""), 
   ""YouTube "&amp;"(""&amp;
   IF(REGEXMATCH(S145, ""Itaú Cultural""), ""Itaú Cultural"",
   IF(REGEXMATCH(S145, ""Rede TVT""), ""Rede TVT"",
   IF(REGEXMATCH(S145, ""Frente pelo Desencarceramento SP""), ""Frente Pelo Desencarceramento SP"",
   IF(REGEXMATCH(S145, ""TV ABA""), "&amp;"""TV ABA"",
   IF(REGEXMATCH(S145, ""TV SENADO""), ""TV Senado"",
   IF(REGEXMATCH(S145, ""Canal USP""), ""Canal USP"",
   IF(REGEXMATCH(S145, ""Douer, Zack|Zack Douer""), ""Douer Zack"",
   IF(REGEXMATCH(S145, ""PRISIONEIRO 84\.901|PRISIONEIRO 84""), ""P"&amp;"risioneiro 84.901"",
   IF(REGEXMATCH(S145, ""^[^,]*, ""), 
        PROPER(REGEXREPLACE(REGEXEXTRACT(S145, ""^([^.]*)\.""), ""^([^,]*), (.*)"", ""$2 $1"")),
        PROPER(REGEXEXTRACT(S145, ""^([^.]*)\.""))
   )))))))))&amp;"")"",
IF(REGEXMATCH(S145, ""Spot"&amp;"ify|spotify""), 
   ""Spotify (""&amp;
   IF(REGEXMATCH(S145, ""ESTRANHO SORRISO""), ""Estranho Sorriso"",
   PROPER(REGEXEXTRACT(S145, ""^([^.]*)\.""))
   )&amp;"")"",
IF(REGEXMATCH(S145, ""Vimeo|vimeo""), 
   ""Vimeo (""&amp;
   IF(REGEXMATCH(S145, ""Passa Palavra"&amp;"""), ""Passa Palavra"",
   PROPER(REGEXEXTRACT(S145, ""^([^.]*)\.""))
   )&amp;"")"",
IF(REGEXMATCH(S145, ""Blogspot""), 
   ""Blogspot (""&amp;
   IF(REGEXMATCH(S145, ""rede2deoutubro""), ""Rede 02 de Outubro"",
   PROPER(REGEXEXTRACT(S145, ""^([^.]*)\.""))
   "&amp;")&amp;"")"",
IF(REGEXMATCH(S145, ""Facebook""), 
   ""Facebook (""&amp;
   IF(REGEXMATCH(S145, ""Mídia Ninja""), ""Mídia Ninja"",
   PROPER(REGEXEXTRACT(S145, ""^([^.]*)\.""))
   )&amp;"")"",
IF(REGEXMATCH(S145, ""Instagram""), 
   ""Instagram (""&amp;
   IF(REGEXMATCH"&amp;"(S145, ""Memórias Carandiru""), ""Memórias Carandiru"",
   PROPER(REGEXEXTRACT(S145, ""^([^.]*)\.""))
   )&amp;"")"",
IF(REGEXMATCH(S145, ""Folha de S\. Paulo|FOLHA DE S\. PAULO""), ""Folha de S. Paulo"",
IF(REGEXMATCH(S145, ""O Estado de S\. Paulo|ESTADAO"""&amp;"), ""O Estado de S. Paulo"",
IF(REGEXMATCH(S145, ""salasecreta""), ""Wordpress (Sala Secreta)"",
IF(REGEXMATCH(S145, ""Wikipedia|Wikipédia|WIKIPÉDIA""), ""Wikipedia"",
IF(REGEXMATCH(S145, ""VEJA|Veja""), ""Veja Abril"",
IF(REGEXMATCH(S417, ""Rede Globo|RE"&amp;"DE GLOBO""), ""Rede Globo"",
IF(REGEXMATCH(S417, ""G1|globo\.com""), ""G1"",
IF(REGEXMATCH(S145, ""Deutsche Welle|DW\.com""), ""Deutsche Welle"",
IF(REGEXMATCH(S145, ""CIDH|Comissão Interamericana""), ""Comissão Interamericana de Direitos Humanos (CIDH)"""&amp;",
IF(REGEXMATCH(S145, ""Pastoral Carcerária""), ""Pastoral Carcerária"",
IF(REGEXMATCH(S145, ""Esquerda Web""), ""Esquerda Web"",
IF(REGEXMATCH(S145, ""ONU|Organização das Nações Unidas""), ""ONU Brasil"",
IF(REGEXMATCH(S145, ""Quilombo Invisível""), ""Qu"&amp;"ilombo Invisível"",
IF(REGEXMATCH(S145, ""ALESP|Assembleia Legislativa""), ""ALESP"",
IF(REGEXMATCH(S145, ""Revista Opera""), ""Revista Opera"",
IF(REGEXMATCH(S145, ""SP Escola de Teatro""), ""SP Escola de Teatro"",
IF(REGEXMATCH(S145, ""EMC|Espaço Memóri"&amp;"a Carandiru""), ""EMC Espaço Memória Carandiru"",
IF(REGEXMATCH(S145, ""^RAMOS, Nuno|Nuno Ramos""), ""Nuno Ramos"",
IF(REGEXMATCH(S145, ""^VELOSO, Caetano|Caetano Veloso""), ""YouTube (Caetano Veloso)"",
IF(REGEXMATCH(S145, ""^FATOS REAIS""), ""YouTube ("&amp;"Fatos Reais - Topic)"",
IF(REGEXMATCH(S145, ""^SALA SECRETA""), ""Wordpress (Sala Secreta)"",
PROPER(REGEXEXTRACT(S145, ""^([^.]*)\.""))
))))))))))))))))))))))))))))))))))))))))))))))))))))))))"),"Instagram (Memórias Carandiru)")</f>
        <v>Instagram (Memórias Carandiru)</v>
      </c>
      <c r="N145" s="11" t="s">
        <v>47</v>
      </c>
      <c r="O145" s="14" t="s">
        <v>149</v>
      </c>
      <c r="P145" s="186">
        <v>45857.0</v>
      </c>
      <c r="Q145" s="11" t="s">
        <v>154</v>
      </c>
      <c r="R145" s="70" t="str">
        <f t="shared" si="8"/>
        <v>Aqui</v>
      </c>
      <c r="S145" s="75" t="s">
        <v>809</v>
      </c>
    </row>
    <row r="146">
      <c r="A146" s="11">
        <v>144.0</v>
      </c>
      <c r="B146" s="14" t="s">
        <v>799</v>
      </c>
      <c r="C146" s="122" t="s">
        <v>165</v>
      </c>
      <c r="D146" s="13" t="str">
        <f>IFERROR(__xludf.DUMMYFUNCTION("IF(B146="""","""",IF(OR(
  REGEXMATCH(B146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REGEXMATCH(B146,""público|Imediato|artística|teatral|memória"")
),""Público Imediato"",
IF(REGEXMATCH(B146,""Música|Álbum|Filme|Documentário|Série|Podc"&amp;"ast|Rádio|Audiotour|Entrevista|Reportagem|Crônica|Relatório|Abaixo-assinado|Manifesto|Petição|Poema|Livro|Fotografia|Curta|Live|Webinário|Charge|Leitura pública|Vídeo""),
""Público Mediado"","""")))
"),"Público Imediato")</f>
        <v>Público Imediato</v>
      </c>
      <c r="E146" s="13" t="str">
        <f>IFERROR(__xludf.DUMMYFUNCTION("IF(B146="""","""",IF(OR(
  REGEXMATCH(B146,""Live|Webinário|Virtual""),
  REGEXMATCH(B146,""online"")
),""Virtual"",
IF(REGEXMATCH(B146,""Música|Álbum|Filme|Documentário|Série|Podcast|Rádio|Audiotour|Episódio|Reportagem|Curta|Charge|Livro|Vídeo|Entrevista"&amp;"""),
""Midiático"",
IF(REGEXMATCH(B146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6" s="186">
        <v>45101.0</v>
      </c>
      <c r="G146" s="15">
        <f t="shared" si="1"/>
        <v>2023</v>
      </c>
      <c r="H146" s="14" t="s">
        <v>733</v>
      </c>
      <c r="I146" s="177" t="s">
        <v>741</v>
      </c>
      <c r="J146" s="175" t="s">
        <v>810</v>
      </c>
      <c r="K146" s="16" t="s">
        <v>736</v>
      </c>
      <c r="L146" s="18" t="s">
        <v>489</v>
      </c>
      <c r="M146" s="15" t="str">
        <f>IFERROR(__xludf.DUMMYFUNCTION("IF(REGEXMATCH(S146, ""Companhia das Letras""), ""Companhia das Letras"",
IF(REGEXMATCH(S146, ""Labortexto Editorial""), ""Labortexto Editorial"",
IF(REGEXMATCH(S146, ""Geração Editorial""), ""Geração Editorial"",
IF(REGEXMATCH(S146, ""Editora Imprensa Ofi"&amp;"cial|Imprensa Oficial""), ""Editora Imprensa Oficial"",
IF(REGEXMATCH(S146, ""Folha Online""), ""Folha Online"",
IF(REGEXMATCH(S146, ""FGV DIREITO SP|FGV Direito SP""), ""FGV DIREITO SP"",
IF(REGEXMATCH(S146, ""massacrecarandiru\.org\.br""), ""Memória Mas"&amp;"sacre Carandiru"",
IF(REGEXMATCH(S146, ""Itaú Cultural""), ""YouTube (Itaú Cultural)"",
IF(REGEXMATCH(S146, ""Passa Palavra""), ""Vimeo (Passa Palavra)"",
IF(REGEXMATCH(S146, ""rede2deoutubro\.blogspot""), ""Blogspot (Rede 02 de Outubro)"",
IF(REGEXMATCH("&amp;"S146, ""Rede TVT""), ""YouTube (Rede TVT)"",
IF(REGEXMATCH(S146, ""Esquerda Diário""), ""Esquerda Diário"",
IF(REGEXMATCH(S146, ""GZH""), ""GZH"",
IF(REGEXMATCH(S146, ""TVPUC""), ""TVPUC"",
IF(REGEXMATCH(S146, ""Mídia Ninja.*Facebook""), ""Facebook (Mídia"&amp;" Ninja)"",
IF(REGEXMATCH(S146, ""Memórias Carandiru.*Instagram""), ""Instagram (Memórias Carandiru)"",
IF(REGEXMATCH(S146, ""Frente pelo Desencarceramento SP""), ""YouTube (Frente Pelo Desencarceramento SP)"",
IF(REGEXMATCH(S146, ""TV ABA""), ""YouTube (T"&amp;"V ABA)"",
IF(REGEXMATCH(S146, ""TV SENADO""), ""YouTube (TV Senado)"",
IF(REGEXMATCH(S146, ""Google Arts &amp; Culture""), ""Google Arts &amp; Culture (Memória Massacre Carandiru)"",
IF(REGEXMATCH(S146, ""Anistia Internacional|ANISTIA INTERNACIONAL""), ""Anistia "&amp;"Internacional"",
IF(REGEXMATCH(S146, ""47\.mostra|47a Mostra""), ""47a Mostra Internacional de Cinema em São Paulo"",
IF(REGEXMATCH(S146, ""Canal USP""), ""YouTube (Canal USP)"",
IF(AND(
  REGEXMATCH(S146, ""(?i)(teses?\.usp\.br|dissertacoes?\.usp\.br|rep"&amp;"ositorio\.usp\.br)""),
  NOT(REGEXMATCH(S146, ""Canal USP""))
), ""Biblioteca Digital de Teses e Dissertações da USP"",
IF(REGEXMATCH(S146, ""SINTRAJUSC""), ""SINTRAJUSC"",
IF(REGEXMATCH(S146, ""Agência Brasil|Agencia Brasil""), ""Agência Brasil"",
IF(REG"&amp;"EXMATCH(S146, ""Brasil de Fato""), ""Brasil de Fato"",
IF(REGEXMATCH(S146, ""Ponte Jornalismo|pontejornalismo""), ""Ponte Jornalismo"",
IF(REGEXMATCH(S146, ""letras\.mus\.br|Letras,""), ""Letras"",
IF(REGEXMATCH(S146, ""YouTube|youtube""), 
   ""YouTube "&amp;"(""&amp;
   IF(REGEXMATCH(S146, ""Itaú Cultural""), ""Itaú Cultural"",
   IF(REGEXMATCH(S146, ""Rede TVT""), ""Rede TVT"",
   IF(REGEXMATCH(S146, ""Frente pelo Desencarceramento SP""), ""Frente Pelo Desencarceramento SP"",
   IF(REGEXMATCH(S146, ""TV ABA""), "&amp;"""TV ABA"",
   IF(REGEXMATCH(S146, ""TV SENADO""), ""TV Senado"",
   IF(REGEXMATCH(S146, ""Canal USP""), ""Canal USP"",
   IF(REGEXMATCH(S146, ""Douer, Zack|Zack Douer""), ""Douer Zack"",
   IF(REGEXMATCH(S146, ""PRISIONEIRO 84\.901|PRISIONEIRO 84""), ""P"&amp;"risioneiro 84.901"",
   IF(REGEXMATCH(S146, ""^[^,]*, ""), 
        PROPER(REGEXREPLACE(REGEXEXTRACT(S146, ""^([^.]*)\.""), ""^([^,]*), (.*)"", ""$2 $1"")),
        PROPER(REGEXEXTRACT(S146, ""^([^.]*)\.""))
   )))))))))&amp;"")"",
IF(REGEXMATCH(S146, ""Spot"&amp;"ify|spotify""), 
   ""Spotify (""&amp;
   IF(REGEXMATCH(S146, ""ESTRANHO SORRISO""), ""Estranho Sorriso"",
   PROPER(REGEXEXTRACT(S146, ""^([^.]*)\.""))
   )&amp;"")"",
IF(REGEXMATCH(S146, ""Vimeo|vimeo""), 
   ""Vimeo (""&amp;
   IF(REGEXMATCH(S146, ""Passa Palavra"&amp;"""), ""Passa Palavra"",
   PROPER(REGEXEXTRACT(S146, ""^([^.]*)\.""))
   )&amp;"")"",
IF(REGEXMATCH(S146, ""Blogspot""), 
   ""Blogspot (""&amp;
   IF(REGEXMATCH(S146, ""rede2deoutubro""), ""Rede 02 de Outubro"",
   PROPER(REGEXEXTRACT(S146, ""^([^.]*)\.""))
   "&amp;")&amp;"")"",
IF(REGEXMATCH(S146, ""Facebook""), 
   ""Facebook (""&amp;
   IF(REGEXMATCH(S146, ""Mídia Ninja""), ""Mídia Ninja"",
   PROPER(REGEXEXTRACT(S146, ""^([^.]*)\.""))
   )&amp;"")"",
IF(REGEXMATCH(S146, ""Instagram""), 
   ""Instagram (""&amp;
   IF(REGEXMATCH"&amp;"(S146, ""Memórias Carandiru""), ""Memórias Carandiru"",
   PROPER(REGEXEXTRACT(S146, ""^([^.]*)\.""))
   )&amp;"")"",
IF(REGEXMATCH(S146, ""Folha de S\. Paulo|FOLHA DE S\. PAULO""), ""Folha de S. Paulo"",
IF(REGEXMATCH(S146, ""O Estado de S\. Paulo|ESTADAO"""&amp;"), ""O Estado de S. Paulo"",
IF(REGEXMATCH(S146, ""salasecreta""), ""Wordpress (Sala Secreta)"",
IF(REGEXMATCH(S146, ""Wikipedia|Wikipédia|WIKIPÉDIA""), ""Wikipedia"",
IF(REGEXMATCH(S146, ""VEJA|Veja""), ""Veja Abril"",
IF(REGEXMATCH(S418, ""Rede Globo|RE"&amp;"DE GLOBO""), ""Rede Globo"",
IF(REGEXMATCH(S418, ""G1|globo\.com""), ""G1"",
IF(REGEXMATCH(S146, ""Deutsche Welle|DW\.com""), ""Deutsche Welle"",
IF(REGEXMATCH(S146, ""CIDH|Comissão Interamericana""), ""Comissão Interamericana de Direitos Humanos (CIDH)"""&amp;",
IF(REGEXMATCH(S146, ""Pastoral Carcerária""), ""Pastoral Carcerária"",
IF(REGEXMATCH(S146, ""Esquerda Web""), ""Esquerda Web"",
IF(REGEXMATCH(S146, ""ONU|Organização das Nações Unidas""), ""ONU Brasil"",
IF(REGEXMATCH(S146, ""Quilombo Invisível""), ""Qu"&amp;"ilombo Invisível"",
IF(REGEXMATCH(S146, ""ALESP|Assembleia Legislativa""), ""ALESP"",
IF(REGEXMATCH(S146, ""Revista Opera""), ""Revista Opera"",
IF(REGEXMATCH(S146, ""SP Escola de Teatro""), ""SP Escola de Teatro"",
IF(REGEXMATCH(S146, ""EMC|Espaço Memóri"&amp;"a Carandiru""), ""EMC Espaço Memória Carandiru"",
IF(REGEXMATCH(S146, ""^RAMOS, Nuno|Nuno Ramos""), ""Nuno Ramos"",
IF(REGEXMATCH(S146, ""^VELOSO, Caetano|Caetano Veloso""), ""YouTube (Caetano Veloso)"",
IF(REGEXMATCH(S146, ""^FATOS REAIS""), ""YouTube ("&amp;"Fatos Reais - Topic)"",
IF(REGEXMATCH(S146, ""^SALA SECRETA""), ""Wordpress (Sala Secreta)"",
PROPER(REGEXEXTRACT(S146, ""^([^.]*)\.""))
))))))))))))))))))))))))))))))))))))))))))))))))))))))))"),"Instagram (Memórias Carandiru)")</f>
        <v>Instagram (Memórias Carandiru)</v>
      </c>
      <c r="N146" s="11" t="s">
        <v>47</v>
      </c>
      <c r="O146" s="14" t="s">
        <v>149</v>
      </c>
      <c r="P146" s="186">
        <v>45857.0</v>
      </c>
      <c r="Q146" s="11" t="s">
        <v>154</v>
      </c>
      <c r="R146" s="70" t="str">
        <f t="shared" si="8"/>
        <v>Aqui</v>
      </c>
      <c r="S146" s="75" t="s">
        <v>811</v>
      </c>
    </row>
    <row r="147">
      <c r="A147" s="11">
        <v>145.0</v>
      </c>
      <c r="B147" s="14" t="s">
        <v>812</v>
      </c>
      <c r="C147" s="122" t="s">
        <v>165</v>
      </c>
      <c r="D147" s="13" t="str">
        <f>IFERROR(__xludf.DUMMYFUNCTION("IF(B147="""","""",IF(OR(
  REGEXMATCH(B147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REGEXMATCH(B147,""público|Imediato|artística|teatral|memória"")
),""Público Imediato"",
IF(REGEXMATCH(B147,""Música|Álbum|Filme|Documentário|Série|Podc"&amp;"ast|Rádio|Audiotour|Entrevista|Reportagem|Crônica|Relatório|Abaixo-assinado|Manifesto|Petição|Poema|Livro|Fotografia|Curta|Live|Webinário|Charge|Leitura pública|Vídeo""),
""Público Mediado"","""")))
"),"Público Imediato")</f>
        <v>Público Imediato</v>
      </c>
      <c r="E147" s="13" t="str">
        <f>IFERROR(__xludf.DUMMYFUNCTION("IF(B147="""","""",IF(OR(
  REGEXMATCH(B147,""Live|Webinário|Virtual""),
  REGEXMATCH(B147,""online"")
),""Virtual"",
IF(REGEXMATCH(B147,""Música|Álbum|Filme|Documentário|Série|Podcast|Rádio|Audiotour|Episódio|Reportagem|Curta|Charge|Livro|Vídeo|Entrevista"&amp;"""),
""Midiático"",
IF(REGEXMATCH(B147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7" s="186">
        <v>45122.0</v>
      </c>
      <c r="G147" s="15">
        <f t="shared" si="1"/>
        <v>2023</v>
      </c>
      <c r="H147" s="14" t="s">
        <v>733</v>
      </c>
      <c r="I147" s="177" t="s">
        <v>741</v>
      </c>
      <c r="J147" s="175" t="s">
        <v>813</v>
      </c>
      <c r="K147" s="16" t="s">
        <v>736</v>
      </c>
      <c r="L147" s="18" t="s">
        <v>489</v>
      </c>
      <c r="M147" s="15" t="str">
        <f>IFERROR(__xludf.DUMMYFUNCTION("IF(REGEXMATCH(S147, ""Companhia das Letras""), ""Companhia das Letras"",
IF(REGEXMATCH(S147, ""Labortexto Editorial""), ""Labortexto Editorial"",
IF(REGEXMATCH(S147, ""Geração Editorial""), ""Geração Editorial"",
IF(REGEXMATCH(S147, ""Editora Imprensa Ofi"&amp;"cial|Imprensa Oficial""), ""Editora Imprensa Oficial"",
IF(REGEXMATCH(S147, ""Folha Online""), ""Folha Online"",
IF(REGEXMATCH(S147, ""FGV DIREITO SP|FGV Direito SP""), ""FGV DIREITO SP"",
IF(REGEXMATCH(S147, ""massacrecarandiru\.org\.br""), ""Memória Mas"&amp;"sacre Carandiru"",
IF(REGEXMATCH(S147, ""Itaú Cultural""), ""YouTube (Itaú Cultural)"",
IF(REGEXMATCH(S147, ""Passa Palavra""), ""Vimeo (Passa Palavra)"",
IF(REGEXMATCH(S147, ""rede2deoutubro\.blogspot""), ""Blogspot (Rede 02 de Outubro)"",
IF(REGEXMATCH("&amp;"S147, ""Rede TVT""), ""YouTube (Rede TVT)"",
IF(REGEXMATCH(S147, ""Esquerda Diário""), ""Esquerda Diário"",
IF(REGEXMATCH(S147, ""GZH""), ""GZH"",
IF(REGEXMATCH(S147, ""TVPUC""), ""TVPUC"",
IF(REGEXMATCH(S147, ""Mídia Ninja.*Facebook""), ""Facebook (Mídia"&amp;" Ninja)"",
IF(REGEXMATCH(S147, ""Memórias Carandiru.*Instagram""), ""Instagram (Memórias Carandiru)"",
IF(REGEXMATCH(S147, ""Frente pelo Desencarceramento SP""), ""YouTube (Frente Pelo Desencarceramento SP)"",
IF(REGEXMATCH(S147, ""TV ABA""), ""YouTube (T"&amp;"V ABA)"",
IF(REGEXMATCH(S147, ""TV SENADO""), ""YouTube (TV Senado)"",
IF(REGEXMATCH(S147, ""Google Arts &amp; Culture""), ""Google Arts &amp; Culture (Memória Massacre Carandiru)"",
IF(REGEXMATCH(S147, ""Anistia Internacional|ANISTIA INTERNACIONAL""), ""Anistia "&amp;"Internacional"",
IF(REGEXMATCH(S147, ""47\.mostra|47a Mostra""), ""47a Mostra Internacional de Cinema em São Paulo"",
IF(REGEXMATCH(S147, ""Canal USP""), ""YouTube (Canal USP)"",
IF(AND(
  REGEXMATCH(S147, ""(?i)(teses?\.usp\.br|dissertacoes?\.usp\.br|rep"&amp;"ositorio\.usp\.br)""),
  NOT(REGEXMATCH(S147, ""Canal USP""))
), ""Biblioteca Digital de Teses e Dissertações da USP"",
IF(REGEXMATCH(S147, ""SINTRAJUSC""), ""SINTRAJUSC"",
IF(REGEXMATCH(S147, ""Agência Brasil|Agencia Brasil""), ""Agência Brasil"",
IF(REG"&amp;"EXMATCH(S147, ""Brasil de Fato""), ""Brasil de Fato"",
IF(REGEXMATCH(S147, ""Ponte Jornalismo|pontejornalismo""), ""Ponte Jornalismo"",
IF(REGEXMATCH(S147, ""letras\.mus\.br|Letras,""), ""Letras"",
IF(REGEXMATCH(S147, ""YouTube|youtube""), 
   ""YouTube "&amp;"(""&amp;
   IF(REGEXMATCH(S147, ""Itaú Cultural""), ""Itaú Cultural"",
   IF(REGEXMATCH(S147, ""Rede TVT""), ""Rede TVT"",
   IF(REGEXMATCH(S147, ""Frente pelo Desencarceramento SP""), ""Frente Pelo Desencarceramento SP"",
   IF(REGEXMATCH(S147, ""TV ABA""), "&amp;"""TV ABA"",
   IF(REGEXMATCH(S147, ""TV SENADO""), ""TV Senado"",
   IF(REGEXMATCH(S147, ""Canal USP""), ""Canal USP"",
   IF(REGEXMATCH(S147, ""Douer, Zack|Zack Douer""), ""Douer Zack"",
   IF(REGEXMATCH(S147, ""PRISIONEIRO 84\.901|PRISIONEIRO 84""), ""P"&amp;"risioneiro 84.901"",
   IF(REGEXMATCH(S147, ""^[^,]*, ""), 
        PROPER(REGEXREPLACE(REGEXEXTRACT(S147, ""^([^.]*)\.""), ""^([^,]*), (.*)"", ""$2 $1"")),
        PROPER(REGEXEXTRACT(S147, ""^([^.]*)\.""))
   )))))))))&amp;"")"",
IF(REGEXMATCH(S147, ""Spot"&amp;"ify|spotify""), 
   ""Spotify (""&amp;
   IF(REGEXMATCH(S147, ""ESTRANHO SORRISO""), ""Estranho Sorriso"",
   PROPER(REGEXEXTRACT(S147, ""^([^.]*)\.""))
   )&amp;"")"",
IF(REGEXMATCH(S147, ""Vimeo|vimeo""), 
   ""Vimeo (""&amp;
   IF(REGEXMATCH(S147, ""Passa Palavra"&amp;"""), ""Passa Palavra"",
   PROPER(REGEXEXTRACT(S147, ""^([^.]*)\.""))
   )&amp;"")"",
IF(REGEXMATCH(S147, ""Blogspot""), 
   ""Blogspot (""&amp;
   IF(REGEXMATCH(S147, ""rede2deoutubro""), ""Rede 02 de Outubro"",
   PROPER(REGEXEXTRACT(S147, ""^([^.]*)\.""))
   "&amp;")&amp;"")"",
IF(REGEXMATCH(S147, ""Facebook""), 
   ""Facebook (""&amp;
   IF(REGEXMATCH(S147, ""Mídia Ninja""), ""Mídia Ninja"",
   PROPER(REGEXEXTRACT(S147, ""^([^.]*)\.""))
   )&amp;"")"",
IF(REGEXMATCH(S147, ""Instagram""), 
   ""Instagram (""&amp;
   IF(REGEXMATCH"&amp;"(S147, ""Memórias Carandiru""), ""Memórias Carandiru"",
   PROPER(REGEXEXTRACT(S147, ""^([^.]*)\.""))
   )&amp;"")"",
IF(REGEXMATCH(S147, ""Folha de S\. Paulo|FOLHA DE S\. PAULO""), ""Folha de S. Paulo"",
IF(REGEXMATCH(S147, ""O Estado de S\. Paulo|ESTADAO"""&amp;"), ""O Estado de S. Paulo"",
IF(REGEXMATCH(S147, ""salasecreta""), ""Wordpress (Sala Secreta)"",
IF(REGEXMATCH(S147, ""Wikipedia|Wikipédia|WIKIPÉDIA""), ""Wikipedia"",
IF(REGEXMATCH(S147, ""VEJA|Veja""), ""Veja Abril"",
IF(REGEXMATCH(S419, ""Rede Globo|RE"&amp;"DE GLOBO""), ""Rede Globo"",
IF(REGEXMATCH(S419, ""G1|globo\.com""), ""G1"",
IF(REGEXMATCH(S147, ""Deutsche Welle|DW\.com""), ""Deutsche Welle"",
IF(REGEXMATCH(S147, ""CIDH|Comissão Interamericana""), ""Comissão Interamericana de Direitos Humanos (CIDH)"""&amp;",
IF(REGEXMATCH(S147, ""Pastoral Carcerária""), ""Pastoral Carcerária"",
IF(REGEXMATCH(S147, ""Esquerda Web""), ""Esquerda Web"",
IF(REGEXMATCH(S147, ""ONU|Organização das Nações Unidas""), ""ONU Brasil"",
IF(REGEXMATCH(S147, ""Quilombo Invisível""), ""Qu"&amp;"ilombo Invisível"",
IF(REGEXMATCH(S147, ""ALESP|Assembleia Legislativa""), ""ALESP"",
IF(REGEXMATCH(S147, ""Revista Opera""), ""Revista Opera"",
IF(REGEXMATCH(S147, ""SP Escola de Teatro""), ""SP Escola de Teatro"",
IF(REGEXMATCH(S147, ""EMC|Espaço Memóri"&amp;"a Carandiru""), ""EMC Espaço Memória Carandiru"",
IF(REGEXMATCH(S147, ""^RAMOS, Nuno|Nuno Ramos""), ""Nuno Ramos"",
IF(REGEXMATCH(S147, ""^VELOSO, Caetano|Caetano Veloso""), ""YouTube (Caetano Veloso)"",
IF(REGEXMATCH(S147, ""^FATOS REAIS""), ""YouTube ("&amp;"Fatos Reais - Topic)"",
IF(REGEXMATCH(S147, ""^SALA SECRETA""), ""Wordpress (Sala Secreta)"",
PROPER(REGEXEXTRACT(S147, ""^([^.]*)\.""))
))))))))))))))))))))))))))))))))))))))))))))))))))))))))"),"Instagram (Memórias Carandiru)")</f>
        <v>Instagram (Memórias Carandiru)</v>
      </c>
      <c r="N147" s="11" t="s">
        <v>47</v>
      </c>
      <c r="O147" s="14" t="s">
        <v>149</v>
      </c>
      <c r="P147" s="186">
        <v>45857.0</v>
      </c>
      <c r="Q147" s="11" t="s">
        <v>154</v>
      </c>
      <c r="R147" s="70" t="str">
        <f t="shared" si="8"/>
        <v>Aqui</v>
      </c>
      <c r="S147" s="75" t="s">
        <v>814</v>
      </c>
    </row>
    <row r="148">
      <c r="A148" s="11">
        <v>146.0</v>
      </c>
      <c r="B148" s="14" t="s">
        <v>815</v>
      </c>
      <c r="C148" s="122" t="s">
        <v>165</v>
      </c>
      <c r="D148" s="13" t="str">
        <f>IFERROR(__xludf.DUMMYFUNCTION("IF(B148="""","""",IF(OR(
  REGEXMATCH(B148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REGEXMATCH(B148,""público|Imediato|artística|teatral|memória"")
),""Público Imediato"",
IF(REGEXMATCH(B148,""Música|Álbum|Filme|Documentário|Série|Podc"&amp;"ast|Rádio|Audiotour|Entrevista|Reportagem|Crônica|Relatório|Abaixo-assinado|Manifesto|Petição|Poema|Livro|Fotografia|Curta|Live|Webinário|Charge|Leitura pública|Vídeo""),
""Público Mediado"","""")))
"),"Público Imediato")</f>
        <v>Público Imediato</v>
      </c>
      <c r="E148" s="13" t="str">
        <f>IFERROR(__xludf.DUMMYFUNCTION("IF(B148="""","""",IF(OR(
  REGEXMATCH(B148,""Live|Webinário|Virtual""),
  REGEXMATCH(B148,""online"")
),""Virtual"",
IF(REGEXMATCH(B148,""Música|Álbum|Filme|Documentário|Série|Podcast|Rádio|Audiotour|Episódio|Reportagem|Curta|Charge|Livro|Vídeo|Entrevista"&amp;"""),
""Midiático"",
IF(REGEXMATCH(B148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8" s="186">
        <v>45129.0</v>
      </c>
      <c r="G148" s="15">
        <f t="shared" si="1"/>
        <v>2023</v>
      </c>
      <c r="H148" s="14" t="s">
        <v>733</v>
      </c>
      <c r="I148" s="177" t="s">
        <v>741</v>
      </c>
      <c r="J148" s="175" t="s">
        <v>816</v>
      </c>
      <c r="K148" s="16" t="s">
        <v>736</v>
      </c>
      <c r="L148" s="18" t="s">
        <v>489</v>
      </c>
      <c r="M148" s="15" t="str">
        <f>IFERROR(__xludf.DUMMYFUNCTION("IF(REGEXMATCH(S148, ""Companhia das Letras""), ""Companhia das Letras"",
IF(REGEXMATCH(S148, ""Labortexto Editorial""), ""Labortexto Editorial"",
IF(REGEXMATCH(S148, ""Geração Editorial""), ""Geração Editorial"",
IF(REGEXMATCH(S148, ""Editora Imprensa Ofi"&amp;"cial|Imprensa Oficial""), ""Editora Imprensa Oficial"",
IF(REGEXMATCH(S148, ""Folha Online""), ""Folha Online"",
IF(REGEXMATCH(S148, ""FGV DIREITO SP|FGV Direito SP""), ""FGV DIREITO SP"",
IF(REGEXMATCH(S148, ""massacrecarandiru\.org\.br""), ""Memória Mas"&amp;"sacre Carandiru"",
IF(REGEXMATCH(S148, ""Itaú Cultural""), ""YouTube (Itaú Cultural)"",
IF(REGEXMATCH(S148, ""Passa Palavra""), ""Vimeo (Passa Palavra)"",
IF(REGEXMATCH(S148, ""rede2deoutubro\.blogspot""), ""Blogspot (Rede 02 de Outubro)"",
IF(REGEXMATCH("&amp;"S148, ""Rede TVT""), ""YouTube (Rede TVT)"",
IF(REGEXMATCH(S148, ""Esquerda Diário""), ""Esquerda Diário"",
IF(REGEXMATCH(S148, ""GZH""), ""GZH"",
IF(REGEXMATCH(S148, ""TVPUC""), ""TVPUC"",
IF(REGEXMATCH(S148, ""Mídia Ninja.*Facebook""), ""Facebook (Mídia"&amp;" Ninja)"",
IF(REGEXMATCH(S148, ""Memórias Carandiru.*Instagram""), ""Instagram (Memórias Carandiru)"",
IF(REGEXMATCH(S148, ""Frente pelo Desencarceramento SP""), ""YouTube (Frente Pelo Desencarceramento SP)"",
IF(REGEXMATCH(S148, ""TV ABA""), ""YouTube (T"&amp;"V ABA)"",
IF(REGEXMATCH(S148, ""TV SENADO""), ""YouTube (TV Senado)"",
IF(REGEXMATCH(S148, ""Google Arts &amp; Culture""), ""Google Arts &amp; Culture (Memória Massacre Carandiru)"",
IF(REGEXMATCH(S148, ""Anistia Internacional|ANISTIA INTERNACIONAL""), ""Anistia "&amp;"Internacional"",
IF(REGEXMATCH(S148, ""47\.mostra|47a Mostra""), ""47a Mostra Internacional de Cinema em São Paulo"",
IF(REGEXMATCH(S148, ""Canal USP""), ""YouTube (Canal USP)"",
IF(AND(
  REGEXMATCH(S148, ""(?i)(teses?\.usp\.br|dissertacoes?\.usp\.br|rep"&amp;"ositorio\.usp\.br)""),
  NOT(REGEXMATCH(S148, ""Canal USP""))
), ""Biblioteca Digital de Teses e Dissertações da USP"",
IF(REGEXMATCH(S148, ""SINTRAJUSC""), ""SINTRAJUSC"",
IF(REGEXMATCH(S148, ""Agência Brasil|Agencia Brasil""), ""Agência Brasil"",
IF(REG"&amp;"EXMATCH(S148, ""Brasil de Fato""), ""Brasil de Fato"",
IF(REGEXMATCH(S148, ""Ponte Jornalismo|pontejornalismo""), ""Ponte Jornalismo"",
IF(REGEXMATCH(S148, ""letras\.mus\.br|Letras,""), ""Letras"",
IF(REGEXMATCH(S148, ""YouTube|youtube""), 
   ""YouTube "&amp;"(""&amp;
   IF(REGEXMATCH(S148, ""Itaú Cultural""), ""Itaú Cultural"",
   IF(REGEXMATCH(S148, ""Rede TVT""), ""Rede TVT"",
   IF(REGEXMATCH(S148, ""Frente pelo Desencarceramento SP""), ""Frente Pelo Desencarceramento SP"",
   IF(REGEXMATCH(S148, ""TV ABA""), "&amp;"""TV ABA"",
   IF(REGEXMATCH(S148, ""TV SENADO""), ""TV Senado"",
   IF(REGEXMATCH(S148, ""Canal USP""), ""Canal USP"",
   IF(REGEXMATCH(S148, ""Douer, Zack|Zack Douer""), ""Douer Zack"",
   IF(REGEXMATCH(S148, ""PRISIONEIRO 84\.901|PRISIONEIRO 84""), ""P"&amp;"risioneiro 84.901"",
   IF(REGEXMATCH(S148, ""^[^,]*, ""), 
        PROPER(REGEXREPLACE(REGEXEXTRACT(S148, ""^([^.]*)\.""), ""^([^,]*), (.*)"", ""$2 $1"")),
        PROPER(REGEXEXTRACT(S148, ""^([^.]*)\.""))
   )))))))))&amp;"")"",
IF(REGEXMATCH(S148, ""Spot"&amp;"ify|spotify""), 
   ""Spotify (""&amp;
   IF(REGEXMATCH(S148, ""ESTRANHO SORRISO""), ""Estranho Sorriso"",
   PROPER(REGEXEXTRACT(S148, ""^([^.]*)\.""))
   )&amp;"")"",
IF(REGEXMATCH(S148, ""Vimeo|vimeo""), 
   ""Vimeo (""&amp;
   IF(REGEXMATCH(S148, ""Passa Palavra"&amp;"""), ""Passa Palavra"",
   PROPER(REGEXEXTRACT(S148, ""^([^.]*)\.""))
   )&amp;"")"",
IF(REGEXMATCH(S148, ""Blogspot""), 
   ""Blogspot (""&amp;
   IF(REGEXMATCH(S148, ""rede2deoutubro""), ""Rede 02 de Outubro"",
   PROPER(REGEXEXTRACT(S148, ""^([^.]*)\.""))
   "&amp;")&amp;"")"",
IF(REGEXMATCH(S148, ""Facebook""), 
   ""Facebook (""&amp;
   IF(REGEXMATCH(S148, ""Mídia Ninja""), ""Mídia Ninja"",
   PROPER(REGEXEXTRACT(S148, ""^([^.]*)\.""))
   )&amp;"")"",
IF(REGEXMATCH(S148, ""Instagram""), 
   ""Instagram (""&amp;
   IF(REGEXMATCH"&amp;"(S148, ""Memórias Carandiru""), ""Memórias Carandiru"",
   PROPER(REGEXEXTRACT(S148, ""^([^.]*)\.""))
   )&amp;"")"",
IF(REGEXMATCH(S148, ""Folha de S\. Paulo|FOLHA DE S\. PAULO""), ""Folha de S. Paulo"",
IF(REGEXMATCH(S148, ""O Estado de S\. Paulo|ESTADAO"""&amp;"), ""O Estado de S. Paulo"",
IF(REGEXMATCH(S148, ""salasecreta""), ""Wordpress (Sala Secreta)"",
IF(REGEXMATCH(S148, ""Wikipedia|Wikipédia|WIKIPÉDIA""), ""Wikipedia"",
IF(REGEXMATCH(S148, ""VEJA|Veja""), ""Veja Abril"",
IF(REGEXMATCH(S420, ""Rede Globo|RE"&amp;"DE GLOBO""), ""Rede Globo"",
IF(REGEXMATCH(S420, ""G1|globo\.com""), ""G1"",
IF(REGEXMATCH(S148, ""Deutsche Welle|DW\.com""), ""Deutsche Welle"",
IF(REGEXMATCH(S148, ""CIDH|Comissão Interamericana""), ""Comissão Interamericana de Direitos Humanos (CIDH)"""&amp;",
IF(REGEXMATCH(S148, ""Pastoral Carcerária""), ""Pastoral Carcerária"",
IF(REGEXMATCH(S148, ""Esquerda Web""), ""Esquerda Web"",
IF(REGEXMATCH(S148, ""ONU|Organização das Nações Unidas""), ""ONU Brasil"",
IF(REGEXMATCH(S148, ""Quilombo Invisível""), ""Qu"&amp;"ilombo Invisível"",
IF(REGEXMATCH(S148, ""ALESP|Assembleia Legislativa""), ""ALESP"",
IF(REGEXMATCH(S148, ""Revista Opera""), ""Revista Opera"",
IF(REGEXMATCH(S148, ""SP Escola de Teatro""), ""SP Escola de Teatro"",
IF(REGEXMATCH(S148, ""EMC|Espaço Memóri"&amp;"a Carandiru""), ""EMC Espaço Memória Carandiru"",
IF(REGEXMATCH(S148, ""^RAMOS, Nuno|Nuno Ramos""), ""Nuno Ramos"",
IF(REGEXMATCH(S148, ""^VELOSO, Caetano|Caetano Veloso""), ""YouTube (Caetano Veloso)"",
IF(REGEXMATCH(S148, ""^FATOS REAIS""), ""YouTube ("&amp;"Fatos Reais - Topic)"",
IF(REGEXMATCH(S148, ""^SALA SECRETA""), ""Wordpress (Sala Secreta)"",
PROPER(REGEXEXTRACT(S148, ""^([^.]*)\.""))
))))))))))))))))))))))))))))))))))))))))))))))))))))))))"),"Instagram (Memórias Carandiru)")</f>
        <v>Instagram (Memórias Carandiru)</v>
      </c>
      <c r="N148" s="11" t="s">
        <v>47</v>
      </c>
      <c r="O148" s="14" t="s">
        <v>149</v>
      </c>
      <c r="P148" s="186">
        <v>45857.0</v>
      </c>
      <c r="Q148" s="11" t="s">
        <v>154</v>
      </c>
      <c r="R148" s="70" t="str">
        <f t="shared" si="8"/>
        <v>Aqui</v>
      </c>
      <c r="S148" s="75" t="s">
        <v>817</v>
      </c>
    </row>
    <row r="149">
      <c r="A149" s="11">
        <v>147.0</v>
      </c>
      <c r="B149" s="14" t="s">
        <v>748</v>
      </c>
      <c r="C149" s="122" t="s">
        <v>165</v>
      </c>
      <c r="D149" s="13" t="str">
        <f>IFERROR(__xludf.DUMMYFUNCTION("IF(B149="""","""",IF(OR(
  REGEXMATCH(B149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REGEXMATCH(B149,""público|Imediato|artística|teatral|memória"")
),""Público Imediato"",
IF(REGEXMATCH(B149,""Música|Álbum|Filme|Documentário|Série|Podc"&amp;"ast|Rádio|Audiotour|Entrevista|Reportagem|Crônica|Relatório|Abaixo-assinado|Manifesto|Petição|Poema|Livro|Fotografia|Curta|Live|Webinário|Charge|Leitura pública|Vídeo""),
""Público Mediado"","""")))
"),"Público Mediado")</f>
        <v>Público Mediado</v>
      </c>
      <c r="E149" s="13" t="str">
        <f>IFERROR(__xludf.DUMMYFUNCTION("IF(B149="""","""",IF(OR(
  REGEXMATCH(B149,""Live|Webinário|Virtual""),
  REGEXMATCH(B149,""online"")
),""Virtual"",
IF(REGEXMATCH(B149,""Música|Álbum|Filme|Documentário|Série|Podcast|Rádio|Audiotour|Episódio|Reportagem|Curta|Charge|Livro|Vídeo|Entrevista"&amp;"""),
""Midiático"",
IF(REGEXMATCH(B149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49" s="186">
        <v>45155.0</v>
      </c>
      <c r="G149" s="15">
        <f t="shared" si="1"/>
        <v>2023</v>
      </c>
      <c r="H149" s="181" t="s">
        <v>347</v>
      </c>
      <c r="I149" s="177" t="s">
        <v>741</v>
      </c>
      <c r="J149" s="175" t="s">
        <v>818</v>
      </c>
      <c r="K149" s="16" t="s">
        <v>736</v>
      </c>
      <c r="L149" s="18" t="s">
        <v>489</v>
      </c>
      <c r="M149" s="15" t="str">
        <f>IFERROR(__xludf.DUMMYFUNCTION("IF(REGEXMATCH(S149, ""Companhia das Letras""), ""Companhia das Letras"",
IF(REGEXMATCH(S149, ""Labortexto Editorial""), ""Labortexto Editorial"",
IF(REGEXMATCH(S149, ""Geração Editorial""), ""Geração Editorial"",
IF(REGEXMATCH(S149, ""Editora Imprensa Ofi"&amp;"cial|Imprensa Oficial""), ""Editora Imprensa Oficial"",
IF(REGEXMATCH(S149, ""Folha Online""), ""Folha Online"",
IF(REGEXMATCH(S149, ""FGV DIREITO SP|FGV Direito SP""), ""FGV DIREITO SP"",
IF(REGEXMATCH(S149, ""massacrecarandiru\.org\.br""), ""Memória Mas"&amp;"sacre Carandiru"",
IF(REGEXMATCH(S149, ""Itaú Cultural""), ""YouTube (Itaú Cultural)"",
IF(REGEXMATCH(S149, ""Passa Palavra""), ""Vimeo (Passa Palavra)"",
IF(REGEXMATCH(S149, ""rede2deoutubro\.blogspot""), ""Blogspot (Rede 02 de Outubro)"",
IF(REGEXMATCH("&amp;"S149, ""Rede TVT""), ""YouTube (Rede TVT)"",
IF(REGEXMATCH(S149, ""Esquerda Diário""), ""Esquerda Diário"",
IF(REGEXMATCH(S149, ""GZH""), ""GZH"",
IF(REGEXMATCH(S149, ""TVPUC""), ""TVPUC"",
IF(REGEXMATCH(S149, ""Mídia Ninja.*Facebook""), ""Facebook (Mídia"&amp;" Ninja)"",
IF(REGEXMATCH(S149, ""Memórias Carandiru.*Instagram""), ""Instagram (Memórias Carandiru)"",
IF(REGEXMATCH(S149, ""Frente pelo Desencarceramento SP""), ""YouTube (Frente Pelo Desencarceramento SP)"",
IF(REGEXMATCH(S149, ""TV ABA""), ""YouTube (T"&amp;"V ABA)"",
IF(REGEXMATCH(S149, ""TV SENADO""), ""YouTube (TV Senado)"",
IF(REGEXMATCH(S149, ""Google Arts &amp; Culture""), ""Google Arts &amp; Culture (Memória Massacre Carandiru)"",
IF(REGEXMATCH(S149, ""Anistia Internacional|ANISTIA INTERNACIONAL""), ""Anistia "&amp;"Internacional"",
IF(REGEXMATCH(S149, ""47\.mostra|47a Mostra""), ""47a Mostra Internacional de Cinema em São Paulo"",
IF(REGEXMATCH(S149, ""Canal USP""), ""YouTube (Canal USP)"",
IF(AND(
  REGEXMATCH(S149, ""(?i)(teses?\.usp\.br|dissertacoes?\.usp\.br|rep"&amp;"ositorio\.usp\.br)""),
  NOT(REGEXMATCH(S149, ""Canal USP""))
), ""Biblioteca Digital de Teses e Dissertações da USP"",
IF(REGEXMATCH(S149, ""SINTRAJUSC""), ""SINTRAJUSC"",
IF(REGEXMATCH(S149, ""Agência Brasil|Agencia Brasil""), ""Agência Brasil"",
IF(REG"&amp;"EXMATCH(S149, ""Brasil de Fato""), ""Brasil de Fato"",
IF(REGEXMATCH(S149, ""Ponte Jornalismo|pontejornalismo""), ""Ponte Jornalismo"",
IF(REGEXMATCH(S149, ""letras\.mus\.br|Letras,""), ""Letras"",
IF(REGEXMATCH(S149, ""YouTube|youtube""), 
   ""YouTube "&amp;"(""&amp;
   IF(REGEXMATCH(S149, ""Itaú Cultural""), ""Itaú Cultural"",
   IF(REGEXMATCH(S149, ""Rede TVT""), ""Rede TVT"",
   IF(REGEXMATCH(S149, ""Frente pelo Desencarceramento SP""), ""Frente Pelo Desencarceramento SP"",
   IF(REGEXMATCH(S149, ""TV ABA""), "&amp;"""TV ABA"",
   IF(REGEXMATCH(S149, ""TV SENADO""), ""TV Senado"",
   IF(REGEXMATCH(S149, ""Canal USP""), ""Canal USP"",
   IF(REGEXMATCH(S149, ""Douer, Zack|Zack Douer""), ""Douer Zack"",
   IF(REGEXMATCH(S149, ""PRISIONEIRO 84\.901|PRISIONEIRO 84""), ""P"&amp;"risioneiro 84.901"",
   IF(REGEXMATCH(S149, ""^[^,]*, ""), 
        PROPER(REGEXREPLACE(REGEXEXTRACT(S149, ""^([^.]*)\.""), ""^([^,]*), (.*)"", ""$2 $1"")),
        PROPER(REGEXEXTRACT(S149, ""^([^.]*)\.""))
   )))))))))&amp;"")"",
IF(REGEXMATCH(S149, ""Spot"&amp;"ify|spotify""), 
   ""Spotify (""&amp;
   IF(REGEXMATCH(S149, ""ESTRANHO SORRISO""), ""Estranho Sorriso"",
   PROPER(REGEXEXTRACT(S149, ""^([^.]*)\.""))
   )&amp;"")"",
IF(REGEXMATCH(S149, ""Vimeo|vimeo""), 
   ""Vimeo (""&amp;
   IF(REGEXMATCH(S149, ""Passa Palavra"&amp;"""), ""Passa Palavra"",
   PROPER(REGEXEXTRACT(S149, ""^([^.]*)\.""))
   )&amp;"")"",
IF(REGEXMATCH(S149, ""Blogspot""), 
   ""Blogspot (""&amp;
   IF(REGEXMATCH(S149, ""rede2deoutubro""), ""Rede 02 de Outubro"",
   PROPER(REGEXEXTRACT(S149, ""^([^.]*)\.""))
   "&amp;")&amp;"")"",
IF(REGEXMATCH(S149, ""Facebook""), 
   ""Facebook (""&amp;
   IF(REGEXMATCH(S149, ""Mídia Ninja""), ""Mídia Ninja"",
   PROPER(REGEXEXTRACT(S149, ""^([^.]*)\.""))
   )&amp;"")"",
IF(REGEXMATCH(S149, ""Instagram""), 
   ""Instagram (""&amp;
   IF(REGEXMATCH"&amp;"(S149, ""Memórias Carandiru""), ""Memórias Carandiru"",
   PROPER(REGEXEXTRACT(S149, ""^([^.]*)\.""))
   )&amp;"")"",
IF(REGEXMATCH(S149, ""Folha de S\. Paulo|FOLHA DE S\. PAULO""), ""Folha de S. Paulo"",
IF(REGEXMATCH(S149, ""O Estado de S\. Paulo|ESTADAO"""&amp;"), ""O Estado de S. Paulo"",
IF(REGEXMATCH(S149, ""salasecreta""), ""Wordpress (Sala Secreta)"",
IF(REGEXMATCH(S149, ""Wikipedia|Wikipédia|WIKIPÉDIA""), ""Wikipedia"",
IF(REGEXMATCH(S149, ""VEJA|Veja""), ""Veja Abril"",
IF(REGEXMATCH(S421, ""Rede Globo|RE"&amp;"DE GLOBO""), ""Rede Globo"",
IF(REGEXMATCH(S421, ""G1|globo\.com""), ""G1"",
IF(REGEXMATCH(S149, ""Deutsche Welle|DW\.com""), ""Deutsche Welle"",
IF(REGEXMATCH(S149, ""CIDH|Comissão Interamericana""), ""Comissão Interamericana de Direitos Humanos (CIDH)"""&amp;",
IF(REGEXMATCH(S149, ""Pastoral Carcerária""), ""Pastoral Carcerária"",
IF(REGEXMATCH(S149, ""Esquerda Web""), ""Esquerda Web"",
IF(REGEXMATCH(S149, ""ONU|Organização das Nações Unidas""), ""ONU Brasil"",
IF(REGEXMATCH(S149, ""Quilombo Invisível""), ""Qu"&amp;"ilombo Invisível"",
IF(REGEXMATCH(S149, ""ALESP|Assembleia Legislativa""), ""ALESP"",
IF(REGEXMATCH(S149, ""Revista Opera""), ""Revista Opera"",
IF(REGEXMATCH(S149, ""SP Escola de Teatro""), ""SP Escola de Teatro"",
IF(REGEXMATCH(S149, ""EMC|Espaço Memóri"&amp;"a Carandiru""), ""EMC Espaço Memória Carandiru"",
IF(REGEXMATCH(S149, ""^RAMOS, Nuno|Nuno Ramos""), ""Nuno Ramos"",
IF(REGEXMATCH(S149, ""^VELOSO, Caetano|Caetano Veloso""), ""YouTube (Caetano Veloso)"",
IF(REGEXMATCH(S149, ""^FATOS REAIS""), ""YouTube ("&amp;"Fatos Reais - Topic)"",
IF(REGEXMATCH(S149, ""^SALA SECRETA""), ""Wordpress (Sala Secreta)"",
PROPER(REGEXEXTRACT(S149, ""^([^.]*)\.""))
))))))))))))))))))))))))))))))))))))))))))))))))))))))))"),"Instagram (Memórias Carandiru)")</f>
        <v>Instagram (Memórias Carandiru)</v>
      </c>
      <c r="N149" s="11" t="s">
        <v>47</v>
      </c>
      <c r="O149" s="14" t="s">
        <v>149</v>
      </c>
      <c r="P149" s="186">
        <v>45857.0</v>
      </c>
      <c r="Q149" s="11" t="s">
        <v>154</v>
      </c>
      <c r="R149" s="70" t="str">
        <f t="shared" si="8"/>
        <v>Aqui</v>
      </c>
      <c r="S149" s="75" t="s">
        <v>819</v>
      </c>
    </row>
    <row r="150">
      <c r="A150" s="11">
        <v>148.0</v>
      </c>
      <c r="B150" s="14" t="s">
        <v>799</v>
      </c>
      <c r="C150" s="122" t="s">
        <v>165</v>
      </c>
      <c r="D150" s="13" t="str">
        <f>IFERROR(__xludf.DUMMYFUNCTION("IF(B150="""","""",IF(OR(
  REGEXMATCH(B150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REGEXMATCH(B150,""público|Imediato|artística|teatral|memória"")
),""Público Imediato"",
IF(REGEXMATCH(B150,""Música|Álbum|Filme|Documentário|Série|Podc"&amp;"ast|Rádio|Audiotour|Entrevista|Reportagem|Crônica|Relatório|Abaixo-assinado|Manifesto|Petição|Poema|Livro|Fotografia|Curta|Live|Webinário|Charge|Leitura pública|Vídeo""),
""Público Mediado"","""")))
"),"Público Imediato")</f>
        <v>Público Imediato</v>
      </c>
      <c r="E150" s="13" t="str">
        <f>IFERROR(__xludf.DUMMYFUNCTION("IF(B150="""","""",IF(OR(
  REGEXMATCH(B150,""Live|Webinário|Virtual""),
  REGEXMATCH(B150,""online"")
),""Virtual"",
IF(REGEXMATCH(B150,""Música|Álbum|Filme|Documentário|Série|Podcast|Rádio|Audiotour|Episódio|Reportagem|Curta|Charge|Livro|Vídeo|Entrevista"&amp;"""),
""Midiático"",
IF(REGEXMATCH(B150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0" s="186">
        <v>45157.0</v>
      </c>
      <c r="G150" s="15">
        <f t="shared" si="1"/>
        <v>2023</v>
      </c>
      <c r="H150" s="14" t="s">
        <v>820</v>
      </c>
      <c r="I150" s="177" t="s">
        <v>741</v>
      </c>
      <c r="J150" s="175" t="s">
        <v>821</v>
      </c>
      <c r="K150" s="16" t="s">
        <v>736</v>
      </c>
      <c r="L150" s="18" t="s">
        <v>489</v>
      </c>
      <c r="M150" s="15" t="str">
        <f>IFERROR(__xludf.DUMMYFUNCTION("IF(REGEXMATCH(S150, ""Companhia das Letras""), ""Companhia das Letras"",
IF(REGEXMATCH(S150, ""Labortexto Editorial""), ""Labortexto Editorial"",
IF(REGEXMATCH(S150, ""Geração Editorial""), ""Geração Editorial"",
IF(REGEXMATCH(S150, ""Editora Imprensa Ofi"&amp;"cial|Imprensa Oficial""), ""Editora Imprensa Oficial"",
IF(REGEXMATCH(S150, ""Folha Online""), ""Folha Online"",
IF(REGEXMATCH(S150, ""FGV DIREITO SP|FGV Direito SP""), ""FGV DIREITO SP"",
IF(REGEXMATCH(S150, ""massacrecarandiru\.org\.br""), ""Memória Mas"&amp;"sacre Carandiru"",
IF(REGEXMATCH(S150, ""Itaú Cultural""), ""YouTube (Itaú Cultural)"",
IF(REGEXMATCH(S150, ""Passa Palavra""), ""Vimeo (Passa Palavra)"",
IF(REGEXMATCH(S150, ""rede2deoutubro\.blogspot""), ""Blogspot (Rede 02 de Outubro)"",
IF(REGEXMATCH("&amp;"S150, ""Rede TVT""), ""YouTube (Rede TVT)"",
IF(REGEXMATCH(S150, ""Esquerda Diário""), ""Esquerda Diário"",
IF(REGEXMATCH(S150, ""GZH""), ""GZH"",
IF(REGEXMATCH(S150, ""TVPUC""), ""TVPUC"",
IF(REGEXMATCH(S150, ""Mídia Ninja.*Facebook""), ""Facebook (Mídia"&amp;" Ninja)"",
IF(REGEXMATCH(S150, ""Memórias Carandiru.*Instagram""), ""Instagram (Memórias Carandiru)"",
IF(REGEXMATCH(S150, ""Frente pelo Desencarceramento SP""), ""YouTube (Frente Pelo Desencarceramento SP)"",
IF(REGEXMATCH(S150, ""TV ABA""), ""YouTube (T"&amp;"V ABA)"",
IF(REGEXMATCH(S150, ""TV SENADO""), ""YouTube (TV Senado)"",
IF(REGEXMATCH(S150, ""Google Arts &amp; Culture""), ""Google Arts &amp; Culture (Memória Massacre Carandiru)"",
IF(REGEXMATCH(S150, ""Anistia Internacional|ANISTIA INTERNACIONAL""), ""Anistia "&amp;"Internacional"",
IF(REGEXMATCH(S150, ""47\.mostra|47a Mostra""), ""47a Mostra Internacional de Cinema em São Paulo"",
IF(REGEXMATCH(S150, ""Canal USP""), ""YouTube (Canal USP)"",
IF(AND(
  REGEXMATCH(S150, ""(?i)(teses?\.usp\.br|dissertacoes?\.usp\.br|rep"&amp;"ositorio\.usp\.br)""),
  NOT(REGEXMATCH(S150, ""Canal USP""))
), ""Biblioteca Digital de Teses e Dissertações da USP"",
IF(REGEXMATCH(S150, ""SINTRAJUSC""), ""SINTRAJUSC"",
IF(REGEXMATCH(S150, ""Agência Brasil|Agencia Brasil""), ""Agência Brasil"",
IF(REG"&amp;"EXMATCH(S150, ""Brasil de Fato""), ""Brasil de Fato"",
IF(REGEXMATCH(S150, ""Ponte Jornalismo|pontejornalismo""), ""Ponte Jornalismo"",
IF(REGEXMATCH(S150, ""letras\.mus\.br|Letras,""), ""Letras"",
IF(REGEXMATCH(S150, ""YouTube|youtube""), 
   ""YouTube "&amp;"(""&amp;
   IF(REGEXMATCH(S150, ""Itaú Cultural""), ""Itaú Cultural"",
   IF(REGEXMATCH(S150, ""Rede TVT""), ""Rede TVT"",
   IF(REGEXMATCH(S150, ""Frente pelo Desencarceramento SP""), ""Frente Pelo Desencarceramento SP"",
   IF(REGEXMATCH(S150, ""TV ABA""), "&amp;"""TV ABA"",
   IF(REGEXMATCH(S150, ""TV SENADO""), ""TV Senado"",
   IF(REGEXMATCH(S150, ""Canal USP""), ""Canal USP"",
   IF(REGEXMATCH(S150, ""Douer, Zack|Zack Douer""), ""Douer Zack"",
   IF(REGEXMATCH(S150, ""PRISIONEIRO 84\.901|PRISIONEIRO 84""), ""P"&amp;"risioneiro 84.901"",
   IF(REGEXMATCH(S150, ""^[^,]*, ""), 
        PROPER(REGEXREPLACE(REGEXEXTRACT(S150, ""^([^.]*)\.""), ""^([^,]*), (.*)"", ""$2 $1"")),
        PROPER(REGEXEXTRACT(S150, ""^([^.]*)\.""))
   )))))))))&amp;"")"",
IF(REGEXMATCH(S150, ""Spot"&amp;"ify|spotify""), 
   ""Spotify (""&amp;
   IF(REGEXMATCH(S150, ""ESTRANHO SORRISO""), ""Estranho Sorriso"",
   PROPER(REGEXEXTRACT(S150, ""^([^.]*)\.""))
   )&amp;"")"",
IF(REGEXMATCH(S150, ""Vimeo|vimeo""), 
   ""Vimeo (""&amp;
   IF(REGEXMATCH(S150, ""Passa Palavra"&amp;"""), ""Passa Palavra"",
   PROPER(REGEXEXTRACT(S150, ""^([^.]*)\.""))
   )&amp;"")"",
IF(REGEXMATCH(S150, ""Blogspot""), 
   ""Blogspot (""&amp;
   IF(REGEXMATCH(S150, ""rede2deoutubro""), ""Rede 02 de Outubro"",
   PROPER(REGEXEXTRACT(S150, ""^([^.]*)\.""))
   "&amp;")&amp;"")"",
IF(REGEXMATCH(S150, ""Facebook""), 
   ""Facebook (""&amp;
   IF(REGEXMATCH(S150, ""Mídia Ninja""), ""Mídia Ninja"",
   PROPER(REGEXEXTRACT(S150, ""^([^.]*)\.""))
   )&amp;"")"",
IF(REGEXMATCH(S150, ""Instagram""), 
   ""Instagram (""&amp;
   IF(REGEXMATCH"&amp;"(S150, ""Memórias Carandiru""), ""Memórias Carandiru"",
   PROPER(REGEXEXTRACT(S150, ""^([^.]*)\.""))
   )&amp;"")"",
IF(REGEXMATCH(S150, ""Folha de S\. Paulo|FOLHA DE S\. PAULO""), ""Folha de S. Paulo"",
IF(REGEXMATCH(S150, ""O Estado de S\. Paulo|ESTADAO"""&amp;"), ""O Estado de S. Paulo"",
IF(REGEXMATCH(S150, ""salasecreta""), ""Wordpress (Sala Secreta)"",
IF(REGEXMATCH(S150, ""Wikipedia|Wikipédia|WIKIPÉDIA""), ""Wikipedia"",
IF(REGEXMATCH(S150, ""VEJA|Veja""), ""Veja Abril"",
IF(REGEXMATCH(S422, ""Rede Globo|RE"&amp;"DE GLOBO""), ""Rede Globo"",
IF(REGEXMATCH(S422, ""G1|globo\.com""), ""G1"",
IF(REGEXMATCH(S150, ""Deutsche Welle|DW\.com""), ""Deutsche Welle"",
IF(REGEXMATCH(S150, ""CIDH|Comissão Interamericana""), ""Comissão Interamericana de Direitos Humanos (CIDH)"""&amp;",
IF(REGEXMATCH(S150, ""Pastoral Carcerária""), ""Pastoral Carcerária"",
IF(REGEXMATCH(S150, ""Esquerda Web""), ""Esquerda Web"",
IF(REGEXMATCH(S150, ""ONU|Organização das Nações Unidas""), ""ONU Brasil"",
IF(REGEXMATCH(S150, ""Quilombo Invisível""), ""Qu"&amp;"ilombo Invisível"",
IF(REGEXMATCH(S150, ""ALESP|Assembleia Legislativa""), ""ALESP"",
IF(REGEXMATCH(S150, ""Revista Opera""), ""Revista Opera"",
IF(REGEXMATCH(S150, ""SP Escola de Teatro""), ""SP Escola de Teatro"",
IF(REGEXMATCH(S150, ""EMC|Espaço Memóri"&amp;"a Carandiru""), ""EMC Espaço Memória Carandiru"",
IF(REGEXMATCH(S150, ""^RAMOS, Nuno|Nuno Ramos""), ""Nuno Ramos"",
IF(REGEXMATCH(S150, ""^VELOSO, Caetano|Caetano Veloso""), ""YouTube (Caetano Veloso)"",
IF(REGEXMATCH(S150, ""^FATOS REAIS""), ""YouTube ("&amp;"Fatos Reais - Topic)"",
IF(REGEXMATCH(S150, ""^SALA SECRETA""), ""Wordpress (Sala Secreta)"",
PROPER(REGEXEXTRACT(S150, ""^([^.]*)\.""))
))))))))))))))))))))))))))))))))))))))))))))))))))))))))"),"Instagram (Memórias Carandiru)")</f>
        <v>Instagram (Memórias Carandiru)</v>
      </c>
      <c r="N150" s="11" t="s">
        <v>47</v>
      </c>
      <c r="O150" s="14" t="s">
        <v>149</v>
      </c>
      <c r="P150" s="186">
        <v>45857.0</v>
      </c>
      <c r="Q150" s="11" t="s">
        <v>154</v>
      </c>
      <c r="R150" s="70" t="str">
        <f t="shared" si="8"/>
        <v>Aqui</v>
      </c>
      <c r="S150" s="75" t="s">
        <v>822</v>
      </c>
    </row>
    <row r="151">
      <c r="A151" s="11">
        <v>149.0</v>
      </c>
      <c r="B151" s="14" t="s">
        <v>761</v>
      </c>
      <c r="C151" s="122" t="s">
        <v>165</v>
      </c>
      <c r="D151" s="13" t="str">
        <f>IFERROR(__xludf.DUMMYFUNCTION("IF(B151="""","""",IF(OR(
  REGEXMATCH(B151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REGEXMATCH(B151,""público|Imediato|artística|teatral|memória"")
),""Público Imediato"",
IF(REGEXMATCH(B151,""Música|Álbum|Filme|Documentário|Série|Podc"&amp;"ast|Rádio|Audiotour|Entrevista|Reportagem|Crônica|Relatório|Abaixo-assinado|Manifesto|Petição|Poema|Livro|Fotografia|Curta|Live|Webinário|Charge|Leitura pública|Vídeo""),
""Público Mediado"","""")))
"),"Público Imediato")</f>
        <v>Público Imediato</v>
      </c>
      <c r="E151" s="13" t="str">
        <f>IFERROR(__xludf.DUMMYFUNCTION("IF(B151="""","""",IF(OR(
  REGEXMATCH(B151,""Live|Webinário|Virtual""),
  REGEXMATCH(B151,""online"")
),""Virtual"",
IF(REGEXMATCH(B151,""Música|Álbum|Filme|Documentário|Série|Podcast|Rádio|Audiotour|Episódio|Reportagem|Curta|Charge|Livro|Vídeo|Entrevista"&amp;"""),
""Midiático"",
IF(REGEXMATCH(B151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1" s="186">
        <v>45158.0</v>
      </c>
      <c r="G151" s="15">
        <f t="shared" si="1"/>
        <v>2023</v>
      </c>
      <c r="H151" s="14" t="s">
        <v>733</v>
      </c>
      <c r="I151" s="175" t="s">
        <v>741</v>
      </c>
      <c r="J151" s="202" t="s">
        <v>823</v>
      </c>
      <c r="K151" s="16" t="s">
        <v>736</v>
      </c>
      <c r="L151" s="18" t="s">
        <v>489</v>
      </c>
      <c r="M151" s="15" t="str">
        <f>IFERROR(__xludf.DUMMYFUNCTION("IF(REGEXMATCH(S151, ""Companhia das Letras""), ""Companhia das Letras"",
IF(REGEXMATCH(S151, ""Labortexto Editorial""), ""Labortexto Editorial"",
IF(REGEXMATCH(S151, ""Geração Editorial""), ""Geração Editorial"",
IF(REGEXMATCH(S151, ""Editora Imprensa Ofi"&amp;"cial|Imprensa Oficial""), ""Editora Imprensa Oficial"",
IF(REGEXMATCH(S151, ""Folha Online""), ""Folha Online"",
IF(REGEXMATCH(S151, ""FGV DIREITO SP|FGV Direito SP""), ""FGV DIREITO SP"",
IF(REGEXMATCH(S151, ""massacrecarandiru\.org\.br""), ""Memória Mas"&amp;"sacre Carandiru"",
IF(REGEXMATCH(S151, ""Itaú Cultural""), ""YouTube (Itaú Cultural)"",
IF(REGEXMATCH(S151, ""Passa Palavra""), ""Vimeo (Passa Palavra)"",
IF(REGEXMATCH(S151, ""rede2deoutubro\.blogspot""), ""Blogspot (Rede 02 de Outubro)"",
IF(REGEXMATCH("&amp;"S151, ""Rede TVT""), ""YouTube (Rede TVT)"",
IF(REGEXMATCH(S151, ""Esquerda Diário""), ""Esquerda Diário"",
IF(REGEXMATCH(S151, ""GZH""), ""GZH"",
IF(REGEXMATCH(S151, ""TVPUC""), ""TVPUC"",
IF(REGEXMATCH(S151, ""Mídia Ninja.*Facebook""), ""Facebook (Mídia"&amp;" Ninja)"",
IF(REGEXMATCH(S151, ""Memórias Carandiru.*Instagram""), ""Instagram (Memórias Carandiru)"",
IF(REGEXMATCH(S151, ""Frente pelo Desencarceramento SP""), ""YouTube (Frente Pelo Desencarceramento SP)"",
IF(REGEXMATCH(S151, ""TV ABA""), ""YouTube (T"&amp;"V ABA)"",
IF(REGEXMATCH(S151, ""TV SENADO""), ""YouTube (TV Senado)"",
IF(REGEXMATCH(S151, ""Google Arts &amp; Culture""), ""Google Arts &amp; Culture (Memória Massacre Carandiru)"",
IF(REGEXMATCH(S151, ""Anistia Internacional|ANISTIA INTERNACIONAL""), ""Anistia "&amp;"Internacional"",
IF(REGEXMATCH(S151, ""47\.mostra|47a Mostra""), ""47a Mostra Internacional de Cinema em São Paulo"",
IF(REGEXMATCH(S151, ""Canal USP""), ""YouTube (Canal USP)"",
IF(AND(
  REGEXMATCH(S151, ""(?i)(teses?\.usp\.br|dissertacoes?\.usp\.br|rep"&amp;"ositorio\.usp\.br)""),
  NOT(REGEXMATCH(S151, ""Canal USP""))
), ""Biblioteca Digital de Teses e Dissertações da USP"",
IF(REGEXMATCH(S151, ""SINTRAJUSC""), ""SINTRAJUSC"",
IF(REGEXMATCH(S151, ""Agência Brasil|Agencia Brasil""), ""Agência Brasil"",
IF(REG"&amp;"EXMATCH(S151, ""Brasil de Fato""), ""Brasil de Fato"",
IF(REGEXMATCH(S151, ""Ponte Jornalismo|pontejornalismo""), ""Ponte Jornalismo"",
IF(REGEXMATCH(S151, ""letras\.mus\.br|Letras,""), ""Letras"",
IF(REGEXMATCH(S151, ""YouTube|youtube""), 
   ""YouTube "&amp;"(""&amp;
   IF(REGEXMATCH(S151, ""Itaú Cultural""), ""Itaú Cultural"",
   IF(REGEXMATCH(S151, ""Rede TVT""), ""Rede TVT"",
   IF(REGEXMATCH(S151, ""Frente pelo Desencarceramento SP""), ""Frente Pelo Desencarceramento SP"",
   IF(REGEXMATCH(S151, ""TV ABA""), "&amp;"""TV ABA"",
   IF(REGEXMATCH(S151, ""TV SENADO""), ""TV Senado"",
   IF(REGEXMATCH(S151, ""Canal USP""), ""Canal USP"",
   IF(REGEXMATCH(S151, ""Douer, Zack|Zack Douer""), ""Douer Zack"",
   IF(REGEXMATCH(S151, ""PRISIONEIRO 84\.901|PRISIONEIRO 84""), ""P"&amp;"risioneiro 84.901"",
   IF(REGEXMATCH(S151, ""^[^,]*, ""), 
        PROPER(REGEXREPLACE(REGEXEXTRACT(S151, ""^([^.]*)\.""), ""^([^,]*), (.*)"", ""$2 $1"")),
        PROPER(REGEXEXTRACT(S151, ""^([^.]*)\.""))
   )))))))))&amp;"")"",
IF(REGEXMATCH(S151, ""Spot"&amp;"ify|spotify""), 
   ""Spotify (""&amp;
   IF(REGEXMATCH(S151, ""ESTRANHO SORRISO""), ""Estranho Sorriso"",
   PROPER(REGEXEXTRACT(S151, ""^([^.]*)\.""))
   )&amp;"")"",
IF(REGEXMATCH(S151, ""Vimeo|vimeo""), 
   ""Vimeo (""&amp;
   IF(REGEXMATCH(S151, ""Passa Palavra"&amp;"""), ""Passa Palavra"",
   PROPER(REGEXEXTRACT(S151, ""^([^.]*)\.""))
   )&amp;"")"",
IF(REGEXMATCH(S151, ""Blogspot""), 
   ""Blogspot (""&amp;
   IF(REGEXMATCH(S151, ""rede2deoutubro""), ""Rede 02 de Outubro"",
   PROPER(REGEXEXTRACT(S151, ""^([^.]*)\.""))
   "&amp;")&amp;"")"",
IF(REGEXMATCH(S151, ""Facebook""), 
   ""Facebook (""&amp;
   IF(REGEXMATCH(S151, ""Mídia Ninja""), ""Mídia Ninja"",
   PROPER(REGEXEXTRACT(S151, ""^([^.]*)\.""))
   )&amp;"")"",
IF(REGEXMATCH(S151, ""Instagram""), 
   ""Instagram (""&amp;
   IF(REGEXMATCH"&amp;"(S151, ""Memórias Carandiru""), ""Memórias Carandiru"",
   PROPER(REGEXEXTRACT(S151, ""^([^.]*)\.""))
   )&amp;"")"",
IF(REGEXMATCH(S151, ""Folha de S\. Paulo|FOLHA DE S\. PAULO""), ""Folha de S. Paulo"",
IF(REGEXMATCH(S151, ""O Estado de S\. Paulo|ESTADAO"""&amp;"), ""O Estado de S. Paulo"",
IF(REGEXMATCH(S151, ""salasecreta""), ""Wordpress (Sala Secreta)"",
IF(REGEXMATCH(S151, ""Wikipedia|Wikipédia|WIKIPÉDIA""), ""Wikipedia"",
IF(REGEXMATCH(S151, ""VEJA|Veja""), ""Veja Abril"",
IF(REGEXMATCH(S423, ""Rede Globo|RE"&amp;"DE GLOBO""), ""Rede Globo"",
IF(REGEXMATCH(S423, ""G1|globo\.com""), ""G1"",
IF(REGEXMATCH(S151, ""Deutsche Welle|DW\.com""), ""Deutsche Welle"",
IF(REGEXMATCH(S151, ""CIDH|Comissão Interamericana""), ""Comissão Interamericana de Direitos Humanos (CIDH)"""&amp;",
IF(REGEXMATCH(S151, ""Pastoral Carcerária""), ""Pastoral Carcerária"",
IF(REGEXMATCH(S151, ""Esquerda Web""), ""Esquerda Web"",
IF(REGEXMATCH(S151, ""ONU|Organização das Nações Unidas""), ""ONU Brasil"",
IF(REGEXMATCH(S151, ""Quilombo Invisível""), ""Qu"&amp;"ilombo Invisível"",
IF(REGEXMATCH(S151, ""ALESP|Assembleia Legislativa""), ""ALESP"",
IF(REGEXMATCH(S151, ""Revista Opera""), ""Revista Opera"",
IF(REGEXMATCH(S151, ""SP Escola de Teatro""), ""SP Escola de Teatro"",
IF(REGEXMATCH(S151, ""EMC|Espaço Memóri"&amp;"a Carandiru""), ""EMC Espaço Memória Carandiru"",
IF(REGEXMATCH(S151, ""^RAMOS, Nuno|Nuno Ramos""), ""Nuno Ramos"",
IF(REGEXMATCH(S151, ""^VELOSO, Caetano|Caetano Veloso""), ""YouTube (Caetano Veloso)"",
IF(REGEXMATCH(S151, ""^FATOS REAIS""), ""YouTube ("&amp;"Fatos Reais - Topic)"",
IF(REGEXMATCH(S151, ""^SALA SECRETA""), ""Wordpress (Sala Secreta)"",
PROPER(REGEXEXTRACT(S151, ""^([^.]*)\.""))
))))))))))))))))))))))))))))))))))))))))))))))))))))))))"),"Instagram (Memórias Carandiru)")</f>
        <v>Instagram (Memórias Carandiru)</v>
      </c>
      <c r="N151" s="11" t="s">
        <v>47</v>
      </c>
      <c r="O151" s="14" t="s">
        <v>149</v>
      </c>
      <c r="P151" s="186">
        <v>45857.0</v>
      </c>
      <c r="Q151" s="11" t="s">
        <v>154</v>
      </c>
      <c r="R151" s="70" t="str">
        <f t="shared" si="8"/>
        <v>Aqui</v>
      </c>
      <c r="S151" s="75" t="s">
        <v>824</v>
      </c>
    </row>
    <row r="152">
      <c r="A152" s="11">
        <v>150.0</v>
      </c>
      <c r="B152" s="14" t="s">
        <v>799</v>
      </c>
      <c r="C152" s="122" t="s">
        <v>165</v>
      </c>
      <c r="D152" s="13" t="str">
        <f>IFERROR(__xludf.DUMMYFUNCTION("IF(B152="""","""",IF(OR(
  REGEXMATCH(B152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REGEXMATCH(B152,""público|Imediato|artística|teatral|memória"")
),""Público Imediato"",
IF(REGEXMATCH(B152,""Música|Álbum|Filme|Documentário|Série|Podc"&amp;"ast|Rádio|Audiotour|Entrevista|Reportagem|Crônica|Relatório|Abaixo-assinado|Manifesto|Petição|Poema|Livro|Fotografia|Curta|Live|Webinário|Charge|Leitura pública|Vídeo""),
""Público Mediado"","""")))
"),"Público Imediato")</f>
        <v>Público Imediato</v>
      </c>
      <c r="E152" s="13" t="str">
        <f>IFERROR(__xludf.DUMMYFUNCTION("IF(B152="""","""",IF(OR(
  REGEXMATCH(B152,""Live|Webinário|Virtual""),
  REGEXMATCH(B152,""online"")
),""Virtual"",
IF(REGEXMATCH(B152,""Música|Álbum|Filme|Documentário|Série|Podcast|Rádio|Audiotour|Episódio|Reportagem|Curta|Charge|Livro|Vídeo|Entrevista"&amp;"""),
""Midiático"",
IF(REGEXMATCH(B152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2" s="186">
        <v>45161.0</v>
      </c>
      <c r="G152" s="15">
        <f t="shared" si="1"/>
        <v>2023</v>
      </c>
      <c r="H152" s="14" t="s">
        <v>733</v>
      </c>
      <c r="I152" s="175" t="s">
        <v>741</v>
      </c>
      <c r="J152" s="202" t="s">
        <v>825</v>
      </c>
      <c r="K152" s="16" t="s">
        <v>736</v>
      </c>
      <c r="L152" s="18" t="s">
        <v>489</v>
      </c>
      <c r="M152" s="15" t="str">
        <f>IFERROR(__xludf.DUMMYFUNCTION("IF(REGEXMATCH(S152, ""Companhia das Letras""), ""Companhia das Letras"",
IF(REGEXMATCH(S152, ""Labortexto Editorial""), ""Labortexto Editorial"",
IF(REGEXMATCH(S152, ""Geração Editorial""), ""Geração Editorial"",
IF(REGEXMATCH(S152, ""Editora Imprensa Ofi"&amp;"cial|Imprensa Oficial""), ""Editora Imprensa Oficial"",
IF(REGEXMATCH(S152, ""Folha Online""), ""Folha Online"",
IF(REGEXMATCH(S152, ""FGV DIREITO SP|FGV Direito SP""), ""FGV DIREITO SP"",
IF(REGEXMATCH(S152, ""massacrecarandiru\.org\.br""), ""Memória Mas"&amp;"sacre Carandiru"",
IF(REGEXMATCH(S152, ""Itaú Cultural""), ""YouTube (Itaú Cultural)"",
IF(REGEXMATCH(S152, ""Passa Palavra""), ""Vimeo (Passa Palavra)"",
IF(REGEXMATCH(S152, ""rede2deoutubro\.blogspot""), ""Blogspot (Rede 02 de Outubro)"",
IF(REGEXMATCH("&amp;"S152, ""Rede TVT""), ""YouTube (Rede TVT)"",
IF(REGEXMATCH(S152, ""Esquerda Diário""), ""Esquerda Diário"",
IF(REGEXMATCH(S152, ""GZH""), ""GZH"",
IF(REGEXMATCH(S152, ""TVPUC""), ""TVPUC"",
IF(REGEXMATCH(S152, ""Mídia Ninja.*Facebook""), ""Facebook (Mídia"&amp;" Ninja)"",
IF(REGEXMATCH(S152, ""Memórias Carandiru.*Instagram""), ""Instagram (Memórias Carandiru)"",
IF(REGEXMATCH(S152, ""Frente pelo Desencarceramento SP""), ""YouTube (Frente Pelo Desencarceramento SP)"",
IF(REGEXMATCH(S152, ""TV ABA""), ""YouTube (T"&amp;"V ABA)"",
IF(REGEXMATCH(S152, ""TV SENADO""), ""YouTube (TV Senado)"",
IF(REGEXMATCH(S152, ""Google Arts &amp; Culture""), ""Google Arts &amp; Culture (Memória Massacre Carandiru)"",
IF(REGEXMATCH(S152, ""Anistia Internacional|ANISTIA INTERNACIONAL""), ""Anistia "&amp;"Internacional"",
IF(REGEXMATCH(S152, ""47\.mostra|47a Mostra""), ""47a Mostra Internacional de Cinema em São Paulo"",
IF(REGEXMATCH(S152, ""Canal USP""), ""YouTube (Canal USP)"",
IF(AND(
  REGEXMATCH(S152, ""(?i)(teses?\.usp\.br|dissertacoes?\.usp\.br|rep"&amp;"ositorio\.usp\.br)""),
  NOT(REGEXMATCH(S152, ""Canal USP""))
), ""Biblioteca Digital de Teses e Dissertações da USP"",
IF(REGEXMATCH(S152, ""SINTRAJUSC""), ""SINTRAJUSC"",
IF(REGEXMATCH(S152, ""Agência Brasil|Agencia Brasil""), ""Agência Brasil"",
IF(REG"&amp;"EXMATCH(S152, ""Brasil de Fato""), ""Brasil de Fato"",
IF(REGEXMATCH(S152, ""Ponte Jornalismo|pontejornalismo""), ""Ponte Jornalismo"",
IF(REGEXMATCH(S152, ""letras\.mus\.br|Letras,""), ""Letras"",
IF(REGEXMATCH(S152, ""YouTube|youtube""), 
   ""YouTube "&amp;"(""&amp;
   IF(REGEXMATCH(S152, ""Itaú Cultural""), ""Itaú Cultural"",
   IF(REGEXMATCH(S152, ""Rede TVT""), ""Rede TVT"",
   IF(REGEXMATCH(S152, ""Frente pelo Desencarceramento SP""), ""Frente Pelo Desencarceramento SP"",
   IF(REGEXMATCH(S152, ""TV ABA""), "&amp;"""TV ABA"",
   IF(REGEXMATCH(S152, ""TV SENADO""), ""TV Senado"",
   IF(REGEXMATCH(S152, ""Canal USP""), ""Canal USP"",
   IF(REGEXMATCH(S152, ""Douer, Zack|Zack Douer""), ""Douer Zack"",
   IF(REGEXMATCH(S152, ""PRISIONEIRO 84\.901|PRISIONEIRO 84""), ""P"&amp;"risioneiro 84.901"",
   IF(REGEXMATCH(S152, ""^[^,]*, ""), 
        PROPER(REGEXREPLACE(REGEXEXTRACT(S152, ""^([^.]*)\.""), ""^([^,]*), (.*)"", ""$2 $1"")),
        PROPER(REGEXEXTRACT(S152, ""^([^.]*)\.""))
   )))))))))&amp;"")"",
IF(REGEXMATCH(S152, ""Spot"&amp;"ify|spotify""), 
   ""Spotify (""&amp;
   IF(REGEXMATCH(S152, ""ESTRANHO SORRISO""), ""Estranho Sorriso"",
   PROPER(REGEXEXTRACT(S152, ""^([^.]*)\.""))
   )&amp;"")"",
IF(REGEXMATCH(S152, ""Vimeo|vimeo""), 
   ""Vimeo (""&amp;
   IF(REGEXMATCH(S152, ""Passa Palavra"&amp;"""), ""Passa Palavra"",
   PROPER(REGEXEXTRACT(S152, ""^([^.]*)\.""))
   )&amp;"")"",
IF(REGEXMATCH(S152, ""Blogspot""), 
   ""Blogspot (""&amp;
   IF(REGEXMATCH(S152, ""rede2deoutubro""), ""Rede 02 de Outubro"",
   PROPER(REGEXEXTRACT(S152, ""^([^.]*)\.""))
   "&amp;")&amp;"")"",
IF(REGEXMATCH(S152, ""Facebook""), 
   ""Facebook (""&amp;
   IF(REGEXMATCH(S152, ""Mídia Ninja""), ""Mídia Ninja"",
   PROPER(REGEXEXTRACT(S152, ""^([^.]*)\.""))
   )&amp;"")"",
IF(REGEXMATCH(S152, ""Instagram""), 
   ""Instagram (""&amp;
   IF(REGEXMATCH"&amp;"(S152, ""Memórias Carandiru""), ""Memórias Carandiru"",
   PROPER(REGEXEXTRACT(S152, ""^([^.]*)\.""))
   )&amp;"")"",
IF(REGEXMATCH(S152, ""Folha de S\. Paulo|FOLHA DE S\. PAULO""), ""Folha de S. Paulo"",
IF(REGEXMATCH(S152, ""O Estado de S\. Paulo|ESTADAO"""&amp;"), ""O Estado de S. Paulo"",
IF(REGEXMATCH(S152, ""salasecreta""), ""Wordpress (Sala Secreta)"",
IF(REGEXMATCH(S152, ""Wikipedia|Wikipédia|WIKIPÉDIA""), ""Wikipedia"",
IF(REGEXMATCH(S152, ""VEJA|Veja""), ""Veja Abril"",
IF(REGEXMATCH(S424, ""Rede Globo|RE"&amp;"DE GLOBO""), ""Rede Globo"",
IF(REGEXMATCH(S424, ""G1|globo\.com""), ""G1"",
IF(REGEXMATCH(S152, ""Deutsche Welle|DW\.com""), ""Deutsche Welle"",
IF(REGEXMATCH(S152, ""CIDH|Comissão Interamericana""), ""Comissão Interamericana de Direitos Humanos (CIDH)"""&amp;",
IF(REGEXMATCH(S152, ""Pastoral Carcerária""), ""Pastoral Carcerária"",
IF(REGEXMATCH(S152, ""Esquerda Web""), ""Esquerda Web"",
IF(REGEXMATCH(S152, ""ONU|Organização das Nações Unidas""), ""ONU Brasil"",
IF(REGEXMATCH(S152, ""Quilombo Invisível""), ""Qu"&amp;"ilombo Invisível"",
IF(REGEXMATCH(S152, ""ALESP|Assembleia Legislativa""), ""ALESP"",
IF(REGEXMATCH(S152, ""Revista Opera""), ""Revista Opera"",
IF(REGEXMATCH(S152, ""SP Escola de Teatro""), ""SP Escola de Teatro"",
IF(REGEXMATCH(S152, ""EMC|Espaço Memóri"&amp;"a Carandiru""), ""EMC Espaço Memória Carandiru"",
IF(REGEXMATCH(S152, ""^RAMOS, Nuno|Nuno Ramos""), ""Nuno Ramos"",
IF(REGEXMATCH(S152, ""^VELOSO, Caetano|Caetano Veloso""), ""YouTube (Caetano Veloso)"",
IF(REGEXMATCH(S152, ""^FATOS REAIS""), ""YouTube ("&amp;"Fatos Reais - Topic)"",
IF(REGEXMATCH(S152, ""^SALA SECRETA""), ""Wordpress (Sala Secreta)"",
PROPER(REGEXEXTRACT(S152, ""^([^.]*)\.""))
))))))))))))))))))))))))))))))))))))))))))))))))))))))))"),"Instagram (Memórias Carandiru)")</f>
        <v>Instagram (Memórias Carandiru)</v>
      </c>
      <c r="N152" s="11" t="s">
        <v>47</v>
      </c>
      <c r="O152" s="14" t="s">
        <v>149</v>
      </c>
      <c r="P152" s="186">
        <v>45857.0</v>
      </c>
      <c r="Q152" s="11" t="s">
        <v>154</v>
      </c>
      <c r="R152" s="70" t="str">
        <f t="shared" si="8"/>
        <v>Aqui</v>
      </c>
      <c r="S152" s="75" t="s">
        <v>826</v>
      </c>
    </row>
    <row r="153">
      <c r="A153" s="11">
        <v>151.0</v>
      </c>
      <c r="B153" s="14" t="s">
        <v>799</v>
      </c>
      <c r="C153" s="122" t="s">
        <v>165</v>
      </c>
      <c r="D153" s="13" t="str">
        <f>IFERROR(__xludf.DUMMYFUNCTION("IF(B153="""","""",IF(OR(
  REGEXMATCH(B153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REGEXMATCH(B153,""público|Imediato|artística|teatral|memória"")
),""Público Imediato"",
IF(REGEXMATCH(B153,""Música|Álbum|Filme|Documentário|Série|Podc"&amp;"ast|Rádio|Audiotour|Entrevista|Reportagem|Crônica|Relatório|Abaixo-assinado|Manifesto|Petição|Poema|Livro|Fotografia|Curta|Live|Webinário|Charge|Leitura pública|Vídeo""),
""Público Mediado"","""")))
"),"Público Imediato")</f>
        <v>Público Imediato</v>
      </c>
      <c r="E153" s="13" t="str">
        <f>IFERROR(__xludf.DUMMYFUNCTION("IF(B153="""","""",IF(OR(
  REGEXMATCH(B153,""Live|Webinário|Virtual""),
  REGEXMATCH(B153,""online"")
),""Virtual"",
IF(REGEXMATCH(B153,""Música|Álbum|Filme|Documentário|Série|Podcast|Rádio|Audiotour|Episódio|Reportagem|Curta|Charge|Livro|Vídeo|Entrevista"&amp;"""),
""Midiático"",
IF(REGEXMATCH(B153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3" s="186">
        <v>45164.0</v>
      </c>
      <c r="G153" s="15">
        <f t="shared" si="1"/>
        <v>2023</v>
      </c>
      <c r="H153" s="14" t="s">
        <v>733</v>
      </c>
      <c r="I153" s="175" t="s">
        <v>741</v>
      </c>
      <c r="J153" s="202" t="s">
        <v>827</v>
      </c>
      <c r="K153" s="16" t="s">
        <v>736</v>
      </c>
      <c r="L153" s="18" t="s">
        <v>489</v>
      </c>
      <c r="M153" s="15" t="str">
        <f>IFERROR(__xludf.DUMMYFUNCTION("IF(REGEXMATCH(S153, ""Companhia das Letras""), ""Companhia das Letras"",
IF(REGEXMATCH(S153, ""Labortexto Editorial""), ""Labortexto Editorial"",
IF(REGEXMATCH(S153, ""Geração Editorial""), ""Geração Editorial"",
IF(REGEXMATCH(S153, ""Editora Imprensa Ofi"&amp;"cial|Imprensa Oficial""), ""Editora Imprensa Oficial"",
IF(REGEXMATCH(S153, ""Folha Online""), ""Folha Online"",
IF(REGEXMATCH(S153, ""FGV DIREITO SP|FGV Direito SP""), ""FGV DIREITO SP"",
IF(REGEXMATCH(S153, ""massacrecarandiru\.org\.br""), ""Memória Mas"&amp;"sacre Carandiru"",
IF(REGEXMATCH(S153, ""Itaú Cultural""), ""YouTube (Itaú Cultural)"",
IF(REGEXMATCH(S153, ""Passa Palavra""), ""Vimeo (Passa Palavra)"",
IF(REGEXMATCH(S153, ""rede2deoutubro\.blogspot""), ""Blogspot (Rede 02 de Outubro)"",
IF(REGEXMATCH("&amp;"S153, ""Rede TVT""), ""YouTube (Rede TVT)"",
IF(REGEXMATCH(S153, ""Esquerda Diário""), ""Esquerda Diário"",
IF(REGEXMATCH(S153, ""GZH""), ""GZH"",
IF(REGEXMATCH(S153, ""TVPUC""), ""TVPUC"",
IF(REGEXMATCH(S153, ""Mídia Ninja.*Facebook""), ""Facebook (Mídia"&amp;" Ninja)"",
IF(REGEXMATCH(S153, ""Memórias Carandiru.*Instagram""), ""Instagram (Memórias Carandiru)"",
IF(REGEXMATCH(S153, ""Frente pelo Desencarceramento SP""), ""YouTube (Frente Pelo Desencarceramento SP)"",
IF(REGEXMATCH(S153, ""TV ABA""), ""YouTube (T"&amp;"V ABA)"",
IF(REGEXMATCH(S153, ""TV SENADO""), ""YouTube (TV Senado)"",
IF(REGEXMATCH(S153, ""Google Arts &amp; Culture""), ""Google Arts &amp; Culture (Memória Massacre Carandiru)"",
IF(REGEXMATCH(S153, ""Anistia Internacional|ANISTIA INTERNACIONAL""), ""Anistia "&amp;"Internacional"",
IF(REGEXMATCH(S153, ""47\.mostra|47a Mostra""), ""47a Mostra Internacional de Cinema em São Paulo"",
IF(REGEXMATCH(S153, ""Canal USP""), ""YouTube (Canal USP)"",
IF(AND(
  REGEXMATCH(S153, ""(?i)(teses?\.usp\.br|dissertacoes?\.usp\.br|rep"&amp;"ositorio\.usp\.br)""),
  NOT(REGEXMATCH(S153, ""Canal USP""))
), ""Biblioteca Digital de Teses e Dissertações da USP"",
IF(REGEXMATCH(S153, ""SINTRAJUSC""), ""SINTRAJUSC"",
IF(REGEXMATCH(S153, ""Agência Brasil|Agencia Brasil""), ""Agência Brasil"",
IF(REG"&amp;"EXMATCH(S153, ""Brasil de Fato""), ""Brasil de Fato"",
IF(REGEXMATCH(S153, ""Ponte Jornalismo|pontejornalismo""), ""Ponte Jornalismo"",
IF(REGEXMATCH(S153, ""letras\.mus\.br|Letras,""), ""Letras"",
IF(REGEXMATCH(S153, ""YouTube|youtube""), 
   ""YouTube "&amp;"(""&amp;
   IF(REGEXMATCH(S153, ""Itaú Cultural""), ""Itaú Cultural"",
   IF(REGEXMATCH(S153, ""Rede TVT""), ""Rede TVT"",
   IF(REGEXMATCH(S153, ""Frente pelo Desencarceramento SP""), ""Frente Pelo Desencarceramento SP"",
   IF(REGEXMATCH(S153, ""TV ABA""), "&amp;"""TV ABA"",
   IF(REGEXMATCH(S153, ""TV SENADO""), ""TV Senado"",
   IF(REGEXMATCH(S153, ""Canal USP""), ""Canal USP"",
   IF(REGEXMATCH(S153, ""Douer, Zack|Zack Douer""), ""Douer Zack"",
   IF(REGEXMATCH(S153, ""PRISIONEIRO 84\.901|PRISIONEIRO 84""), ""P"&amp;"risioneiro 84.901"",
   IF(REGEXMATCH(S153, ""^[^,]*, ""), 
        PROPER(REGEXREPLACE(REGEXEXTRACT(S153, ""^([^.]*)\.""), ""^([^,]*), (.*)"", ""$2 $1"")),
        PROPER(REGEXEXTRACT(S153, ""^([^.]*)\.""))
   )))))))))&amp;"")"",
IF(REGEXMATCH(S153, ""Spot"&amp;"ify|spotify""), 
   ""Spotify (""&amp;
   IF(REGEXMATCH(S153, ""ESTRANHO SORRISO""), ""Estranho Sorriso"",
   PROPER(REGEXEXTRACT(S153, ""^([^.]*)\.""))
   )&amp;"")"",
IF(REGEXMATCH(S153, ""Vimeo|vimeo""), 
   ""Vimeo (""&amp;
   IF(REGEXMATCH(S153, ""Passa Palavra"&amp;"""), ""Passa Palavra"",
   PROPER(REGEXEXTRACT(S153, ""^([^.]*)\.""))
   )&amp;"")"",
IF(REGEXMATCH(S153, ""Blogspot""), 
   ""Blogspot (""&amp;
   IF(REGEXMATCH(S153, ""rede2deoutubro""), ""Rede 02 de Outubro"",
   PROPER(REGEXEXTRACT(S153, ""^([^.]*)\.""))
   "&amp;")&amp;"")"",
IF(REGEXMATCH(S153, ""Facebook""), 
   ""Facebook (""&amp;
   IF(REGEXMATCH(S153, ""Mídia Ninja""), ""Mídia Ninja"",
   PROPER(REGEXEXTRACT(S153, ""^([^.]*)\.""))
   )&amp;"")"",
IF(REGEXMATCH(S153, ""Instagram""), 
   ""Instagram (""&amp;
   IF(REGEXMATCH"&amp;"(S153, ""Memórias Carandiru""), ""Memórias Carandiru"",
   PROPER(REGEXEXTRACT(S153, ""^([^.]*)\.""))
   )&amp;"")"",
IF(REGEXMATCH(S153, ""Folha de S\. Paulo|FOLHA DE S\. PAULO""), ""Folha de S. Paulo"",
IF(REGEXMATCH(S153, ""O Estado de S\. Paulo|ESTADAO"""&amp;"), ""O Estado de S. Paulo"",
IF(REGEXMATCH(S153, ""salasecreta""), ""Wordpress (Sala Secreta)"",
IF(REGEXMATCH(S153, ""Wikipedia|Wikipédia|WIKIPÉDIA""), ""Wikipedia"",
IF(REGEXMATCH(S153, ""VEJA|Veja""), ""Veja Abril"",
IF(REGEXMATCH(S425, ""Rede Globo|RE"&amp;"DE GLOBO""), ""Rede Globo"",
IF(REGEXMATCH(S425, ""G1|globo\.com""), ""G1"",
IF(REGEXMATCH(S153, ""Deutsche Welle|DW\.com""), ""Deutsche Welle"",
IF(REGEXMATCH(S153, ""CIDH|Comissão Interamericana""), ""Comissão Interamericana de Direitos Humanos (CIDH)"""&amp;",
IF(REGEXMATCH(S153, ""Pastoral Carcerária""), ""Pastoral Carcerária"",
IF(REGEXMATCH(S153, ""Esquerda Web""), ""Esquerda Web"",
IF(REGEXMATCH(S153, ""ONU|Organização das Nações Unidas""), ""ONU Brasil"",
IF(REGEXMATCH(S153, ""Quilombo Invisível""), ""Qu"&amp;"ilombo Invisível"",
IF(REGEXMATCH(S153, ""ALESP|Assembleia Legislativa""), ""ALESP"",
IF(REGEXMATCH(S153, ""Revista Opera""), ""Revista Opera"",
IF(REGEXMATCH(S153, ""SP Escola de Teatro""), ""SP Escola de Teatro"",
IF(REGEXMATCH(S153, ""EMC|Espaço Memóri"&amp;"a Carandiru""), ""EMC Espaço Memória Carandiru"",
IF(REGEXMATCH(S153, ""^RAMOS, Nuno|Nuno Ramos""), ""Nuno Ramos"",
IF(REGEXMATCH(S153, ""^VELOSO, Caetano|Caetano Veloso""), ""YouTube (Caetano Veloso)"",
IF(REGEXMATCH(S153, ""^FATOS REAIS""), ""YouTube ("&amp;"Fatos Reais - Topic)"",
IF(REGEXMATCH(S153, ""^SALA SECRETA""), ""Wordpress (Sala Secreta)"",
PROPER(REGEXEXTRACT(S153, ""^([^.]*)\.""))
))))))))))))))))))))))))))))))))))))))))))))))))))))))))"),"Instagram (Memórias Carandiru)")</f>
        <v>Instagram (Memórias Carandiru)</v>
      </c>
      <c r="N153" s="11" t="s">
        <v>47</v>
      </c>
      <c r="O153" s="14" t="s">
        <v>149</v>
      </c>
      <c r="P153" s="186">
        <v>45857.0</v>
      </c>
      <c r="Q153" s="11" t="s">
        <v>154</v>
      </c>
      <c r="R153" s="70" t="str">
        <f t="shared" si="8"/>
        <v>Aqui</v>
      </c>
      <c r="S153" s="75" t="s">
        <v>828</v>
      </c>
    </row>
    <row r="154">
      <c r="A154" s="11">
        <v>152.0</v>
      </c>
      <c r="B154" s="14" t="s">
        <v>812</v>
      </c>
      <c r="C154" s="122" t="s">
        <v>165</v>
      </c>
      <c r="D154" s="13" t="str">
        <f>IFERROR(__xludf.DUMMYFUNCTION("IF(B154="""","""",IF(OR(
  REGEXMATCH(B154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REGEXMATCH(B154,""público|Imediato|artística|teatral|memória"")
),""Público Imediato"",
IF(REGEXMATCH(B154,""Música|Álbum|Filme|Documentário|Série|Podc"&amp;"ast|Rádio|Audiotour|Entrevista|Reportagem|Crônica|Relatório|Abaixo-assinado|Manifesto|Petição|Poema|Livro|Fotografia|Curta|Live|Webinário|Charge|Leitura pública|Vídeo""),
""Público Mediado"","""")))
"),"Público Imediato")</f>
        <v>Público Imediato</v>
      </c>
      <c r="E154" s="13" t="str">
        <f>IFERROR(__xludf.DUMMYFUNCTION("IF(B154="""","""",IF(OR(
  REGEXMATCH(B154,""Live|Webinário|Virtual""),
  REGEXMATCH(B154,""online"")
),""Virtual"",
IF(REGEXMATCH(B154,""Música|Álbum|Filme|Documentário|Série|Podcast|Rádio|Audiotour|Episódio|Reportagem|Curta|Charge|Livro|Vídeo|Entrevista"&amp;"""),
""Midiático"",
IF(REGEXMATCH(B154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4" s="186">
        <v>45194.0</v>
      </c>
      <c r="G154" s="15">
        <f t="shared" si="1"/>
        <v>2023</v>
      </c>
      <c r="H154" s="14" t="s">
        <v>820</v>
      </c>
      <c r="I154" s="175" t="s">
        <v>741</v>
      </c>
      <c r="J154" s="202" t="s">
        <v>829</v>
      </c>
      <c r="K154" s="16" t="s">
        <v>736</v>
      </c>
      <c r="L154" s="18" t="s">
        <v>489</v>
      </c>
      <c r="M154" s="15" t="str">
        <f>IFERROR(__xludf.DUMMYFUNCTION("IF(REGEXMATCH(S154, ""Companhia das Letras""), ""Companhia das Letras"",
IF(REGEXMATCH(S154, ""Labortexto Editorial""), ""Labortexto Editorial"",
IF(REGEXMATCH(S154, ""Geração Editorial""), ""Geração Editorial"",
IF(REGEXMATCH(S154, ""Editora Imprensa Ofi"&amp;"cial|Imprensa Oficial""), ""Editora Imprensa Oficial"",
IF(REGEXMATCH(S154, ""Folha Online""), ""Folha Online"",
IF(REGEXMATCH(S154, ""FGV DIREITO SP|FGV Direito SP""), ""FGV DIREITO SP"",
IF(REGEXMATCH(S154, ""massacrecarandiru\.org\.br""), ""Memória Mas"&amp;"sacre Carandiru"",
IF(REGEXMATCH(S154, ""Itaú Cultural""), ""YouTube (Itaú Cultural)"",
IF(REGEXMATCH(S154, ""Passa Palavra""), ""Vimeo (Passa Palavra)"",
IF(REGEXMATCH(S154, ""rede2deoutubro\.blogspot""), ""Blogspot (Rede 02 de Outubro)"",
IF(REGEXMATCH("&amp;"S154, ""Rede TVT""), ""YouTube (Rede TVT)"",
IF(REGEXMATCH(S154, ""Esquerda Diário""), ""Esquerda Diário"",
IF(REGEXMATCH(S154, ""GZH""), ""GZH"",
IF(REGEXMATCH(S154, ""TVPUC""), ""TVPUC"",
IF(REGEXMATCH(S154, ""Mídia Ninja.*Facebook""), ""Facebook (Mídia"&amp;" Ninja)"",
IF(REGEXMATCH(S154, ""Memórias Carandiru.*Instagram""), ""Instagram (Memórias Carandiru)"",
IF(REGEXMATCH(S154, ""Frente pelo Desencarceramento SP""), ""YouTube (Frente Pelo Desencarceramento SP)"",
IF(REGEXMATCH(S154, ""TV ABA""), ""YouTube (T"&amp;"V ABA)"",
IF(REGEXMATCH(S154, ""TV SENADO""), ""YouTube (TV Senado)"",
IF(REGEXMATCH(S154, ""Google Arts &amp; Culture""), ""Google Arts &amp; Culture (Memória Massacre Carandiru)"",
IF(REGEXMATCH(S154, ""Anistia Internacional|ANISTIA INTERNACIONAL""), ""Anistia "&amp;"Internacional"",
IF(REGEXMATCH(S154, ""47\.mostra|47a Mostra""), ""47a Mostra Internacional de Cinema em São Paulo"",
IF(REGEXMATCH(S154, ""Canal USP""), ""YouTube (Canal USP)"",
IF(AND(
  REGEXMATCH(S154, ""(?i)(teses?\.usp\.br|dissertacoes?\.usp\.br|rep"&amp;"ositorio\.usp\.br)""),
  NOT(REGEXMATCH(S154, ""Canal USP""))
), ""Biblioteca Digital de Teses e Dissertações da USP"",
IF(REGEXMATCH(S154, ""SINTRAJUSC""), ""SINTRAJUSC"",
IF(REGEXMATCH(S154, ""Agência Brasil|Agencia Brasil""), ""Agência Brasil"",
IF(REG"&amp;"EXMATCH(S154, ""Brasil de Fato""), ""Brasil de Fato"",
IF(REGEXMATCH(S154, ""Ponte Jornalismo|pontejornalismo""), ""Ponte Jornalismo"",
IF(REGEXMATCH(S154, ""letras\.mus\.br|Letras,""), ""Letras"",
IF(REGEXMATCH(S154, ""YouTube|youtube""), 
   ""YouTube "&amp;"(""&amp;
   IF(REGEXMATCH(S154, ""Itaú Cultural""), ""Itaú Cultural"",
   IF(REGEXMATCH(S154, ""Rede TVT""), ""Rede TVT"",
   IF(REGEXMATCH(S154, ""Frente pelo Desencarceramento SP""), ""Frente Pelo Desencarceramento SP"",
   IF(REGEXMATCH(S154, ""TV ABA""), "&amp;"""TV ABA"",
   IF(REGEXMATCH(S154, ""TV SENADO""), ""TV Senado"",
   IF(REGEXMATCH(S154, ""Canal USP""), ""Canal USP"",
   IF(REGEXMATCH(S154, ""Douer, Zack|Zack Douer""), ""Douer Zack"",
   IF(REGEXMATCH(S154, ""PRISIONEIRO 84\.901|PRISIONEIRO 84""), ""P"&amp;"risioneiro 84.901"",
   IF(REGEXMATCH(S154, ""^[^,]*, ""), 
        PROPER(REGEXREPLACE(REGEXEXTRACT(S154, ""^([^.]*)\.""), ""^([^,]*), (.*)"", ""$2 $1"")),
        PROPER(REGEXEXTRACT(S154, ""^([^.]*)\.""))
   )))))))))&amp;"")"",
IF(REGEXMATCH(S154, ""Spot"&amp;"ify|spotify""), 
   ""Spotify (""&amp;
   IF(REGEXMATCH(S154, ""ESTRANHO SORRISO""), ""Estranho Sorriso"",
   PROPER(REGEXEXTRACT(S154, ""^([^.]*)\.""))
   )&amp;"")"",
IF(REGEXMATCH(S154, ""Vimeo|vimeo""), 
   ""Vimeo (""&amp;
   IF(REGEXMATCH(S154, ""Passa Palavra"&amp;"""), ""Passa Palavra"",
   PROPER(REGEXEXTRACT(S154, ""^([^.]*)\.""))
   )&amp;"")"",
IF(REGEXMATCH(S154, ""Blogspot""), 
   ""Blogspot (""&amp;
   IF(REGEXMATCH(S154, ""rede2deoutubro""), ""Rede 02 de Outubro"",
   PROPER(REGEXEXTRACT(S154, ""^([^.]*)\.""))
   "&amp;")&amp;"")"",
IF(REGEXMATCH(S154, ""Facebook""), 
   ""Facebook (""&amp;
   IF(REGEXMATCH(S154, ""Mídia Ninja""), ""Mídia Ninja"",
   PROPER(REGEXEXTRACT(S154, ""^([^.]*)\.""))
   )&amp;"")"",
IF(REGEXMATCH(S154, ""Instagram""), 
   ""Instagram (""&amp;
   IF(REGEXMATCH"&amp;"(S154, ""Memórias Carandiru""), ""Memórias Carandiru"",
   PROPER(REGEXEXTRACT(S154, ""^([^.]*)\.""))
   )&amp;"")"",
IF(REGEXMATCH(S154, ""Folha de S\. Paulo|FOLHA DE S\. PAULO""), ""Folha de S. Paulo"",
IF(REGEXMATCH(S154, ""O Estado de S\. Paulo|ESTADAO"""&amp;"), ""O Estado de S. Paulo"",
IF(REGEXMATCH(S154, ""salasecreta""), ""Wordpress (Sala Secreta)"",
IF(REGEXMATCH(S154, ""Wikipedia|Wikipédia|WIKIPÉDIA""), ""Wikipedia"",
IF(REGEXMATCH(S154, ""VEJA|Veja""), ""Veja Abril"",
IF(REGEXMATCH(S426, ""Rede Globo|RE"&amp;"DE GLOBO""), ""Rede Globo"",
IF(REGEXMATCH(S426, ""G1|globo\.com""), ""G1"",
IF(REGEXMATCH(S154, ""Deutsche Welle|DW\.com""), ""Deutsche Welle"",
IF(REGEXMATCH(S154, ""CIDH|Comissão Interamericana""), ""Comissão Interamericana de Direitos Humanos (CIDH)"""&amp;",
IF(REGEXMATCH(S154, ""Pastoral Carcerária""), ""Pastoral Carcerária"",
IF(REGEXMATCH(S154, ""Esquerda Web""), ""Esquerda Web"",
IF(REGEXMATCH(S154, ""ONU|Organização das Nações Unidas""), ""ONU Brasil"",
IF(REGEXMATCH(S154, ""Quilombo Invisível""), ""Qu"&amp;"ilombo Invisível"",
IF(REGEXMATCH(S154, ""ALESP|Assembleia Legislativa""), ""ALESP"",
IF(REGEXMATCH(S154, ""Revista Opera""), ""Revista Opera"",
IF(REGEXMATCH(S154, ""SP Escola de Teatro""), ""SP Escola de Teatro"",
IF(REGEXMATCH(S154, ""EMC|Espaço Memóri"&amp;"a Carandiru""), ""EMC Espaço Memória Carandiru"",
IF(REGEXMATCH(S154, ""^RAMOS, Nuno|Nuno Ramos""), ""Nuno Ramos"",
IF(REGEXMATCH(S154, ""^VELOSO, Caetano|Caetano Veloso""), ""YouTube (Caetano Veloso)"",
IF(REGEXMATCH(S154, ""^FATOS REAIS""), ""YouTube ("&amp;"Fatos Reais - Topic)"",
IF(REGEXMATCH(S154, ""^SALA SECRETA""), ""Wordpress (Sala Secreta)"",
PROPER(REGEXEXTRACT(S154, ""^([^.]*)\.""))
))))))))))))))))))))))))))))))))))))))))))))))))))))))))"),"Instagram (Memórias Carandiru)")</f>
        <v>Instagram (Memórias Carandiru)</v>
      </c>
      <c r="N154" s="11" t="s">
        <v>47</v>
      </c>
      <c r="O154" s="14" t="s">
        <v>149</v>
      </c>
      <c r="P154" s="186">
        <v>45857.0</v>
      </c>
      <c r="Q154" s="11" t="s">
        <v>154</v>
      </c>
      <c r="R154" s="70" t="str">
        <f t="shared" si="8"/>
        <v>Aqui</v>
      </c>
      <c r="S154" s="75" t="s">
        <v>830</v>
      </c>
    </row>
    <row r="155">
      <c r="A155" s="11">
        <v>153.0</v>
      </c>
      <c r="B155" s="14" t="s">
        <v>748</v>
      </c>
      <c r="C155" s="122" t="s">
        <v>165</v>
      </c>
      <c r="D155" s="13" t="str">
        <f>IFERROR(__xludf.DUMMYFUNCTION("IF(B155="""","""",IF(OR(
  REGEXMATCH(B155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REGEXMATCH(B155,""público|Imediato|artística|teatral|memória"")
),""Público Imediato"",
IF(REGEXMATCH(B155,""Música|Álbum|Filme|Documentário|Série|Podc"&amp;"ast|Rádio|Audiotour|Entrevista|Reportagem|Crônica|Relatório|Abaixo-assinado|Manifesto|Petição|Poema|Livro|Fotografia|Curta|Live|Webinário|Charge|Leitura pública|Vídeo""),
""Público Mediado"","""")))
"),"Público Mediado")</f>
        <v>Público Mediado</v>
      </c>
      <c r="E155" s="13" t="str">
        <f>IFERROR(__xludf.DUMMYFUNCTION("IF(B155="""","""",IF(OR(
  REGEXMATCH(B155,""Live|Webinário|Virtual""),
  REGEXMATCH(B155,""online"")
),""Virtual"",
IF(REGEXMATCH(B155,""Música|Álbum|Filme|Documentário|Série|Podcast|Rádio|Audiotour|Episódio|Reportagem|Curta|Charge|Livro|Vídeo|Entrevista"&amp;"""),
""Midiático"",
IF(REGEXMATCH(B155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55" s="186">
        <v>45194.0</v>
      </c>
      <c r="G155" s="15">
        <f t="shared" si="1"/>
        <v>2023</v>
      </c>
      <c r="H155" s="181" t="s">
        <v>347</v>
      </c>
      <c r="I155" s="175" t="s">
        <v>831</v>
      </c>
      <c r="J155" s="202" t="s">
        <v>832</v>
      </c>
      <c r="K155" s="16" t="s">
        <v>736</v>
      </c>
      <c r="L155" s="18" t="s">
        <v>489</v>
      </c>
      <c r="M155" s="15" t="str">
        <f>IFERROR(__xludf.DUMMYFUNCTION("IF(REGEXMATCH(S155, ""Companhia das Letras""), ""Companhia das Letras"",
IF(REGEXMATCH(S155, ""Labortexto Editorial""), ""Labortexto Editorial"",
IF(REGEXMATCH(S155, ""Geração Editorial""), ""Geração Editorial"",
IF(REGEXMATCH(S155, ""Editora Imprensa Ofi"&amp;"cial|Imprensa Oficial""), ""Editora Imprensa Oficial"",
IF(REGEXMATCH(S155, ""Folha Online""), ""Folha Online"",
IF(REGEXMATCH(S155, ""FGV DIREITO SP|FGV Direito SP""), ""FGV DIREITO SP"",
IF(REGEXMATCH(S155, ""massacrecarandiru\.org\.br""), ""Memória Mas"&amp;"sacre Carandiru"",
IF(REGEXMATCH(S155, ""Itaú Cultural""), ""YouTube (Itaú Cultural)"",
IF(REGEXMATCH(S155, ""Passa Palavra""), ""Vimeo (Passa Palavra)"",
IF(REGEXMATCH(S155, ""rede2deoutubro\.blogspot""), ""Blogspot (Rede 02 de Outubro)"",
IF(REGEXMATCH("&amp;"S155, ""Rede TVT""), ""YouTube (Rede TVT)"",
IF(REGEXMATCH(S155, ""Esquerda Diário""), ""Esquerda Diário"",
IF(REGEXMATCH(S155, ""GZH""), ""GZH"",
IF(REGEXMATCH(S155, ""TVPUC""), ""TVPUC"",
IF(REGEXMATCH(S155, ""Mídia Ninja.*Facebook""), ""Facebook (Mídia"&amp;" Ninja)"",
IF(REGEXMATCH(S155, ""Memórias Carandiru.*Instagram""), ""Instagram (Memórias Carandiru)"",
IF(REGEXMATCH(S155, ""Frente pelo Desencarceramento SP""), ""YouTube (Frente Pelo Desencarceramento SP)"",
IF(REGEXMATCH(S155, ""TV ABA""), ""YouTube (T"&amp;"V ABA)"",
IF(REGEXMATCH(S155, ""TV SENADO""), ""YouTube (TV Senado)"",
IF(REGEXMATCH(S155, ""Google Arts &amp; Culture""), ""Google Arts &amp; Culture (Memória Massacre Carandiru)"",
IF(REGEXMATCH(S155, ""Anistia Internacional|ANISTIA INTERNACIONAL""), ""Anistia "&amp;"Internacional"",
IF(REGEXMATCH(S155, ""47\.mostra|47a Mostra""), ""47a Mostra Internacional de Cinema em São Paulo"",
IF(REGEXMATCH(S155, ""Canal USP""), ""YouTube (Canal USP)"",
IF(AND(
  REGEXMATCH(S155, ""(?i)(teses?\.usp\.br|dissertacoes?\.usp\.br|rep"&amp;"ositorio\.usp\.br)""),
  NOT(REGEXMATCH(S155, ""Canal USP""))
), ""Biblioteca Digital de Teses e Dissertações da USP"",
IF(REGEXMATCH(S155, ""SINTRAJUSC""), ""SINTRAJUSC"",
IF(REGEXMATCH(S155, ""Agência Brasil|Agencia Brasil""), ""Agência Brasil"",
IF(REG"&amp;"EXMATCH(S155, ""Brasil de Fato""), ""Brasil de Fato"",
IF(REGEXMATCH(S155, ""Ponte Jornalismo|pontejornalismo""), ""Ponte Jornalismo"",
IF(REGEXMATCH(S155, ""letras\.mus\.br|Letras,""), ""Letras"",
IF(REGEXMATCH(S155, ""YouTube|youtube""), 
   ""YouTube "&amp;"(""&amp;
   IF(REGEXMATCH(S155, ""Itaú Cultural""), ""Itaú Cultural"",
   IF(REGEXMATCH(S155, ""Rede TVT""), ""Rede TVT"",
   IF(REGEXMATCH(S155, ""Frente pelo Desencarceramento SP""), ""Frente Pelo Desencarceramento SP"",
   IF(REGEXMATCH(S155, ""TV ABA""), "&amp;"""TV ABA"",
   IF(REGEXMATCH(S155, ""TV SENADO""), ""TV Senado"",
   IF(REGEXMATCH(S155, ""Canal USP""), ""Canal USP"",
   IF(REGEXMATCH(S155, ""Douer, Zack|Zack Douer""), ""Douer Zack"",
   IF(REGEXMATCH(S155, ""PRISIONEIRO 84\.901|PRISIONEIRO 84""), ""P"&amp;"risioneiro 84.901"",
   IF(REGEXMATCH(S155, ""^[^,]*, ""), 
        PROPER(REGEXREPLACE(REGEXEXTRACT(S155, ""^([^.]*)\.""), ""^([^,]*), (.*)"", ""$2 $1"")),
        PROPER(REGEXEXTRACT(S155, ""^([^.]*)\.""))
   )))))))))&amp;"")"",
IF(REGEXMATCH(S155, ""Spot"&amp;"ify|spotify""), 
   ""Spotify (""&amp;
   IF(REGEXMATCH(S155, ""ESTRANHO SORRISO""), ""Estranho Sorriso"",
   PROPER(REGEXEXTRACT(S155, ""^([^.]*)\.""))
   )&amp;"")"",
IF(REGEXMATCH(S155, ""Vimeo|vimeo""), 
   ""Vimeo (""&amp;
   IF(REGEXMATCH(S155, ""Passa Palavra"&amp;"""), ""Passa Palavra"",
   PROPER(REGEXEXTRACT(S155, ""^([^.]*)\.""))
   )&amp;"")"",
IF(REGEXMATCH(S155, ""Blogspot""), 
   ""Blogspot (""&amp;
   IF(REGEXMATCH(S155, ""rede2deoutubro""), ""Rede 02 de Outubro"",
   PROPER(REGEXEXTRACT(S155, ""^([^.]*)\.""))
   "&amp;")&amp;"")"",
IF(REGEXMATCH(S155, ""Facebook""), 
   ""Facebook (""&amp;
   IF(REGEXMATCH(S155, ""Mídia Ninja""), ""Mídia Ninja"",
   PROPER(REGEXEXTRACT(S155, ""^([^.]*)\.""))
   )&amp;"")"",
IF(REGEXMATCH(S155, ""Instagram""), 
   ""Instagram (""&amp;
   IF(REGEXMATCH"&amp;"(S155, ""Memórias Carandiru""), ""Memórias Carandiru"",
   PROPER(REGEXEXTRACT(S155, ""^([^.]*)\.""))
   )&amp;"")"",
IF(REGEXMATCH(S155, ""Folha de S\. Paulo|FOLHA DE S\. PAULO""), ""Folha de S. Paulo"",
IF(REGEXMATCH(S155, ""O Estado de S\. Paulo|ESTADAO"""&amp;"), ""O Estado de S. Paulo"",
IF(REGEXMATCH(S155, ""salasecreta""), ""Wordpress (Sala Secreta)"",
IF(REGEXMATCH(S155, ""Wikipedia|Wikipédia|WIKIPÉDIA""), ""Wikipedia"",
IF(REGEXMATCH(S155, ""VEJA|Veja""), ""Veja Abril"",
IF(REGEXMATCH(S427, ""Rede Globo|RE"&amp;"DE GLOBO""), ""Rede Globo"",
IF(REGEXMATCH(S427, ""G1|globo\.com""), ""G1"",
IF(REGEXMATCH(S155, ""Deutsche Welle|DW\.com""), ""Deutsche Welle"",
IF(REGEXMATCH(S155, ""CIDH|Comissão Interamericana""), ""Comissão Interamericana de Direitos Humanos (CIDH)"""&amp;",
IF(REGEXMATCH(S155, ""Pastoral Carcerária""), ""Pastoral Carcerária"",
IF(REGEXMATCH(S155, ""Esquerda Web""), ""Esquerda Web"",
IF(REGEXMATCH(S155, ""ONU|Organização das Nações Unidas""), ""ONU Brasil"",
IF(REGEXMATCH(S155, ""Quilombo Invisível""), ""Qu"&amp;"ilombo Invisível"",
IF(REGEXMATCH(S155, ""ALESP|Assembleia Legislativa""), ""ALESP"",
IF(REGEXMATCH(S155, ""Revista Opera""), ""Revista Opera"",
IF(REGEXMATCH(S155, ""SP Escola de Teatro""), ""SP Escola de Teatro"",
IF(REGEXMATCH(S155, ""EMC|Espaço Memóri"&amp;"a Carandiru""), ""EMC Espaço Memória Carandiru"",
IF(REGEXMATCH(S155, ""^RAMOS, Nuno|Nuno Ramos""), ""Nuno Ramos"",
IF(REGEXMATCH(S155, ""^VELOSO, Caetano|Caetano Veloso""), ""YouTube (Caetano Veloso)"",
IF(REGEXMATCH(S155, ""^FATOS REAIS""), ""YouTube ("&amp;"Fatos Reais - Topic)"",
IF(REGEXMATCH(S155, ""^SALA SECRETA""), ""Wordpress (Sala Secreta)"",
PROPER(REGEXEXTRACT(S155, ""^([^.]*)\.""))
))))))))))))))))))))))))))))))))))))))))))))))))))))))))"),"Instagram (Memórias Carandiru)")</f>
        <v>Instagram (Memórias Carandiru)</v>
      </c>
      <c r="N155" s="11" t="s">
        <v>47</v>
      </c>
      <c r="O155" s="14" t="s">
        <v>149</v>
      </c>
      <c r="P155" s="186">
        <v>45857.0</v>
      </c>
      <c r="Q155" s="11" t="s">
        <v>154</v>
      </c>
      <c r="R155" s="70" t="str">
        <f t="shared" si="8"/>
        <v>Aqui</v>
      </c>
      <c r="S155" s="75" t="s">
        <v>833</v>
      </c>
    </row>
    <row r="156">
      <c r="A156" s="11">
        <v>154.0</v>
      </c>
      <c r="B156" s="14" t="s">
        <v>815</v>
      </c>
      <c r="C156" s="122" t="s">
        <v>165</v>
      </c>
      <c r="D156" s="13" t="str">
        <f>IFERROR(__xludf.DUMMYFUNCTION("IF(B156="""","""",IF(OR(
  REGEXMATCH(B156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REGEXMATCH(B156,""público|Imediato|artística|teatral|memória"")
),""Público Imediato"",
IF(REGEXMATCH(B156,""Música|Álbum|Filme|Documentário|Série|Podc"&amp;"ast|Rádio|Audiotour|Entrevista|Reportagem|Crônica|Relatório|Abaixo-assinado|Manifesto|Petição|Poema|Livro|Fotografia|Curta|Live|Webinário|Charge|Leitura pública|Vídeo""),
""Público Mediado"","""")))
"),"Público Imediato")</f>
        <v>Público Imediato</v>
      </c>
      <c r="E156" s="13" t="str">
        <f>IFERROR(__xludf.DUMMYFUNCTION("IF(B156="""","""",IF(OR(
  REGEXMATCH(B156,""Live|Webinário|Virtual""),
  REGEXMATCH(B156,""online"")
),""Virtual"",
IF(REGEXMATCH(B156,""Música|Álbum|Filme|Documentário|Série|Podcast|Rádio|Audiotour|Episódio|Reportagem|Curta|Charge|Livro|Vídeo|Entrevista"&amp;"""),
""Midiático"",
IF(REGEXMATCH(B156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6" s="186">
        <v>45218.0</v>
      </c>
      <c r="G156" s="15">
        <f t="shared" si="1"/>
        <v>2023</v>
      </c>
      <c r="H156" s="14" t="s">
        <v>733</v>
      </c>
      <c r="I156" s="175" t="s">
        <v>741</v>
      </c>
      <c r="J156" s="202" t="s">
        <v>834</v>
      </c>
      <c r="K156" s="16" t="s">
        <v>736</v>
      </c>
      <c r="L156" s="18" t="s">
        <v>489</v>
      </c>
      <c r="M156" s="15" t="str">
        <f>IFERROR(__xludf.DUMMYFUNCTION("IF(REGEXMATCH(S156, ""Companhia das Letras""), ""Companhia das Letras"",
IF(REGEXMATCH(S156, ""Labortexto Editorial""), ""Labortexto Editorial"",
IF(REGEXMATCH(S156, ""Geração Editorial""), ""Geração Editorial"",
IF(REGEXMATCH(S156, ""Editora Imprensa Ofi"&amp;"cial|Imprensa Oficial""), ""Editora Imprensa Oficial"",
IF(REGEXMATCH(S156, ""Folha Online""), ""Folha Online"",
IF(REGEXMATCH(S156, ""FGV DIREITO SP|FGV Direito SP""), ""FGV DIREITO SP"",
IF(REGEXMATCH(S156, ""massacrecarandiru\.org\.br""), ""Memória Mas"&amp;"sacre Carandiru"",
IF(REGEXMATCH(S156, ""Itaú Cultural""), ""YouTube (Itaú Cultural)"",
IF(REGEXMATCH(S156, ""Passa Palavra""), ""Vimeo (Passa Palavra)"",
IF(REGEXMATCH(S156, ""rede2deoutubro\.blogspot""), ""Blogspot (Rede 02 de Outubro)"",
IF(REGEXMATCH("&amp;"S156, ""Rede TVT""), ""YouTube (Rede TVT)"",
IF(REGEXMATCH(S156, ""Esquerda Diário""), ""Esquerda Diário"",
IF(REGEXMATCH(S156, ""GZH""), ""GZH"",
IF(REGEXMATCH(S156, ""TVPUC""), ""TVPUC"",
IF(REGEXMATCH(S156, ""Mídia Ninja.*Facebook""), ""Facebook (Mídia"&amp;" Ninja)"",
IF(REGEXMATCH(S156, ""Memórias Carandiru.*Instagram""), ""Instagram (Memórias Carandiru)"",
IF(REGEXMATCH(S156, ""Frente pelo Desencarceramento SP""), ""YouTube (Frente Pelo Desencarceramento SP)"",
IF(REGEXMATCH(S156, ""TV ABA""), ""YouTube (T"&amp;"V ABA)"",
IF(REGEXMATCH(S156, ""TV SENADO""), ""YouTube (TV Senado)"",
IF(REGEXMATCH(S156, ""Google Arts &amp; Culture""), ""Google Arts &amp; Culture (Memória Massacre Carandiru)"",
IF(REGEXMATCH(S156, ""Anistia Internacional|ANISTIA INTERNACIONAL""), ""Anistia "&amp;"Internacional"",
IF(REGEXMATCH(S156, ""47\.mostra|47a Mostra""), ""47a Mostra Internacional de Cinema em São Paulo"",
IF(REGEXMATCH(S156, ""Canal USP""), ""YouTube (Canal USP)"",
IF(AND(
  REGEXMATCH(S156, ""(?i)(teses?\.usp\.br|dissertacoes?\.usp\.br|rep"&amp;"ositorio\.usp\.br)""),
  NOT(REGEXMATCH(S156, ""Canal USP""))
), ""Biblioteca Digital de Teses e Dissertações da USP"",
IF(REGEXMATCH(S156, ""SINTRAJUSC""), ""SINTRAJUSC"",
IF(REGEXMATCH(S156, ""Agência Brasil|Agencia Brasil""), ""Agência Brasil"",
IF(REG"&amp;"EXMATCH(S156, ""Brasil de Fato""), ""Brasil de Fato"",
IF(REGEXMATCH(S156, ""Ponte Jornalismo|pontejornalismo""), ""Ponte Jornalismo"",
IF(REGEXMATCH(S156, ""letras\.mus\.br|Letras,""), ""Letras"",
IF(REGEXMATCH(S156, ""YouTube|youtube""), 
   ""YouTube "&amp;"(""&amp;
   IF(REGEXMATCH(S156, ""Itaú Cultural""), ""Itaú Cultural"",
   IF(REGEXMATCH(S156, ""Rede TVT""), ""Rede TVT"",
   IF(REGEXMATCH(S156, ""Frente pelo Desencarceramento SP""), ""Frente Pelo Desencarceramento SP"",
   IF(REGEXMATCH(S156, ""TV ABA""), "&amp;"""TV ABA"",
   IF(REGEXMATCH(S156, ""TV SENADO""), ""TV Senado"",
   IF(REGEXMATCH(S156, ""Canal USP""), ""Canal USP"",
   IF(REGEXMATCH(S156, ""Douer, Zack|Zack Douer""), ""Douer Zack"",
   IF(REGEXMATCH(S156, ""PRISIONEIRO 84\.901|PRISIONEIRO 84""), ""P"&amp;"risioneiro 84.901"",
   IF(REGEXMATCH(S156, ""^[^,]*, ""), 
        PROPER(REGEXREPLACE(REGEXEXTRACT(S156, ""^([^.]*)\.""), ""^([^,]*), (.*)"", ""$2 $1"")),
        PROPER(REGEXEXTRACT(S156, ""^([^.]*)\.""))
   )))))))))&amp;"")"",
IF(REGEXMATCH(S156, ""Spot"&amp;"ify|spotify""), 
   ""Spotify (""&amp;
   IF(REGEXMATCH(S156, ""ESTRANHO SORRISO""), ""Estranho Sorriso"",
   PROPER(REGEXEXTRACT(S156, ""^([^.]*)\.""))
   )&amp;"")"",
IF(REGEXMATCH(S156, ""Vimeo|vimeo""), 
   ""Vimeo (""&amp;
   IF(REGEXMATCH(S156, ""Passa Palavra"&amp;"""), ""Passa Palavra"",
   PROPER(REGEXEXTRACT(S156, ""^([^.]*)\.""))
   )&amp;"")"",
IF(REGEXMATCH(S156, ""Blogspot""), 
   ""Blogspot (""&amp;
   IF(REGEXMATCH(S156, ""rede2deoutubro""), ""Rede 02 de Outubro"",
   PROPER(REGEXEXTRACT(S156, ""^([^.]*)\.""))
   "&amp;")&amp;"")"",
IF(REGEXMATCH(S156, ""Facebook""), 
   ""Facebook (""&amp;
   IF(REGEXMATCH(S156, ""Mídia Ninja""), ""Mídia Ninja"",
   PROPER(REGEXEXTRACT(S156, ""^([^.]*)\.""))
   )&amp;"")"",
IF(REGEXMATCH(S156, ""Instagram""), 
   ""Instagram (""&amp;
   IF(REGEXMATCH"&amp;"(S156, ""Memórias Carandiru""), ""Memórias Carandiru"",
   PROPER(REGEXEXTRACT(S156, ""^([^.]*)\.""))
   )&amp;"")"",
IF(REGEXMATCH(S156, ""Folha de S\. Paulo|FOLHA DE S\. PAULO""), ""Folha de S. Paulo"",
IF(REGEXMATCH(S156, ""O Estado de S\. Paulo|ESTADAO"""&amp;"), ""O Estado de S. Paulo"",
IF(REGEXMATCH(S156, ""salasecreta""), ""Wordpress (Sala Secreta)"",
IF(REGEXMATCH(S156, ""Wikipedia|Wikipédia|WIKIPÉDIA""), ""Wikipedia"",
IF(REGEXMATCH(S156, ""VEJA|Veja""), ""Veja Abril"",
IF(REGEXMATCH(S428, ""Rede Globo|RE"&amp;"DE GLOBO""), ""Rede Globo"",
IF(REGEXMATCH(S428, ""G1|globo\.com""), ""G1"",
IF(REGEXMATCH(S156, ""Deutsche Welle|DW\.com""), ""Deutsche Welle"",
IF(REGEXMATCH(S156, ""CIDH|Comissão Interamericana""), ""Comissão Interamericana de Direitos Humanos (CIDH)"""&amp;",
IF(REGEXMATCH(S156, ""Pastoral Carcerária""), ""Pastoral Carcerária"",
IF(REGEXMATCH(S156, ""Esquerda Web""), ""Esquerda Web"",
IF(REGEXMATCH(S156, ""ONU|Organização das Nações Unidas""), ""ONU Brasil"",
IF(REGEXMATCH(S156, ""Quilombo Invisível""), ""Qu"&amp;"ilombo Invisível"",
IF(REGEXMATCH(S156, ""ALESP|Assembleia Legislativa""), ""ALESP"",
IF(REGEXMATCH(S156, ""Revista Opera""), ""Revista Opera"",
IF(REGEXMATCH(S156, ""SP Escola de Teatro""), ""SP Escola de Teatro"",
IF(REGEXMATCH(S156, ""EMC|Espaço Memóri"&amp;"a Carandiru""), ""EMC Espaço Memória Carandiru"",
IF(REGEXMATCH(S156, ""^RAMOS, Nuno|Nuno Ramos""), ""Nuno Ramos"",
IF(REGEXMATCH(S156, ""^VELOSO, Caetano|Caetano Veloso""), ""YouTube (Caetano Veloso)"",
IF(REGEXMATCH(S156, ""^FATOS REAIS""), ""YouTube ("&amp;"Fatos Reais - Topic)"",
IF(REGEXMATCH(S156, ""^SALA SECRETA""), ""Wordpress (Sala Secreta)"",
PROPER(REGEXEXTRACT(S156, ""^([^.]*)\.""))
))))))))))))))))))))))))))))))))))))))))))))))))))))))))"),"Instagram (Memórias Carandiru)")</f>
        <v>Instagram (Memórias Carandiru)</v>
      </c>
      <c r="N156" s="11" t="s">
        <v>47</v>
      </c>
      <c r="O156" s="14" t="s">
        <v>149</v>
      </c>
      <c r="P156" s="186">
        <v>45857.0</v>
      </c>
      <c r="Q156" s="11" t="s">
        <v>154</v>
      </c>
      <c r="R156" s="70" t="str">
        <f t="shared" si="8"/>
        <v>Aqui</v>
      </c>
      <c r="S156" s="75" t="s">
        <v>835</v>
      </c>
    </row>
    <row r="157">
      <c r="A157" s="11">
        <v>155.0</v>
      </c>
      <c r="B157" s="11" t="s">
        <v>836</v>
      </c>
      <c r="C157" s="122" t="s">
        <v>165</v>
      </c>
      <c r="D157" s="13" t="str">
        <f>IFERROR(__xludf.DUMMYFUNCTION("IF(B157="""","""",IF(OR(
  REGEXMATCH(B157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REGEXMATCH(B157,""público|Imediato|artística|teatral|memória"")
),""Público Imediato"",
IF(REGEXMATCH(B157,""Música|Álbum|Filme|Documentário|Série|Podc"&amp;"ast|Rádio|Audiotour|Entrevista|Reportagem|Crônica|Relatório|Abaixo-assinado|Manifesto|Petição|Poema|Livro|Fotografia|Curta|Live|Webinário|Charge|Leitura pública|Vídeo""),
""Público Mediado"","""")))
"),"Público Imediato")</f>
        <v>Público Imediato</v>
      </c>
      <c r="E157" s="13" t="str">
        <f>IFERROR(__xludf.DUMMYFUNCTION("IF(B157="""","""",IF(OR(
  REGEXMATCH(B157,""Live|Webinário|Virtual""),
  REGEXMATCH(B157,""online"")
),""Virtual"",
IF(REGEXMATCH(B157,""Música|Álbum|Filme|Documentário|Série|Podcast|Rádio|Audiotour|Episódio|Reportagem|Curta|Charge|Livro|Vídeo|Entrevista"&amp;"""),
""Midiático"",
IF(REGEXMATCH(B157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7" s="178">
        <v>45223.0</v>
      </c>
      <c r="G157" s="15">
        <f t="shared" si="1"/>
        <v>2023</v>
      </c>
      <c r="H157" s="11" t="s">
        <v>837</v>
      </c>
      <c r="I157" s="16" t="s">
        <v>838</v>
      </c>
      <c r="J157" s="17" t="s">
        <v>839</v>
      </c>
      <c r="K157" s="16" t="s">
        <v>696</v>
      </c>
      <c r="L157" s="18" t="s">
        <v>489</v>
      </c>
      <c r="M157" s="15" t="str">
        <f>IFERROR(__xludf.DUMMYFUNCTION("IF(REGEXMATCH(S157, ""Companhia das Letras""), ""Companhia das Letras"",
IF(REGEXMATCH(S157, ""Labortexto Editorial""), ""Labortexto Editorial"",
IF(REGEXMATCH(S157, ""Geração Editorial""), ""Geração Editorial"",
IF(REGEXMATCH(S157, ""Editora Imprensa Ofi"&amp;"cial|Imprensa Oficial""), ""Editora Imprensa Oficial"",
IF(REGEXMATCH(S157, ""Folha Online""), ""Folha Online"",
IF(REGEXMATCH(S157, ""FGV DIREITO SP|FGV Direito SP""), ""FGV DIREITO SP"",
IF(REGEXMATCH(S157, ""massacrecarandiru\.org\.br""), ""Memória Mas"&amp;"sacre Carandiru"",
IF(REGEXMATCH(S157, ""Itaú Cultural""), ""YouTube (Itaú Cultural)"",
IF(REGEXMATCH(S157, ""Passa Palavra""), ""Vimeo (Passa Palavra)"",
IF(REGEXMATCH(S157, ""rede2deoutubro\.blogspot""), ""Blogspot (Rede 02 de Outubro)"",
IF(REGEXMATCH("&amp;"S157, ""Rede TVT""), ""YouTube (Rede TVT)"",
IF(REGEXMATCH(S157, ""Esquerda Diário""), ""Esquerda Diário"",
IF(REGEXMATCH(S157, ""GZH""), ""GZH"",
IF(REGEXMATCH(S157, ""TVPUC""), ""TVPUC"",
IF(REGEXMATCH(S157, ""Mídia Ninja.*Facebook""), ""Facebook (Mídia"&amp;" Ninja)"",
IF(REGEXMATCH(S157, ""Memórias Carandiru.*Instagram""), ""Instagram (Memórias Carandiru)"",
IF(REGEXMATCH(S157, ""Frente pelo Desencarceramento SP""), ""YouTube (Frente Pelo Desencarceramento SP)"",
IF(REGEXMATCH(S157, ""TV ABA""), ""YouTube (T"&amp;"V ABA)"",
IF(REGEXMATCH(S157, ""TV SENADO""), ""YouTube (TV Senado)"",
IF(REGEXMATCH(S157, ""Google Arts &amp; Culture""), ""Google Arts &amp; Culture (Memória Massacre Carandiru)"",
IF(REGEXMATCH(S157, ""Anistia Internacional|ANISTIA INTERNACIONAL""), ""Anistia "&amp;"Internacional"",
IF(REGEXMATCH(S157, ""47\.mostra|47a Mostra""), ""47a Mostra Internacional de Cinema em São Paulo"",
IF(REGEXMATCH(S157, ""Canal USP""), ""YouTube (Canal USP)"",
IF(AND(
  REGEXMATCH(S157, ""(?i)(teses?\.usp\.br|dissertacoes?\.usp\.br|rep"&amp;"ositorio\.usp\.br)""),
  NOT(REGEXMATCH(S157, ""Canal USP""))
), ""Biblioteca Digital de Teses e Dissertações da USP"",
IF(REGEXMATCH(S157, ""SINTRAJUSC""), ""SINTRAJUSC"",
IF(REGEXMATCH(S157, ""Agência Brasil|Agencia Brasil""), ""Agência Brasil"",
IF(REG"&amp;"EXMATCH(S157, ""Brasil de Fato""), ""Brasil de Fato"",
IF(REGEXMATCH(S157, ""Ponte Jornalismo|pontejornalismo""), ""Ponte Jornalismo"",
IF(REGEXMATCH(S157, ""letras\.mus\.br|Letras,""), ""Letras"",
IF(REGEXMATCH(S157, ""YouTube|youtube""), 
   ""YouTube "&amp;"(""&amp;
   IF(REGEXMATCH(S157, ""Itaú Cultural""), ""Itaú Cultural"",
   IF(REGEXMATCH(S157, ""Rede TVT""), ""Rede TVT"",
   IF(REGEXMATCH(S157, ""Frente pelo Desencarceramento SP""), ""Frente Pelo Desencarceramento SP"",
   IF(REGEXMATCH(S157, ""TV ABA""), "&amp;"""TV ABA"",
   IF(REGEXMATCH(S157, ""TV SENADO""), ""TV Senado"",
   IF(REGEXMATCH(S157, ""Canal USP""), ""Canal USP"",
   IF(REGEXMATCH(S157, ""Douer, Zack|Zack Douer""), ""Douer Zack"",
   IF(REGEXMATCH(S157, ""PRISIONEIRO 84\.901|PRISIONEIRO 84""), ""P"&amp;"risioneiro 84.901"",
   IF(REGEXMATCH(S157, ""^[^,]*, ""), 
        PROPER(REGEXREPLACE(REGEXEXTRACT(S157, ""^([^.]*)\.""), ""^([^,]*), (.*)"", ""$2 $1"")),
        PROPER(REGEXEXTRACT(S157, ""^([^.]*)\.""))
   )))))))))&amp;"")"",
IF(REGEXMATCH(S157, ""Spot"&amp;"ify|spotify""), 
   ""Spotify (""&amp;
   IF(REGEXMATCH(S157, ""ESTRANHO SORRISO""), ""Estranho Sorriso"",
   PROPER(REGEXEXTRACT(S157, ""^([^.]*)\.""))
   )&amp;"")"",
IF(REGEXMATCH(S157, ""Vimeo|vimeo""), 
   ""Vimeo (""&amp;
   IF(REGEXMATCH(S157, ""Passa Palavra"&amp;"""), ""Passa Palavra"",
   PROPER(REGEXEXTRACT(S157, ""^([^.]*)\.""))
   )&amp;"")"",
IF(REGEXMATCH(S157, ""Blogspot""), 
   ""Blogspot (""&amp;
   IF(REGEXMATCH(S157, ""rede2deoutubro""), ""Rede 02 de Outubro"",
   PROPER(REGEXEXTRACT(S157, ""^([^.]*)\.""))
   "&amp;")&amp;"")"",
IF(REGEXMATCH(S157, ""Facebook""), 
   ""Facebook (""&amp;
   IF(REGEXMATCH(S157, ""Mídia Ninja""), ""Mídia Ninja"",
   PROPER(REGEXEXTRACT(S157, ""^([^.]*)\.""))
   )&amp;"")"",
IF(REGEXMATCH(S157, ""Instagram""), 
   ""Instagram (""&amp;
   IF(REGEXMATCH"&amp;"(S157, ""Memórias Carandiru""), ""Memórias Carandiru"",
   PROPER(REGEXEXTRACT(S157, ""^([^.]*)\.""))
   )&amp;"")"",
IF(REGEXMATCH(S157, ""Folha de S\. Paulo|FOLHA DE S\. PAULO""), ""Folha de S. Paulo"",
IF(REGEXMATCH(S157, ""O Estado de S\. Paulo|ESTADAO"""&amp;"), ""O Estado de S. Paulo"",
IF(REGEXMATCH(S157, ""salasecreta""), ""Wordpress (Sala Secreta)"",
IF(REGEXMATCH(S157, ""Wikipedia|Wikipédia|WIKIPÉDIA""), ""Wikipedia"",
IF(REGEXMATCH(S157, ""VEJA|Veja""), ""Veja Abril"",
IF(REGEXMATCH(S429, ""Rede Globo|RE"&amp;"DE GLOBO""), ""Rede Globo"",
IF(REGEXMATCH(S429, ""G1|globo\.com""), ""G1"",
IF(REGEXMATCH(S157, ""Deutsche Welle|DW\.com""), ""Deutsche Welle"",
IF(REGEXMATCH(S157, ""CIDH|Comissão Interamericana""), ""Comissão Interamericana de Direitos Humanos (CIDH)"""&amp;",
IF(REGEXMATCH(S157, ""Pastoral Carcerária""), ""Pastoral Carcerária"",
IF(REGEXMATCH(S157, ""Esquerda Web""), ""Esquerda Web"",
IF(REGEXMATCH(S157, ""ONU|Organização das Nações Unidas""), ""ONU Brasil"",
IF(REGEXMATCH(S157, ""Quilombo Invisível""), ""Qu"&amp;"ilombo Invisível"",
IF(REGEXMATCH(S157, ""ALESP|Assembleia Legislativa""), ""ALESP"",
IF(REGEXMATCH(S157, ""Revista Opera""), ""Revista Opera"",
IF(REGEXMATCH(S157, ""SP Escola de Teatro""), ""SP Escola de Teatro"",
IF(REGEXMATCH(S157, ""EMC|Espaço Memóri"&amp;"a Carandiru""), ""EMC Espaço Memória Carandiru"",
IF(REGEXMATCH(S157, ""^RAMOS, Nuno|Nuno Ramos""), ""Nuno Ramos"",
IF(REGEXMATCH(S157, ""^VELOSO, Caetano|Caetano Veloso""), ""YouTube (Caetano Veloso)"",
IF(REGEXMATCH(S157, ""^FATOS REAIS""), ""YouTube ("&amp;"Fatos Reais - Topic)"",
IF(REGEXMATCH(S157, ""^SALA SECRETA""), ""Wordpress (Sala Secreta)"",
PROPER(REGEXEXTRACT(S157, ""^([^.]*)\.""))
))))))))))))))))))))))))))))))))))))))))))))))))))))))))"),"ALESP")</f>
        <v>ALESP</v>
      </c>
      <c r="N157" s="11" t="s">
        <v>47</v>
      </c>
      <c r="O157" s="11" t="s">
        <v>149</v>
      </c>
      <c r="P157" s="51">
        <v>45855.0</v>
      </c>
      <c r="Q157" s="11" t="s">
        <v>154</v>
      </c>
      <c r="R157" s="70" t="str">
        <f t="shared" si="8"/>
        <v>Aqui</v>
      </c>
      <c r="S157" s="180" t="s">
        <v>840</v>
      </c>
    </row>
    <row r="158">
      <c r="A158" s="11">
        <v>156.0</v>
      </c>
      <c r="B158" s="14" t="s">
        <v>841</v>
      </c>
      <c r="C158" s="122" t="s">
        <v>165</v>
      </c>
      <c r="D158" s="13" t="str">
        <f>IFERROR(__xludf.DUMMYFUNCTION("IF(B158="""","""",IF(OR(
  REGEXMATCH(B158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REGEXMATCH(B158,""público|Imediato|artística|teatral|memória"")
),""Público Imediato"",
IF(REGEXMATCH(B158,""Música|Álbum|Filme|Documentário|Série|Podc"&amp;"ast|Rádio|Audiotour|Entrevista|Reportagem|Crônica|Relatório|Abaixo-assinado|Manifesto|Petição|Poema|Livro|Fotografia|Curta|Live|Webinário|Charge|Leitura pública|Vídeo""),
""Público Mediado"","""")))
"),"Público Imediato")</f>
        <v>Público Imediato</v>
      </c>
      <c r="E158" s="13" t="str">
        <f>IFERROR(__xludf.DUMMYFUNCTION("IF(B158="""","""",IF(OR(
  REGEXMATCH(B158,""Live|Webinário|Virtual""),
  REGEXMATCH(B158,""online"")
),""Virtual"",
IF(REGEXMATCH(B158,""Música|Álbum|Filme|Documentário|Série|Podcast|Rádio|Audiotour|Episódio|Reportagem|Curta|Charge|Livro|Vídeo|Entrevista"&amp;"""),
""Midiático"",
IF(REGEXMATCH(B158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8" s="186">
        <v>45265.0</v>
      </c>
      <c r="G158" s="15">
        <f t="shared" si="1"/>
        <v>2023</v>
      </c>
      <c r="H158" s="14" t="s">
        <v>842</v>
      </c>
      <c r="I158" s="175" t="s">
        <v>741</v>
      </c>
      <c r="J158" s="202" t="s">
        <v>843</v>
      </c>
      <c r="K158" s="16" t="s">
        <v>736</v>
      </c>
      <c r="L158" s="18" t="s">
        <v>489</v>
      </c>
      <c r="M158" s="15" t="str">
        <f>IFERROR(__xludf.DUMMYFUNCTION("IF(REGEXMATCH(S158, ""Companhia das Letras""), ""Companhia das Letras"",
IF(REGEXMATCH(S158, ""Labortexto Editorial""), ""Labortexto Editorial"",
IF(REGEXMATCH(S158, ""Geração Editorial""), ""Geração Editorial"",
IF(REGEXMATCH(S158, ""Editora Imprensa Ofi"&amp;"cial|Imprensa Oficial""), ""Editora Imprensa Oficial"",
IF(REGEXMATCH(S158, ""Folha Online""), ""Folha Online"",
IF(REGEXMATCH(S158, ""FGV DIREITO SP|FGV Direito SP""), ""FGV DIREITO SP"",
IF(REGEXMATCH(S158, ""massacrecarandiru\.org\.br""), ""Memória Mas"&amp;"sacre Carandiru"",
IF(REGEXMATCH(S158, ""Itaú Cultural""), ""YouTube (Itaú Cultural)"",
IF(REGEXMATCH(S158, ""Passa Palavra""), ""Vimeo (Passa Palavra)"",
IF(REGEXMATCH(S158, ""rede2deoutubro\.blogspot""), ""Blogspot (Rede 02 de Outubro)"",
IF(REGEXMATCH("&amp;"S158, ""Rede TVT""), ""YouTube (Rede TVT)"",
IF(REGEXMATCH(S158, ""Esquerda Diário""), ""Esquerda Diário"",
IF(REGEXMATCH(S158, ""GZH""), ""GZH"",
IF(REGEXMATCH(S158, ""TVPUC""), ""TVPUC"",
IF(REGEXMATCH(S158, ""Mídia Ninja.*Facebook""), ""Facebook (Mídia"&amp;" Ninja)"",
IF(REGEXMATCH(S158, ""Memórias Carandiru.*Instagram""), ""Instagram (Memórias Carandiru)"",
IF(REGEXMATCH(S158, ""Frente pelo Desencarceramento SP""), ""YouTube (Frente Pelo Desencarceramento SP)"",
IF(REGEXMATCH(S158, ""TV ABA""), ""YouTube (T"&amp;"V ABA)"",
IF(REGEXMATCH(S158, ""TV SENADO""), ""YouTube (TV Senado)"",
IF(REGEXMATCH(S158, ""Google Arts &amp; Culture""), ""Google Arts &amp; Culture (Memória Massacre Carandiru)"",
IF(REGEXMATCH(S158, ""Anistia Internacional|ANISTIA INTERNACIONAL""), ""Anistia "&amp;"Internacional"",
IF(REGEXMATCH(S158, ""47\.mostra|47a Mostra""), ""47a Mostra Internacional de Cinema em São Paulo"",
IF(REGEXMATCH(S158, ""Canal USP""), ""YouTube (Canal USP)"",
IF(AND(
  REGEXMATCH(S158, ""(?i)(teses?\.usp\.br|dissertacoes?\.usp\.br|rep"&amp;"ositorio\.usp\.br)""),
  NOT(REGEXMATCH(S158, ""Canal USP""))
), ""Biblioteca Digital de Teses e Dissertações da USP"",
IF(REGEXMATCH(S158, ""SINTRAJUSC""), ""SINTRAJUSC"",
IF(REGEXMATCH(S158, ""Agência Brasil|Agencia Brasil""), ""Agência Brasil"",
IF(REG"&amp;"EXMATCH(S158, ""Brasil de Fato""), ""Brasil de Fato"",
IF(REGEXMATCH(S158, ""Ponte Jornalismo|pontejornalismo""), ""Ponte Jornalismo"",
IF(REGEXMATCH(S158, ""letras\.mus\.br|Letras,""), ""Letras"",
IF(REGEXMATCH(S158, ""YouTube|youtube""), 
   ""YouTube "&amp;"(""&amp;
   IF(REGEXMATCH(S158, ""Itaú Cultural""), ""Itaú Cultural"",
   IF(REGEXMATCH(S158, ""Rede TVT""), ""Rede TVT"",
   IF(REGEXMATCH(S158, ""Frente pelo Desencarceramento SP""), ""Frente Pelo Desencarceramento SP"",
   IF(REGEXMATCH(S158, ""TV ABA""), "&amp;"""TV ABA"",
   IF(REGEXMATCH(S158, ""TV SENADO""), ""TV Senado"",
   IF(REGEXMATCH(S158, ""Canal USP""), ""Canal USP"",
   IF(REGEXMATCH(S158, ""Douer, Zack|Zack Douer""), ""Douer Zack"",
   IF(REGEXMATCH(S158, ""PRISIONEIRO 84\.901|PRISIONEIRO 84""), ""P"&amp;"risioneiro 84.901"",
   IF(REGEXMATCH(S158, ""^[^,]*, ""), 
        PROPER(REGEXREPLACE(REGEXEXTRACT(S158, ""^([^.]*)\.""), ""^([^,]*), (.*)"", ""$2 $1"")),
        PROPER(REGEXEXTRACT(S158, ""^([^.]*)\.""))
   )))))))))&amp;"")"",
IF(REGEXMATCH(S158, ""Spot"&amp;"ify|spotify""), 
   ""Spotify (""&amp;
   IF(REGEXMATCH(S158, ""ESTRANHO SORRISO""), ""Estranho Sorriso"",
   PROPER(REGEXEXTRACT(S158, ""^([^.]*)\.""))
   )&amp;"")"",
IF(REGEXMATCH(S158, ""Vimeo|vimeo""), 
   ""Vimeo (""&amp;
   IF(REGEXMATCH(S158, ""Passa Palavra"&amp;"""), ""Passa Palavra"",
   PROPER(REGEXEXTRACT(S158, ""^([^.]*)\.""))
   )&amp;"")"",
IF(REGEXMATCH(S158, ""Blogspot""), 
   ""Blogspot (""&amp;
   IF(REGEXMATCH(S158, ""rede2deoutubro""), ""Rede 02 de Outubro"",
   PROPER(REGEXEXTRACT(S158, ""^([^.]*)\.""))
   "&amp;")&amp;"")"",
IF(REGEXMATCH(S158, ""Facebook""), 
   ""Facebook (""&amp;
   IF(REGEXMATCH(S158, ""Mídia Ninja""), ""Mídia Ninja"",
   PROPER(REGEXEXTRACT(S158, ""^([^.]*)\.""))
   )&amp;"")"",
IF(REGEXMATCH(S158, ""Instagram""), 
   ""Instagram (""&amp;
   IF(REGEXMATCH"&amp;"(S158, ""Memórias Carandiru""), ""Memórias Carandiru"",
   PROPER(REGEXEXTRACT(S158, ""^([^.]*)\.""))
   )&amp;"")"",
IF(REGEXMATCH(S158, ""Folha de S\. Paulo|FOLHA DE S\. PAULO""), ""Folha de S. Paulo"",
IF(REGEXMATCH(S158, ""O Estado de S\. Paulo|ESTADAO"""&amp;"), ""O Estado de S. Paulo"",
IF(REGEXMATCH(S158, ""salasecreta""), ""Wordpress (Sala Secreta)"",
IF(REGEXMATCH(S158, ""Wikipedia|Wikipédia|WIKIPÉDIA""), ""Wikipedia"",
IF(REGEXMATCH(S158, ""VEJA|Veja""), ""Veja Abril"",
IF(REGEXMATCH(S430, ""Rede Globo|RE"&amp;"DE GLOBO""), ""Rede Globo"",
IF(REGEXMATCH(S430, ""G1|globo\.com""), ""G1"",
IF(REGEXMATCH(S158, ""Deutsche Welle|DW\.com""), ""Deutsche Welle"",
IF(REGEXMATCH(S158, ""CIDH|Comissão Interamericana""), ""Comissão Interamericana de Direitos Humanos (CIDH)"""&amp;",
IF(REGEXMATCH(S158, ""Pastoral Carcerária""), ""Pastoral Carcerária"",
IF(REGEXMATCH(S158, ""Esquerda Web""), ""Esquerda Web"",
IF(REGEXMATCH(S158, ""ONU|Organização das Nações Unidas""), ""ONU Brasil"",
IF(REGEXMATCH(S158, ""Quilombo Invisível""), ""Qu"&amp;"ilombo Invisível"",
IF(REGEXMATCH(S158, ""ALESP|Assembleia Legislativa""), ""ALESP"",
IF(REGEXMATCH(S158, ""Revista Opera""), ""Revista Opera"",
IF(REGEXMATCH(S158, ""SP Escola de Teatro""), ""SP Escola de Teatro"",
IF(REGEXMATCH(S158, ""EMC|Espaço Memóri"&amp;"a Carandiru""), ""EMC Espaço Memória Carandiru"",
IF(REGEXMATCH(S158, ""^RAMOS, Nuno|Nuno Ramos""), ""Nuno Ramos"",
IF(REGEXMATCH(S158, ""^VELOSO, Caetano|Caetano Veloso""), ""YouTube (Caetano Veloso)"",
IF(REGEXMATCH(S158, ""^FATOS REAIS""), ""YouTube ("&amp;"Fatos Reais - Topic)"",
IF(REGEXMATCH(S158, ""^SALA SECRETA""), ""Wordpress (Sala Secreta)"",
PROPER(REGEXEXTRACT(S158, ""^([^.]*)\.""))
))))))))))))))))))))))))))))))))))))))))))))))))))))))))"),"Instagram (Memórias Carandiru)")</f>
        <v>Instagram (Memórias Carandiru)</v>
      </c>
      <c r="N158" s="11" t="s">
        <v>47</v>
      </c>
      <c r="O158" s="14" t="s">
        <v>149</v>
      </c>
      <c r="P158" s="186">
        <v>45857.0</v>
      </c>
      <c r="Q158" s="11" t="s">
        <v>154</v>
      </c>
      <c r="R158" s="70" t="str">
        <f t="shared" si="8"/>
        <v>Aqui</v>
      </c>
      <c r="S158" s="75" t="s">
        <v>844</v>
      </c>
    </row>
    <row r="159">
      <c r="A159" s="11">
        <v>157.0</v>
      </c>
      <c r="B159" s="14" t="s">
        <v>729</v>
      </c>
      <c r="C159" s="122" t="s">
        <v>165</v>
      </c>
      <c r="D159" s="13" t="str">
        <f>IFERROR(__xludf.DUMMYFUNCTION("IF(B159="""","""",IF(OR(
  REGEXMATCH(B159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REGEXMATCH(B159,""público|Imediato|artística|teatral|memória"")
),""Público Imediato"",
IF(REGEXMATCH(B159,""Música|Álbum|Filme|Documentário|Série|Podc"&amp;"ast|Rádio|Audiotour|Entrevista|Reportagem|Crônica|Relatório|Abaixo-assinado|Manifesto|Petição|Poema|Livro|Fotografia|Curta|Live|Webinário|Charge|Leitura pública|Vídeo""),
""Público Mediado"","""")))
"),"Público Imediato")</f>
        <v>Público Imediato</v>
      </c>
      <c r="E159" s="13" t="str">
        <f>IFERROR(__xludf.DUMMYFUNCTION("IF(B159="""","""",IF(OR(
  REGEXMATCH(B159,""Live|Webinário|Virtual""),
  REGEXMATCH(B159,""online"")
),""Virtual"",
IF(REGEXMATCH(B159,""Música|Álbum|Filme|Documentário|Série|Podcast|Rádio|Audiotour|Episódio|Reportagem|Curta|Charge|Livro|Vídeo|Entrevista"&amp;"""),
""Midiático"",
IF(REGEXMATCH(B159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9" s="186">
        <v>45282.0</v>
      </c>
      <c r="G159" s="15">
        <f t="shared" si="1"/>
        <v>2023</v>
      </c>
      <c r="H159" s="14" t="s">
        <v>845</v>
      </c>
      <c r="I159" s="175" t="s">
        <v>846</v>
      </c>
      <c r="J159" s="202" t="s">
        <v>847</v>
      </c>
      <c r="K159" s="16" t="s">
        <v>736</v>
      </c>
      <c r="L159" s="18" t="s">
        <v>489</v>
      </c>
      <c r="M159" s="15" t="str">
        <f>IFERROR(__xludf.DUMMYFUNCTION("IF(REGEXMATCH(S159, ""Companhia das Letras""), ""Companhia das Letras"",
IF(REGEXMATCH(S159, ""Labortexto Editorial""), ""Labortexto Editorial"",
IF(REGEXMATCH(S159, ""Geração Editorial""), ""Geração Editorial"",
IF(REGEXMATCH(S159, ""Editora Imprensa Ofi"&amp;"cial|Imprensa Oficial""), ""Editora Imprensa Oficial"",
IF(REGEXMATCH(S159, ""Folha Online""), ""Folha Online"",
IF(REGEXMATCH(S159, ""FGV DIREITO SP|FGV Direito SP""), ""FGV DIREITO SP"",
IF(REGEXMATCH(S159, ""massacrecarandiru\.org\.br""), ""Memória Mas"&amp;"sacre Carandiru"",
IF(REGEXMATCH(S159, ""Itaú Cultural""), ""YouTube (Itaú Cultural)"",
IF(REGEXMATCH(S159, ""Passa Palavra""), ""Vimeo (Passa Palavra)"",
IF(REGEXMATCH(S159, ""rede2deoutubro\.blogspot""), ""Blogspot (Rede 02 de Outubro)"",
IF(REGEXMATCH("&amp;"S159, ""Rede TVT""), ""YouTube (Rede TVT)"",
IF(REGEXMATCH(S159, ""Esquerda Diário""), ""Esquerda Diário"",
IF(REGEXMATCH(S159, ""GZH""), ""GZH"",
IF(REGEXMATCH(S159, ""TVPUC""), ""TVPUC"",
IF(REGEXMATCH(S159, ""Mídia Ninja.*Facebook""), ""Facebook (Mídia"&amp;" Ninja)"",
IF(REGEXMATCH(S159, ""Memórias Carandiru.*Instagram""), ""Instagram (Memórias Carandiru)"",
IF(REGEXMATCH(S159, ""Frente pelo Desencarceramento SP""), ""YouTube (Frente Pelo Desencarceramento SP)"",
IF(REGEXMATCH(S159, ""TV ABA""), ""YouTube (T"&amp;"V ABA)"",
IF(REGEXMATCH(S159, ""TV SENADO""), ""YouTube (TV Senado)"",
IF(REGEXMATCH(S159, ""Google Arts &amp; Culture""), ""Google Arts &amp; Culture (Memória Massacre Carandiru)"",
IF(REGEXMATCH(S159, ""Anistia Internacional|ANISTIA INTERNACIONAL""), ""Anistia "&amp;"Internacional"",
IF(REGEXMATCH(S159, ""47\.mostra|47a Mostra""), ""47a Mostra Internacional de Cinema em São Paulo"",
IF(REGEXMATCH(S159, ""Canal USP""), ""YouTube (Canal USP)"",
IF(AND(
  REGEXMATCH(S159, ""(?i)(teses?\.usp\.br|dissertacoes?\.usp\.br|rep"&amp;"ositorio\.usp\.br)""),
  NOT(REGEXMATCH(S159, ""Canal USP""))
), ""Biblioteca Digital de Teses e Dissertações da USP"",
IF(REGEXMATCH(S159, ""SINTRAJUSC""), ""SINTRAJUSC"",
IF(REGEXMATCH(S159, ""Agência Brasil|Agencia Brasil""), ""Agência Brasil"",
IF(REG"&amp;"EXMATCH(S159, ""Brasil de Fato""), ""Brasil de Fato"",
IF(REGEXMATCH(S159, ""Ponte Jornalismo|pontejornalismo""), ""Ponte Jornalismo"",
IF(REGEXMATCH(S159, ""letras\.mus\.br|Letras,""), ""Letras"",
IF(REGEXMATCH(S159, ""YouTube|youtube""), 
   ""YouTube "&amp;"(""&amp;
   IF(REGEXMATCH(S159, ""Itaú Cultural""), ""Itaú Cultural"",
   IF(REGEXMATCH(S159, ""Rede TVT""), ""Rede TVT"",
   IF(REGEXMATCH(S159, ""Frente pelo Desencarceramento SP""), ""Frente Pelo Desencarceramento SP"",
   IF(REGEXMATCH(S159, ""TV ABA""), "&amp;"""TV ABA"",
   IF(REGEXMATCH(S159, ""TV SENADO""), ""TV Senado"",
   IF(REGEXMATCH(S159, ""Canal USP""), ""Canal USP"",
   IF(REGEXMATCH(S159, ""Douer, Zack|Zack Douer""), ""Douer Zack"",
   IF(REGEXMATCH(S159, ""PRISIONEIRO 84\.901|PRISIONEIRO 84""), ""P"&amp;"risioneiro 84.901"",
   IF(REGEXMATCH(S159, ""^[^,]*, ""), 
        PROPER(REGEXREPLACE(REGEXEXTRACT(S159, ""^([^.]*)\.""), ""^([^,]*), (.*)"", ""$2 $1"")),
        PROPER(REGEXEXTRACT(S159, ""^([^.]*)\.""))
   )))))))))&amp;"")"",
IF(REGEXMATCH(S159, ""Spot"&amp;"ify|spotify""), 
   ""Spotify (""&amp;
   IF(REGEXMATCH(S159, ""ESTRANHO SORRISO""), ""Estranho Sorriso"",
   PROPER(REGEXEXTRACT(S159, ""^([^.]*)\.""))
   )&amp;"")"",
IF(REGEXMATCH(S159, ""Vimeo|vimeo""), 
   ""Vimeo (""&amp;
   IF(REGEXMATCH(S159, ""Passa Palavra"&amp;"""), ""Passa Palavra"",
   PROPER(REGEXEXTRACT(S159, ""^([^.]*)\.""))
   )&amp;"")"",
IF(REGEXMATCH(S159, ""Blogspot""), 
   ""Blogspot (""&amp;
   IF(REGEXMATCH(S159, ""rede2deoutubro""), ""Rede 02 de Outubro"",
   PROPER(REGEXEXTRACT(S159, ""^([^.]*)\.""))
   "&amp;")&amp;"")"",
IF(REGEXMATCH(S159, ""Facebook""), 
   ""Facebook (""&amp;
   IF(REGEXMATCH(S159, ""Mídia Ninja""), ""Mídia Ninja"",
   PROPER(REGEXEXTRACT(S159, ""^([^.]*)\.""))
   )&amp;"")"",
IF(REGEXMATCH(S159, ""Instagram""), 
   ""Instagram (""&amp;
   IF(REGEXMATCH"&amp;"(S159, ""Memórias Carandiru""), ""Memórias Carandiru"",
   PROPER(REGEXEXTRACT(S159, ""^([^.]*)\.""))
   )&amp;"")"",
IF(REGEXMATCH(S159, ""Folha de S\. Paulo|FOLHA DE S\. PAULO""), ""Folha de S. Paulo"",
IF(REGEXMATCH(S159, ""O Estado de S\. Paulo|ESTADAO"""&amp;"), ""O Estado de S. Paulo"",
IF(REGEXMATCH(S159, ""salasecreta""), ""Wordpress (Sala Secreta)"",
IF(REGEXMATCH(S159, ""Wikipedia|Wikipédia|WIKIPÉDIA""), ""Wikipedia"",
IF(REGEXMATCH(S159, ""VEJA|Veja""), ""Veja Abril"",
IF(REGEXMATCH(S431, ""Rede Globo|RE"&amp;"DE GLOBO""), ""Rede Globo"",
IF(REGEXMATCH(S431, ""G1|globo\.com""), ""G1"",
IF(REGEXMATCH(S159, ""Deutsche Welle|DW\.com""), ""Deutsche Welle"",
IF(REGEXMATCH(S159, ""CIDH|Comissão Interamericana""), ""Comissão Interamericana de Direitos Humanos (CIDH)"""&amp;",
IF(REGEXMATCH(S159, ""Pastoral Carcerária""), ""Pastoral Carcerária"",
IF(REGEXMATCH(S159, ""Esquerda Web""), ""Esquerda Web"",
IF(REGEXMATCH(S159, ""ONU|Organização das Nações Unidas""), ""ONU Brasil"",
IF(REGEXMATCH(S159, ""Quilombo Invisível""), ""Qu"&amp;"ilombo Invisível"",
IF(REGEXMATCH(S159, ""ALESP|Assembleia Legislativa""), ""ALESP"",
IF(REGEXMATCH(S159, ""Revista Opera""), ""Revista Opera"",
IF(REGEXMATCH(S159, ""SP Escola de Teatro""), ""SP Escola de Teatro"",
IF(REGEXMATCH(S159, ""EMC|Espaço Memóri"&amp;"a Carandiru""), ""EMC Espaço Memória Carandiru"",
IF(REGEXMATCH(S159, ""^RAMOS, Nuno|Nuno Ramos""), ""Nuno Ramos"",
IF(REGEXMATCH(S159, ""^VELOSO, Caetano|Caetano Veloso""), ""YouTube (Caetano Veloso)"",
IF(REGEXMATCH(S159, ""^FATOS REAIS""), ""YouTube ("&amp;"Fatos Reais - Topic)"",
IF(REGEXMATCH(S159, ""^SALA SECRETA""), ""Wordpress (Sala Secreta)"",
PROPER(REGEXEXTRACT(S159, ""^([^.]*)\.""))
))))))))))))))))))))))))))))))))))))))))))))))))))))))))"),"Instagram (Memórias Carandiru)")</f>
        <v>Instagram (Memórias Carandiru)</v>
      </c>
      <c r="N159" s="11" t="s">
        <v>47</v>
      </c>
      <c r="O159" s="14" t="s">
        <v>149</v>
      </c>
      <c r="P159" s="186">
        <v>45857.0</v>
      </c>
      <c r="Q159" s="11" t="s">
        <v>154</v>
      </c>
      <c r="R159" s="70" t="str">
        <f t="shared" si="8"/>
        <v>Aqui</v>
      </c>
      <c r="S159" s="75" t="s">
        <v>848</v>
      </c>
    </row>
    <row r="160">
      <c r="A160" s="11">
        <v>158.0</v>
      </c>
      <c r="B160" s="11" t="s">
        <v>703</v>
      </c>
      <c r="C160" s="12" t="str">
        <f>IFERROR(__xludf.DUMMYFUNCTION("IF(B160="""","""",IF(OR(
  REGEXMATCH(B160,""Performance|Instalação|Álbum|Música|Poema|Livro|Filme|Documentário|Recitação|Espetáculo|Peça|Intervenção|Desfile|Fotografia|Exposição|Charge|Grafite|Leitura pública|Fabricação de cachaça artesanal""),
  REGEXMA"&amp;"TCH(B160,""dança|teatral|artístico|musical|artística"")
),""Manifestação artístico-cultural"",
IF(OR(
  REGEXMATCH(B160,""Crônica|Série|Reportagem|Podcast|Audiotour|Entrevista|Vídeo|Rádio""),
  REGEXMATCH(B160,""midiática"")
),""Produção midiática"","""")"&amp;"))
"),"Produção midiática")</f>
        <v>Produção midiática</v>
      </c>
      <c r="D160" s="13" t="str">
        <f>IFERROR(__xludf.DUMMYFUNCTION("IF(B160="""","""",IF(OR(
  REGEXMATCH(B160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REGEXMATCH(B160,""público|Imediato|artística|teatral|memória"")
),""Público Imediato"",
IF(REGEXMATCH(B160,""Música|Álbum|Filme|Documentário|Série|Podc"&amp;"ast|Rádio|Audiotour|Entrevista|Reportagem|Crônica|Relatório|Abaixo-assinado|Manifesto|Petição|Poema|Livro|Fotografia|Curta|Live|Webinário|Charge|Leitura pública|Vídeo""),
""Público Mediado"","""")))
"),"Público Mediado")</f>
        <v>Público Mediado</v>
      </c>
      <c r="E160" s="13" t="str">
        <f>IFERROR(__xludf.DUMMYFUNCTION("IF(B160="""","""",IF(OR(
  REGEXMATCH(B160,""Live|Webinário|Virtual""),
  REGEXMATCH(B160,""online"")
),""Virtual"",
IF(REGEXMATCH(B160,""Música|Álbum|Filme|Documentário|Série|Podcast|Rádio|Audiotour|Episódio|Reportagem|Curta|Charge|Livro|Vídeo|Entrevista"&amp;"""),
""Midiático"",
IF(REGEXMATCH(B160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0" s="183">
        <v>45194.0</v>
      </c>
      <c r="G160" s="15">
        <f t="shared" si="1"/>
        <v>2023</v>
      </c>
      <c r="H160" s="181" t="s">
        <v>347</v>
      </c>
      <c r="I160" s="16" t="s">
        <v>849</v>
      </c>
      <c r="J160" s="169" t="str">
        <f>IFERROR(__xludf.DUMMYFUNCTION("REGEXEXTRACT(S160, ""\.\s(.*?)\s*YouTube"")"),"Sobreviventes do Carandiru.")</f>
        <v>Sobreviventes do Carandiru.</v>
      </c>
      <c r="K160" s="16" t="s">
        <v>83</v>
      </c>
      <c r="L160" s="18" t="s">
        <v>329</v>
      </c>
      <c r="M160" s="15" t="str">
        <f>IFERROR(__xludf.DUMMYFUNCTION("IF(REGEXMATCH(S160, ""Companhia das Letras""), ""Companhia das Letras"",
IF(REGEXMATCH(S160, ""Labortexto Editorial""), ""Labortexto Editorial"",
IF(REGEXMATCH(S160, ""Geração Editorial""), ""Geração Editorial"",
IF(REGEXMATCH(S160, ""Editora Imprensa Ofi"&amp;"cial|Imprensa Oficial""), ""Editora Imprensa Oficial"",
IF(REGEXMATCH(S160, ""Folha Online""), ""Folha Online"",
IF(REGEXMATCH(S160, ""FGV DIREITO SP|FGV Direito SP""), ""FGV DIREITO SP"",
IF(REGEXMATCH(S160, ""massacrecarandiru\.org\.br""), ""Memória Mas"&amp;"sacre Carandiru"",
IF(REGEXMATCH(S160, ""Itaú Cultural""), ""YouTube (Itaú Cultural)"",
IF(REGEXMATCH(S160, ""Passa Palavra""), ""Vimeo (Passa Palavra)"",
IF(REGEXMATCH(S160, ""rede2deoutubro\.blogspot""), ""Blogspot (Rede 02 de Outubro)"",
IF(REGEXMATCH("&amp;"S160, ""Rede TVT""), ""YouTube (Rede TVT)"",
IF(REGEXMATCH(S160, ""Esquerda Diário""), ""Esquerda Diário"",
IF(REGEXMATCH(S160, ""GZH""), ""GZH"",
IF(REGEXMATCH(S160, ""TVPUC""), ""TVPUC"",
IF(REGEXMATCH(S160, ""Mídia Ninja.*Facebook""), ""Facebook (Mídia"&amp;" Ninja)"",
IF(REGEXMATCH(S160, ""Memórias Carandiru.*Instagram""), ""Instagram (Memórias Carandiru)"",
IF(REGEXMATCH(S160, ""Frente pelo Desencarceramento SP""), ""YouTube (Frente Pelo Desencarceramento SP)"",
IF(REGEXMATCH(S160, ""TV ABA""), ""YouTube (T"&amp;"V ABA)"",
IF(REGEXMATCH(S160, ""TV SENADO""), ""YouTube (TV Senado)"",
IF(REGEXMATCH(S160, ""Google Arts &amp; Culture""), ""Google Arts &amp; Culture (Memória Massacre Carandiru)"",
IF(REGEXMATCH(S160, ""Anistia Internacional|ANISTIA INTERNACIONAL""), ""Anistia "&amp;"Internacional"",
IF(REGEXMATCH(S160, ""47\.mostra|47a Mostra""), ""47a Mostra Internacional de Cinema em São Paulo"",
IF(REGEXMATCH(S160, ""Canal USP""), ""YouTube (Canal USP)"",
IF(AND(
  REGEXMATCH(S160, ""(?i)(teses?\.usp\.br|dissertacoes?\.usp\.br|rep"&amp;"ositorio\.usp\.br)""),
  NOT(REGEXMATCH(S160, ""Canal USP""))
), ""Biblioteca Digital de Teses e Dissertações da USP"",
IF(REGEXMATCH(S160, ""SINTRAJUSC""), ""SINTRAJUSC"",
IF(REGEXMATCH(S160, ""Agência Brasil|Agencia Brasil""), ""Agência Brasil"",
IF(REG"&amp;"EXMATCH(S160, ""Brasil de Fato""), ""Brasil de Fato"",
IF(REGEXMATCH(S160, ""Ponte Jornalismo|pontejornalismo""), ""Ponte Jornalismo"",
IF(REGEXMATCH(S160, ""letras\.mus\.br|Letras,""), ""Letras"",
IF(REGEXMATCH(S160, ""YouTube|youtube""), 
   ""YouTube "&amp;"(""&amp;
   IF(REGEXMATCH(S160, ""Itaú Cultural""), ""Itaú Cultural"",
   IF(REGEXMATCH(S160, ""Rede TVT""), ""Rede TVT"",
   IF(REGEXMATCH(S160, ""Frente pelo Desencarceramento SP""), ""Frente Pelo Desencarceramento SP"",
   IF(REGEXMATCH(S160, ""TV ABA""), "&amp;"""TV ABA"",
   IF(REGEXMATCH(S160, ""TV SENADO""), ""TV Senado"",
   IF(REGEXMATCH(S160, ""Canal USP""), ""Canal USP"",
   IF(REGEXMATCH(S160, ""Douer, Zack|Zack Douer""), ""Douer Zack"",
   IF(REGEXMATCH(S160, ""PRISIONEIRO 84\.901|PRISIONEIRO 84""), ""P"&amp;"risioneiro 84.901"",
   IF(REGEXMATCH(S160, ""^[^,]*, ""), 
        PROPER(REGEXREPLACE(REGEXEXTRACT(S160, ""^([^.]*)\.""), ""^([^,]*), (.*)"", ""$2 $1"")),
        PROPER(REGEXEXTRACT(S160, ""^([^.]*)\.""))
   )))))))))&amp;"")"",
IF(REGEXMATCH(S160, ""Spot"&amp;"ify|spotify""), 
   ""Spotify (""&amp;
   IF(REGEXMATCH(S160, ""ESTRANHO SORRISO""), ""Estranho Sorriso"",
   PROPER(REGEXEXTRACT(S160, ""^([^.]*)\.""))
   )&amp;"")"",
IF(REGEXMATCH(S160, ""Vimeo|vimeo""), 
   ""Vimeo (""&amp;
   IF(REGEXMATCH(S160, ""Passa Palavra"&amp;"""), ""Passa Palavra"",
   PROPER(REGEXEXTRACT(S160, ""^([^.]*)\.""))
   )&amp;"")"",
IF(REGEXMATCH(S160, ""Blogspot""), 
   ""Blogspot (""&amp;
   IF(REGEXMATCH(S160, ""rede2deoutubro""), ""Rede 02 de Outubro"",
   PROPER(REGEXEXTRACT(S160, ""^([^.]*)\.""))
   "&amp;")&amp;"")"",
IF(REGEXMATCH(S160, ""Facebook""), 
   ""Facebook (""&amp;
   IF(REGEXMATCH(S160, ""Mídia Ninja""), ""Mídia Ninja"",
   PROPER(REGEXEXTRACT(S160, ""^([^.]*)\.""))
   )&amp;"")"",
IF(REGEXMATCH(S160, ""Instagram""), 
   ""Instagram (""&amp;
   IF(REGEXMATCH"&amp;"(S160, ""Memórias Carandiru""), ""Memórias Carandiru"",
   PROPER(REGEXEXTRACT(S160, ""^([^.]*)\.""))
   )&amp;"")"",
IF(REGEXMATCH(S160, ""Folha de S\. Paulo|FOLHA DE S\. PAULO""), ""Folha de S. Paulo"",
IF(REGEXMATCH(S160, ""O Estado de S\. Paulo|ESTADAO"""&amp;"), ""O Estado de S. Paulo"",
IF(REGEXMATCH(S160, ""salasecreta""), ""Wordpress (Sala Secreta)"",
IF(REGEXMATCH(S160, ""Wikipedia|Wikipédia|WIKIPÉDIA""), ""Wikipedia"",
IF(REGEXMATCH(S160, ""VEJA|Veja""), ""Veja Abril"",
IF(REGEXMATCH(S432, ""Rede Globo|RE"&amp;"DE GLOBO""), ""Rede Globo"",
IF(REGEXMATCH(S432, ""G1|globo\.com""), ""G1"",
IF(REGEXMATCH(S160, ""Deutsche Welle|DW\.com""), ""Deutsche Welle"",
IF(REGEXMATCH(S160, ""CIDH|Comissão Interamericana""), ""Comissão Interamericana de Direitos Humanos (CIDH)"""&amp;",
IF(REGEXMATCH(S160, ""Pastoral Carcerária""), ""Pastoral Carcerária"",
IF(REGEXMATCH(S160, ""Esquerda Web""), ""Esquerda Web"",
IF(REGEXMATCH(S160, ""ONU|Organização das Nações Unidas""), ""ONU Brasil"",
IF(REGEXMATCH(S160, ""Quilombo Invisível""), ""Qu"&amp;"ilombo Invisível"",
IF(REGEXMATCH(S160, ""ALESP|Assembleia Legislativa""), ""ALESP"",
IF(REGEXMATCH(S160, ""Revista Opera""), ""Revista Opera"",
IF(REGEXMATCH(S160, ""SP Escola de Teatro""), ""SP Escola de Teatro"",
IF(REGEXMATCH(S160, ""EMC|Espaço Memóri"&amp;"a Carandiru""), ""EMC Espaço Memória Carandiru"",
IF(REGEXMATCH(S160, ""^RAMOS, Nuno|Nuno Ramos""), ""Nuno Ramos"",
IF(REGEXMATCH(S160, ""^VELOSO, Caetano|Caetano Veloso""), ""YouTube (Caetano Veloso)"",
IF(REGEXMATCH(S160, ""^FATOS REAIS""), ""YouTube ("&amp;"Fatos Reais - Topic)"",
IF(REGEXMATCH(S160, ""^SALA SECRETA""), ""Wordpress (Sala Secreta)"",
PROPER(REGEXEXTRACT(S160, ""^([^.]*)\.""))
))))))))))))))))))))))))))))))))))))))))))))))))))))))))"),"YouTube (Planeta Novo)")</f>
        <v>YouTube (Planeta Novo)</v>
      </c>
      <c r="N160" s="11" t="s">
        <v>47</v>
      </c>
      <c r="O160" s="14" t="s">
        <v>342</v>
      </c>
      <c r="P160" s="171">
        <v>45946.0</v>
      </c>
      <c r="Q160" s="11" t="s">
        <v>154</v>
      </c>
      <c r="R160" s="70" t="str">
        <f t="shared" si="8"/>
        <v>Aqui</v>
      </c>
      <c r="S160" s="75" t="s">
        <v>850</v>
      </c>
    </row>
    <row r="161">
      <c r="A161" s="11">
        <v>159.0</v>
      </c>
      <c r="B161" s="11" t="s">
        <v>68</v>
      </c>
      <c r="C161" s="12" t="str">
        <f>IFERROR(__xludf.DUMMYFUNCTION("IF(B161="""","""",IF(OR(
  REGEXMATCH(B161,""Performance|Instalação|Álbum|Música|Poema|Livro|Filme|Documentário|Recitação|Espetáculo|Peça|Intervenção|Desfile|Fotografia|Exposição|Charge|Grafite|Leitura pública|Fabricação de cachaça artesanal""),
  REGEXMA"&amp;"TCH(B161,""dança|teatral|artístico|musical|artística"")
),""Manifestação artístico-cultural"",
IF(OR(
  REGEXMATCH(B161,""Crônica|Série|Reportagem|Podcast|Audiotour|Entrevista|Vídeo|Rádio""),
  REGEXMATCH(B161,""midiática"")
),""Produção midiática"","""")"&amp;"))
"),"Produção midiática")</f>
        <v>Produção midiática</v>
      </c>
      <c r="D161" s="13" t="str">
        <f>IFERROR(__xludf.DUMMYFUNCTION("IF(B161="""","""",IF(OR(
  REGEXMATCH(B161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REGEXMATCH(B161,""público|Imediato|artística|teatral|memória"")
),""Público Imediato"",
IF(REGEXMATCH(B161,""Música|Álbum|Filme|Documentário|Série|Podc"&amp;"ast|Rádio|Audiotour|Entrevista|Reportagem|Crônica|Relatório|Abaixo-assinado|Manifesto|Petição|Poema|Livro|Fotografia|Curta|Live|Webinário|Charge|Leitura pública|Vídeo""),
""Público Mediado"","""")))
"),"Público Mediado")</f>
        <v>Público Mediado</v>
      </c>
      <c r="E161" s="13" t="str">
        <f>IFERROR(__xludf.DUMMYFUNCTION("IF(B161="""","""",IF(OR(
  REGEXMATCH(B161,""Live|Webinário|Virtual""),
  REGEXMATCH(B161,""online"")
),""Virtual"",
IF(REGEXMATCH(B161,""Música|Álbum|Filme|Documentário|Série|Podcast|Rádio|Audiotour|Episódio|Reportagem|Curta|Charge|Livro|Vídeo|Entrevista"&amp;"""),
""Midiático"",
IF(REGEXMATCH(B161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1" s="183">
        <v>45127.0</v>
      </c>
      <c r="G161" s="15">
        <f t="shared" si="1"/>
        <v>2023</v>
      </c>
      <c r="H161" s="181" t="s">
        <v>347</v>
      </c>
      <c r="I161" s="16" t="s">
        <v>851</v>
      </c>
      <c r="J161" s="169" t="str">
        <f>IFERROR(__xludf.DUMMYFUNCTION("REGEXEXTRACT(S161, ""\.\s(.*?)\s*YouTube"")"),"Qual a verdade sobre o Carandiru? | #Achismos Podcast #243.")</f>
        <v>Qual a verdade sobre o Carandiru? | #Achismos Podcast #243.</v>
      </c>
      <c r="K161" s="16" t="s">
        <v>83</v>
      </c>
      <c r="L161" s="18" t="s">
        <v>329</v>
      </c>
      <c r="M161" s="15" t="str">
        <f>IFERROR(__xludf.DUMMYFUNCTION("IF(REGEXMATCH(S161, ""Companhia das Letras""), ""Companhia das Letras"",
IF(REGEXMATCH(S161, ""Labortexto Editorial""), ""Labortexto Editorial"",
IF(REGEXMATCH(S161, ""Geração Editorial""), ""Geração Editorial"",
IF(REGEXMATCH(S161, ""Editora Imprensa Ofi"&amp;"cial|Imprensa Oficial""), ""Editora Imprensa Oficial"",
IF(REGEXMATCH(S161, ""Folha Online""), ""Folha Online"",
IF(REGEXMATCH(S161, ""FGV DIREITO SP|FGV Direito SP""), ""FGV DIREITO SP"",
IF(REGEXMATCH(S161, ""massacrecarandiru\.org\.br""), ""Memória Mas"&amp;"sacre Carandiru"",
IF(REGEXMATCH(S161, ""Itaú Cultural""), ""YouTube (Itaú Cultural)"",
IF(REGEXMATCH(S161, ""Passa Palavra""), ""Vimeo (Passa Palavra)"",
IF(REGEXMATCH(S161, ""rede2deoutubro\.blogspot""), ""Blogspot (Rede 02 de Outubro)"",
IF(REGEXMATCH("&amp;"S161, ""Rede TVT""), ""YouTube (Rede TVT)"",
IF(REGEXMATCH(S161, ""Esquerda Diário""), ""Esquerda Diário"",
IF(REGEXMATCH(S161, ""GZH""), ""GZH"",
IF(REGEXMATCH(S161, ""TVPUC""), ""TVPUC"",
IF(REGEXMATCH(S161, ""Mídia Ninja.*Facebook""), ""Facebook (Mídia"&amp;" Ninja)"",
IF(REGEXMATCH(S161, ""Memórias Carandiru.*Instagram""), ""Instagram (Memórias Carandiru)"",
IF(REGEXMATCH(S161, ""Frente pelo Desencarceramento SP""), ""YouTube (Frente Pelo Desencarceramento SP)"",
IF(REGEXMATCH(S161, ""TV ABA""), ""YouTube (T"&amp;"V ABA)"",
IF(REGEXMATCH(S161, ""TV SENADO""), ""YouTube (TV Senado)"",
IF(REGEXMATCH(S161, ""Google Arts &amp; Culture""), ""Google Arts &amp; Culture (Memória Massacre Carandiru)"",
IF(REGEXMATCH(S161, ""Anistia Internacional|ANISTIA INTERNACIONAL""), ""Anistia "&amp;"Internacional"",
IF(REGEXMATCH(S161, ""47\.mostra|47a Mostra""), ""47a Mostra Internacional de Cinema em São Paulo"",
IF(REGEXMATCH(S161, ""Canal USP""), ""YouTube (Canal USP)"",
IF(AND(
  REGEXMATCH(S161, ""(?i)(teses?\.usp\.br|dissertacoes?\.usp\.br|rep"&amp;"ositorio\.usp\.br)""),
  NOT(REGEXMATCH(S161, ""Canal USP""))
), ""Biblioteca Digital de Teses e Dissertações da USP"",
IF(REGEXMATCH(S161, ""SINTRAJUSC""), ""SINTRAJUSC"",
IF(REGEXMATCH(S161, ""Agência Brasil|Agencia Brasil""), ""Agência Brasil"",
IF(REG"&amp;"EXMATCH(S161, ""Brasil de Fato""), ""Brasil de Fato"",
IF(REGEXMATCH(S161, ""Ponte Jornalismo|pontejornalismo""), ""Ponte Jornalismo"",
IF(REGEXMATCH(S161, ""letras\.mus\.br|Letras,""), ""Letras"",
IF(REGEXMATCH(S161, ""YouTube|youtube""), 
   ""YouTube "&amp;"(""&amp;
   IF(REGEXMATCH(S161, ""Itaú Cultural""), ""Itaú Cultural"",
   IF(REGEXMATCH(S161, ""Rede TVT""), ""Rede TVT"",
   IF(REGEXMATCH(S161, ""Frente pelo Desencarceramento SP""), ""Frente Pelo Desencarceramento SP"",
   IF(REGEXMATCH(S161, ""TV ABA""), "&amp;"""TV ABA"",
   IF(REGEXMATCH(S161, ""TV SENADO""), ""TV Senado"",
   IF(REGEXMATCH(S161, ""Canal USP""), ""Canal USP"",
   IF(REGEXMATCH(S161, ""Douer, Zack|Zack Douer""), ""Douer Zack"",
   IF(REGEXMATCH(S161, ""PRISIONEIRO 84\.901|PRISIONEIRO 84""), ""P"&amp;"risioneiro 84.901"",
   IF(REGEXMATCH(S161, ""^[^,]*, ""), 
        PROPER(REGEXREPLACE(REGEXEXTRACT(S161, ""^([^.]*)\.""), ""^([^,]*), (.*)"", ""$2 $1"")),
        PROPER(REGEXEXTRACT(S161, ""^([^.]*)\.""))
   )))))))))&amp;"")"",
IF(REGEXMATCH(S161, ""Spot"&amp;"ify|spotify""), 
   ""Spotify (""&amp;
   IF(REGEXMATCH(S161, ""ESTRANHO SORRISO""), ""Estranho Sorriso"",
   PROPER(REGEXEXTRACT(S161, ""^([^.]*)\.""))
   )&amp;"")"",
IF(REGEXMATCH(S161, ""Vimeo|vimeo""), 
   ""Vimeo (""&amp;
   IF(REGEXMATCH(S161, ""Passa Palavra"&amp;"""), ""Passa Palavra"",
   PROPER(REGEXEXTRACT(S161, ""^([^.]*)\.""))
   )&amp;"")"",
IF(REGEXMATCH(S161, ""Blogspot""), 
   ""Blogspot (""&amp;
   IF(REGEXMATCH(S161, ""rede2deoutubro""), ""Rede 02 de Outubro"",
   PROPER(REGEXEXTRACT(S161, ""^([^.]*)\.""))
   "&amp;")&amp;"")"",
IF(REGEXMATCH(S161, ""Facebook""), 
   ""Facebook (""&amp;
   IF(REGEXMATCH(S161, ""Mídia Ninja""), ""Mídia Ninja"",
   PROPER(REGEXEXTRACT(S161, ""^([^.]*)\.""))
   )&amp;"")"",
IF(REGEXMATCH(S161, ""Instagram""), 
   ""Instagram (""&amp;
   IF(REGEXMATCH"&amp;"(S161, ""Memórias Carandiru""), ""Memórias Carandiru"",
   PROPER(REGEXEXTRACT(S161, ""^([^.]*)\.""))
   )&amp;"")"",
IF(REGEXMATCH(S161, ""Folha de S\. Paulo|FOLHA DE S\. PAULO""), ""Folha de S. Paulo"",
IF(REGEXMATCH(S161, ""O Estado de S\. Paulo|ESTADAO"""&amp;"), ""O Estado de S. Paulo"",
IF(REGEXMATCH(S161, ""salasecreta""), ""Wordpress (Sala Secreta)"",
IF(REGEXMATCH(S161, ""Wikipedia|Wikipédia|WIKIPÉDIA""), ""Wikipedia"",
IF(REGEXMATCH(S161, ""VEJA|Veja""), ""Veja Abril"",
IF(REGEXMATCH(S433, ""Rede Globo|RE"&amp;"DE GLOBO""), ""Rede Globo"",
IF(REGEXMATCH(S433, ""G1|globo\.com""), ""G1"",
IF(REGEXMATCH(S161, ""Deutsche Welle|DW\.com""), ""Deutsche Welle"",
IF(REGEXMATCH(S161, ""CIDH|Comissão Interamericana""), ""Comissão Interamericana de Direitos Humanos (CIDH)"""&amp;",
IF(REGEXMATCH(S161, ""Pastoral Carcerária""), ""Pastoral Carcerária"",
IF(REGEXMATCH(S161, ""Esquerda Web""), ""Esquerda Web"",
IF(REGEXMATCH(S161, ""ONU|Organização das Nações Unidas""), ""ONU Brasil"",
IF(REGEXMATCH(S161, ""Quilombo Invisível""), ""Qu"&amp;"ilombo Invisível"",
IF(REGEXMATCH(S161, ""ALESP|Assembleia Legislativa""), ""ALESP"",
IF(REGEXMATCH(S161, ""Revista Opera""), ""Revista Opera"",
IF(REGEXMATCH(S161, ""SP Escola de Teatro""), ""SP Escola de Teatro"",
IF(REGEXMATCH(S161, ""EMC|Espaço Memóri"&amp;"a Carandiru""), ""EMC Espaço Memória Carandiru"",
IF(REGEXMATCH(S161, ""^RAMOS, Nuno|Nuno Ramos""), ""Nuno Ramos"",
IF(REGEXMATCH(S161, ""^VELOSO, Caetano|Caetano Veloso""), ""YouTube (Caetano Veloso)"",
IF(REGEXMATCH(S161, ""^FATOS REAIS""), ""YouTube ("&amp;"Fatos Reais - Topic)"",
IF(REGEXMATCH(S161, ""^SALA SECRETA""), ""Wordpress (Sala Secreta)"",
PROPER(REGEXEXTRACT(S161, ""^([^.]*)\.""))
))))))))))))))))))))))))))))))))))))))))))))))))))))))))"),"YouTube (Achismostv)")</f>
        <v>YouTube (Achismostv)</v>
      </c>
      <c r="N161" s="11" t="s">
        <v>47</v>
      </c>
      <c r="O161" s="14" t="s">
        <v>374</v>
      </c>
      <c r="P161" s="171">
        <v>45946.0</v>
      </c>
      <c r="Q161" s="11" t="s">
        <v>154</v>
      </c>
      <c r="R161" s="70" t="str">
        <f t="shared" si="8"/>
        <v>Aqui</v>
      </c>
      <c r="S161" s="75" t="s">
        <v>852</v>
      </c>
    </row>
    <row r="162">
      <c r="A162" s="11">
        <v>160.0</v>
      </c>
      <c r="B162" s="11" t="s">
        <v>703</v>
      </c>
      <c r="C162" s="12" t="str">
        <f>IFERROR(__xludf.DUMMYFUNCTION("IF(B162="""","""",IF(OR(
  REGEXMATCH(B162,""Performance|Instalação|Álbum|Música|Poema|Livro|Filme|Documentário|Recitação|Espetáculo|Peça|Intervenção|Desfile|Fotografia|Exposição|Charge|Grafite|Leitura pública|Fabricação de cachaça artesanal""),
  REGEXMA"&amp;"TCH(B162,""dança|teatral|artístico|musical|artística"")
),""Manifestação artístico-cultural"",
IF(OR(
  REGEXMATCH(B162,""Crônica|Série|Reportagem|Podcast|Audiotour|Entrevista|Vídeo|Rádio""),
  REGEXMATCH(B162,""midiática"")
),""Produção midiática"","""")"&amp;"))
"),"Produção midiática")</f>
        <v>Produção midiática</v>
      </c>
      <c r="D162" s="13" t="str">
        <f>IFERROR(__xludf.DUMMYFUNCTION("IF(B162="""","""",IF(OR(
  REGEXMATCH(B162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REGEXMATCH(B162,""público|Imediato|artística|teatral|memória"")
),""Público Imediato"",
IF(REGEXMATCH(B162,""Música|Álbum|Filme|Documentário|Série|Podc"&amp;"ast|Rádio|Audiotour|Entrevista|Reportagem|Crônica|Relatório|Abaixo-assinado|Manifesto|Petição|Poema|Livro|Fotografia|Curta|Live|Webinário|Charge|Leitura pública|Vídeo""),
""Público Mediado"","""")))
"),"Público Mediado")</f>
        <v>Público Mediado</v>
      </c>
      <c r="E162" s="13" t="str">
        <f>IFERROR(__xludf.DUMMYFUNCTION("IF(B162="""","""",IF(OR(
  REGEXMATCH(B162,""Live|Webinário|Virtual""),
  REGEXMATCH(B162,""online"")
),""Virtual"",
IF(REGEXMATCH(B162,""Música|Álbum|Filme|Documentário|Série|Podcast|Rádio|Audiotour|Episódio|Reportagem|Curta|Charge|Livro|Vídeo|Entrevista"&amp;"""),
""Midiático"",
IF(REGEXMATCH(B162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2" s="211" t="str">
        <f>IFERROR(__xludf.DUMMYFUNCTION("IF(REGEXMATCH(S162,""YouTube""),
  REGEXREPLACE(
    REGEXREPLACE(
      REGEXREPLACE(
        REGEXREPLACE(
          REGEXREPLACE(
            REGEXREPLACE(
              REGEXREPLACE(
                REGEXREPLACE(
                  REGEXREPLACE(
      "&amp;"              REGEXREPLACE(
                      REGEXREPLACE(
                        REGEXREPLACE(
                          REGEXREPLACE(
                            REGEXEXTRACT(S162,""YouTube, ([0-9]{1,2} [a-z]{3,8}\. [0-9]{4})""),
                 "&amp;"         "" jan\. "",""\/01\/""),
                        "" fev\. "",""\/02\/""),
                      "" mar\. "",""\/03\/""),
                    "" abr\. "",""\/04\/""),
                  "" mai\. "",""\/05\/""),
                "" jun\. "",""\/06\/"&amp;"""),
              "" jul\. "",""\/07\/""),
            "" ago\. "",""\/08\/""),
          "" set\. "",""\/09\/""),
        "" out\. "",""\/10\/""),
      "" nov\. "",""\/11\/""),
    "" dez\. "",""\/12\/""),
  ""\s*/\s*"",""/""),
"""")
"),"3/10/2023")</f>
        <v>3/10/2023</v>
      </c>
      <c r="G162" s="15">
        <f t="shared" si="1"/>
        <v>2023</v>
      </c>
      <c r="H162" s="14" t="s">
        <v>23</v>
      </c>
      <c r="I162" s="16" t="s">
        <v>757</v>
      </c>
      <c r="J162" s="169" t="str">
        <f>IFERROR(__xludf.DUMMYFUNCTION("REGEXEXTRACT(S162, ""\.\s(.*?)\s*YouTube"")"),"Dia 03 de outubro de 1992.")</f>
        <v>Dia 03 de outubro de 1992.</v>
      </c>
      <c r="K162" s="16" t="s">
        <v>83</v>
      </c>
      <c r="L162" s="18" t="s">
        <v>329</v>
      </c>
      <c r="M162" s="15" t="str">
        <f>IFERROR(__xludf.DUMMYFUNCTION("IF(REGEXMATCH(S162, ""Companhia das Letras""), ""Companhia das Letras"",
IF(REGEXMATCH(S162, ""Labortexto Editorial""), ""Labortexto Editorial"",
IF(REGEXMATCH(S162, ""Geração Editorial""), ""Geração Editorial"",
IF(REGEXMATCH(S162, ""Editora Imprensa Ofi"&amp;"cial|Imprensa Oficial""), ""Editora Imprensa Oficial"",
IF(REGEXMATCH(S162, ""Folha Online""), ""Folha Online"",
IF(REGEXMATCH(S162, ""FGV DIREITO SP|FGV Direito SP""), ""FGV DIREITO SP"",
IF(REGEXMATCH(S162, ""massacrecarandiru\.org\.br""), ""Memória Mas"&amp;"sacre Carandiru"",
IF(REGEXMATCH(S162, ""Itaú Cultural""), ""YouTube (Itaú Cultural)"",
IF(REGEXMATCH(S162, ""Passa Palavra""), ""Vimeo (Passa Palavra)"",
IF(REGEXMATCH(S162, ""rede2deoutubro\.blogspot""), ""Blogspot (Rede 02 de Outubro)"",
IF(REGEXMATCH("&amp;"S162, ""Rede TVT""), ""YouTube (Rede TVT)"",
IF(REGEXMATCH(S162, ""Esquerda Diário""), ""Esquerda Diário"",
IF(REGEXMATCH(S162, ""GZH""), ""GZH"",
IF(REGEXMATCH(S162, ""TVPUC""), ""TVPUC"",
IF(REGEXMATCH(S162, ""Mídia Ninja.*Facebook""), ""Facebook (Mídia"&amp;" Ninja)"",
IF(REGEXMATCH(S162, ""Memórias Carandiru.*Instagram""), ""Instagram (Memórias Carandiru)"",
IF(REGEXMATCH(S162, ""Frente pelo Desencarceramento SP""), ""YouTube (Frente Pelo Desencarceramento SP)"",
IF(REGEXMATCH(S162, ""TV ABA""), ""YouTube (T"&amp;"V ABA)"",
IF(REGEXMATCH(S162, ""TV SENADO""), ""YouTube (TV Senado)"",
IF(REGEXMATCH(S162, ""Google Arts &amp; Culture""), ""Google Arts &amp; Culture (Memória Massacre Carandiru)"",
IF(REGEXMATCH(S162, ""Anistia Internacional|ANISTIA INTERNACIONAL""), ""Anistia "&amp;"Internacional"",
IF(REGEXMATCH(S162, ""47\.mostra|47a Mostra""), ""47a Mostra Internacional de Cinema em São Paulo"",
IF(REGEXMATCH(S162, ""Canal USP""), ""YouTube (Canal USP)"",
IF(AND(
  REGEXMATCH(S162, ""(?i)(teses?\.usp\.br|dissertacoes?\.usp\.br|rep"&amp;"ositorio\.usp\.br)""),
  NOT(REGEXMATCH(S162, ""Canal USP""))
), ""Biblioteca Digital de Teses e Dissertações da USP"",
IF(REGEXMATCH(S162, ""SINTRAJUSC""), ""SINTRAJUSC"",
IF(REGEXMATCH(S162, ""Agência Brasil|Agencia Brasil""), ""Agência Brasil"",
IF(REG"&amp;"EXMATCH(S162, ""Brasil de Fato""), ""Brasil de Fato"",
IF(REGEXMATCH(S162, ""Ponte Jornalismo|pontejornalismo""), ""Ponte Jornalismo"",
IF(REGEXMATCH(S162, ""letras\.mus\.br|Letras,""), ""Letras"",
IF(REGEXMATCH(S162, ""YouTube|youtube""), 
   ""YouTube "&amp;"(""&amp;
   IF(REGEXMATCH(S162, ""Itaú Cultural""), ""Itaú Cultural"",
   IF(REGEXMATCH(S162, ""Rede TVT""), ""Rede TVT"",
   IF(REGEXMATCH(S162, ""Frente pelo Desencarceramento SP""), ""Frente Pelo Desencarceramento SP"",
   IF(REGEXMATCH(S162, ""TV ABA""), "&amp;"""TV ABA"",
   IF(REGEXMATCH(S162, ""TV SENADO""), ""TV Senado"",
   IF(REGEXMATCH(S162, ""Canal USP""), ""Canal USP"",
   IF(REGEXMATCH(S162, ""Douer, Zack|Zack Douer""), ""Douer Zack"",
   IF(REGEXMATCH(S162, ""PRISIONEIRO 84\.901|PRISIONEIRO 84""), ""P"&amp;"risioneiro 84.901"",
   IF(REGEXMATCH(S162, ""^[^,]*, ""), 
        PROPER(REGEXREPLACE(REGEXEXTRACT(S162, ""^([^.]*)\.""), ""^([^,]*), (.*)"", ""$2 $1"")),
        PROPER(REGEXEXTRACT(S162, ""^([^.]*)\.""))
   )))))))))&amp;"")"",
IF(REGEXMATCH(S162, ""Spot"&amp;"ify|spotify""), 
   ""Spotify (""&amp;
   IF(REGEXMATCH(S162, ""ESTRANHO SORRISO""), ""Estranho Sorriso"",
   PROPER(REGEXEXTRACT(S162, ""^([^.]*)\.""))
   )&amp;"")"",
IF(REGEXMATCH(S162, ""Vimeo|vimeo""), 
   ""Vimeo (""&amp;
   IF(REGEXMATCH(S162, ""Passa Palavra"&amp;"""), ""Passa Palavra"",
   PROPER(REGEXEXTRACT(S162, ""^([^.]*)\.""))
   )&amp;"")"",
IF(REGEXMATCH(S162, ""Blogspot""), 
   ""Blogspot (""&amp;
   IF(REGEXMATCH(S162, ""rede2deoutubro""), ""Rede 02 de Outubro"",
   PROPER(REGEXEXTRACT(S162, ""^([^.]*)\.""))
   "&amp;")&amp;"")"",
IF(REGEXMATCH(S162, ""Facebook""), 
   ""Facebook (""&amp;
   IF(REGEXMATCH(S162, ""Mídia Ninja""), ""Mídia Ninja"",
   PROPER(REGEXEXTRACT(S162, ""^([^.]*)\.""))
   )&amp;"")"",
IF(REGEXMATCH(S162, ""Instagram""), 
   ""Instagram (""&amp;
   IF(REGEXMATCH"&amp;"(S162, ""Memórias Carandiru""), ""Memórias Carandiru"",
   PROPER(REGEXEXTRACT(S162, ""^([^.]*)\.""))
   )&amp;"")"",
IF(REGEXMATCH(S162, ""Folha de S\. Paulo|FOLHA DE S\. PAULO""), ""Folha de S. Paulo"",
IF(REGEXMATCH(S162, ""O Estado de S\. Paulo|ESTADAO"""&amp;"), ""O Estado de S. Paulo"",
IF(REGEXMATCH(S162, ""salasecreta""), ""Wordpress (Sala Secreta)"",
IF(REGEXMATCH(S162, ""Wikipedia|Wikipédia|WIKIPÉDIA""), ""Wikipedia"",
IF(REGEXMATCH(S162, ""VEJA|Veja""), ""Veja Abril"",
IF(REGEXMATCH(S434, ""Rede Globo|RE"&amp;"DE GLOBO""), ""Rede Globo"",
IF(REGEXMATCH(S434, ""G1|globo\.com""), ""G1"",
IF(REGEXMATCH(S162, ""Deutsche Welle|DW\.com""), ""Deutsche Welle"",
IF(REGEXMATCH(S162, ""CIDH|Comissão Interamericana""), ""Comissão Interamericana de Direitos Humanos (CIDH)"""&amp;",
IF(REGEXMATCH(S162, ""Pastoral Carcerária""), ""Pastoral Carcerária"",
IF(REGEXMATCH(S162, ""Esquerda Web""), ""Esquerda Web"",
IF(REGEXMATCH(S162, ""ONU|Organização das Nações Unidas""), ""ONU Brasil"",
IF(REGEXMATCH(S162, ""Quilombo Invisível""), ""Qu"&amp;"ilombo Invisível"",
IF(REGEXMATCH(S162, ""ALESP|Assembleia Legislativa""), ""ALESP"",
IF(REGEXMATCH(S162, ""Revista Opera""), ""Revista Opera"",
IF(REGEXMATCH(S162, ""SP Escola de Teatro""), ""SP Escola de Teatro"",
IF(REGEXMATCH(S162, ""EMC|Espaço Memóri"&amp;"a Carandiru""), ""EMC Espaço Memória Carandiru"",
IF(REGEXMATCH(S162, ""^RAMOS, Nuno|Nuno Ramos""), ""Nuno Ramos"",
IF(REGEXMATCH(S162, ""^VELOSO, Caetano|Caetano Veloso""), ""YouTube (Caetano Veloso)"",
IF(REGEXMATCH(S162, ""^FATOS REAIS""), ""YouTube ("&amp;"Fatos Reais - Topic)"",
IF(REGEXMATCH(S162, ""^SALA SECRETA""), ""Wordpress (Sala Secreta)"",
PROPER(REGEXEXTRACT(S162, ""^([^.]*)\.""))
))))))))))))))))))))))))))))))))))))))))))))))))))))))))"),"YouTube (Prisioneiro 84.901)")</f>
        <v>YouTube (Prisioneiro 84.901)</v>
      </c>
      <c r="N162" s="11" t="s">
        <v>47</v>
      </c>
      <c r="O162" s="14" t="s">
        <v>546</v>
      </c>
      <c r="P162" s="171">
        <v>45946.0</v>
      </c>
      <c r="Q162" s="11" t="s">
        <v>154</v>
      </c>
      <c r="R162" s="70" t="str">
        <f t="shared" si="8"/>
        <v>Aqui</v>
      </c>
      <c r="S162" s="172" t="s">
        <v>853</v>
      </c>
    </row>
    <row r="163">
      <c r="A163" s="11">
        <v>161.0</v>
      </c>
      <c r="B163" s="11" t="s">
        <v>703</v>
      </c>
      <c r="C163" s="12" t="str">
        <f>IFERROR(__xludf.DUMMYFUNCTION("IF(B163="""","""",IF(OR(
  REGEXMATCH(B163,""Performance|Instalação|Álbum|Música|Poema|Livro|Filme|Documentário|Recitação|Espetáculo|Peça|Intervenção|Desfile|Fotografia|Exposição|Charge|Grafite|Leitura pública|Fabricação de cachaça artesanal""),
  REGEXMA"&amp;"TCH(B163,""dança|teatral|artístico|musical|artística"")
),""Manifestação artístico-cultural"",
IF(OR(
  REGEXMATCH(B163,""Crônica|Série|Reportagem|Podcast|Audiotour|Entrevista|Vídeo|Rádio""),
  REGEXMATCH(B163,""midiática"")
),""Produção midiática"","""")"&amp;"))
"),"Produção midiática")</f>
        <v>Produção midiática</v>
      </c>
      <c r="D163" s="13" t="str">
        <f>IFERROR(__xludf.DUMMYFUNCTION("IF(B163="""","""",IF(OR(
  REGEXMATCH(B163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REGEXMATCH(B163,""público|Imediato|artística|teatral|memória"")
),""Público Imediato"",
IF(REGEXMATCH(B163,""Música|Álbum|Filme|Documentário|Série|Podc"&amp;"ast|Rádio|Audiotour|Entrevista|Reportagem|Crônica|Relatório|Abaixo-assinado|Manifesto|Petição|Poema|Livro|Fotografia|Curta|Live|Webinário|Charge|Leitura pública|Vídeo""),
""Público Mediado"","""")))
"),"Público Mediado")</f>
        <v>Público Mediado</v>
      </c>
      <c r="E163" s="13" t="str">
        <f>IFERROR(__xludf.DUMMYFUNCTION("IF(B163="""","""",IF(OR(
  REGEXMATCH(B163,""Live|Webinário|Virtual""),
  REGEXMATCH(B163,""online"")
),""Virtual"",
IF(REGEXMATCH(B163,""Música|Álbum|Filme|Documentário|Série|Podcast|Rádio|Audiotour|Episódio|Reportagem|Curta|Charge|Livro|Vídeo|Entrevista"&amp;"""),
""Midiático"",
IF(REGEXMATCH(B163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3" s="211" t="str">
        <f>IFERROR(__xludf.DUMMYFUNCTION("IF(REGEXMATCH(S163,""YouTube""),
  REGEXREPLACE(
    REGEXREPLACE(
      REGEXREPLACE(
        REGEXREPLACE(
          REGEXREPLACE(
            REGEXREPLACE(
              REGEXREPLACE(
                REGEXREPLACE(
                  REGEXREPLACE(
      "&amp;"              REGEXREPLACE(
                      REGEXREPLACE(
                        REGEXREPLACE(
                          REGEXREPLACE(
                            REGEXEXTRACT(S163,""YouTube, ([0-9]{1,2} [a-z]{3,8}\. [0-9]{4})""),
                 "&amp;"         "" jan\. "",""\/01\/""),
                        "" fev\. "",""\/02\/""),
                      "" mar\. "",""\/03\/""),
                    "" abr\. "",""\/04\/""),
                  "" mai\. "",""\/05\/""),
                "" jun\. "",""\/06\/"&amp;"""),
              "" jul\. "",""\/07\/""),
            "" ago\. "",""\/08\/""),
          "" set\. "",""\/09\/""),
        "" out\. "",""\/10\/""),
      "" nov\. "",""\/11\/""),
    "" dez\. "",""\/12\/""),
  ""\s*/\s*"",""/""),
"""")
"),"15/10/2023")</f>
        <v>15/10/2023</v>
      </c>
      <c r="G163" s="15">
        <f t="shared" si="1"/>
        <v>2023</v>
      </c>
      <c r="H163" s="14" t="s">
        <v>23</v>
      </c>
      <c r="I163" s="16" t="s">
        <v>757</v>
      </c>
      <c r="J163" s="169" t="str">
        <f>IFERROR(__xludf.DUMMYFUNCTION("REGEXEXTRACT(S163, ""\.\s(.*?)\s*YouTube"")"),"Após morte dos 111, agora morte da memória.")</f>
        <v>Após morte dos 111, agora morte da memória.</v>
      </c>
      <c r="K163" s="16" t="s">
        <v>83</v>
      </c>
      <c r="L163" s="18" t="s">
        <v>329</v>
      </c>
      <c r="M163" s="15" t="str">
        <f>IFERROR(__xludf.DUMMYFUNCTION("IF(REGEXMATCH(S163, ""Companhia das Letras""), ""Companhia das Letras"",
IF(REGEXMATCH(S163, ""Labortexto Editorial""), ""Labortexto Editorial"",
IF(REGEXMATCH(S163, ""Geração Editorial""), ""Geração Editorial"",
IF(REGEXMATCH(S163, ""Editora Imprensa Ofi"&amp;"cial|Imprensa Oficial""), ""Editora Imprensa Oficial"",
IF(REGEXMATCH(S163, ""Folha Online""), ""Folha Online"",
IF(REGEXMATCH(S163, ""FGV DIREITO SP|FGV Direito SP""), ""FGV DIREITO SP"",
IF(REGEXMATCH(S163, ""massacrecarandiru\.org\.br""), ""Memória Mas"&amp;"sacre Carandiru"",
IF(REGEXMATCH(S163, ""Itaú Cultural""), ""YouTube (Itaú Cultural)"",
IF(REGEXMATCH(S163, ""Passa Palavra""), ""Vimeo (Passa Palavra)"",
IF(REGEXMATCH(S163, ""rede2deoutubro\.blogspot""), ""Blogspot (Rede 02 de Outubro)"",
IF(REGEXMATCH("&amp;"S163, ""Rede TVT""), ""YouTube (Rede TVT)"",
IF(REGEXMATCH(S163, ""Esquerda Diário""), ""Esquerda Diário"",
IF(REGEXMATCH(S163, ""GZH""), ""GZH"",
IF(REGEXMATCH(S163, ""TVPUC""), ""TVPUC"",
IF(REGEXMATCH(S163, ""Mídia Ninja.*Facebook""), ""Facebook (Mídia"&amp;" Ninja)"",
IF(REGEXMATCH(S163, ""Memórias Carandiru.*Instagram""), ""Instagram (Memórias Carandiru)"",
IF(REGEXMATCH(S163, ""Frente pelo Desencarceramento SP""), ""YouTube (Frente Pelo Desencarceramento SP)"",
IF(REGEXMATCH(S163, ""TV ABA""), ""YouTube (T"&amp;"V ABA)"",
IF(REGEXMATCH(S163, ""TV SENADO""), ""YouTube (TV Senado)"",
IF(REGEXMATCH(S163, ""Google Arts &amp; Culture""), ""Google Arts &amp; Culture (Memória Massacre Carandiru)"",
IF(REGEXMATCH(S163, ""Anistia Internacional|ANISTIA INTERNACIONAL""), ""Anistia "&amp;"Internacional"",
IF(REGEXMATCH(S163, ""47\.mostra|47a Mostra""), ""47a Mostra Internacional de Cinema em São Paulo"",
IF(REGEXMATCH(S163, ""Canal USP""), ""YouTube (Canal USP)"",
IF(AND(
  REGEXMATCH(S163, ""(?i)(teses?\.usp\.br|dissertacoes?\.usp\.br|rep"&amp;"ositorio\.usp\.br)""),
  NOT(REGEXMATCH(S163, ""Canal USP""))
), ""Biblioteca Digital de Teses e Dissertações da USP"",
IF(REGEXMATCH(S163, ""SINTRAJUSC""), ""SINTRAJUSC"",
IF(REGEXMATCH(S163, ""Agência Brasil|Agencia Brasil""), ""Agência Brasil"",
IF(REG"&amp;"EXMATCH(S163, ""Brasil de Fato""), ""Brasil de Fato"",
IF(REGEXMATCH(S163, ""Ponte Jornalismo|pontejornalismo""), ""Ponte Jornalismo"",
IF(REGEXMATCH(S163, ""letras\.mus\.br|Letras,""), ""Letras"",
IF(REGEXMATCH(S163, ""YouTube|youtube""), 
   ""YouTube "&amp;"(""&amp;
   IF(REGEXMATCH(S163, ""Itaú Cultural""), ""Itaú Cultural"",
   IF(REGEXMATCH(S163, ""Rede TVT""), ""Rede TVT"",
   IF(REGEXMATCH(S163, ""Frente pelo Desencarceramento SP""), ""Frente Pelo Desencarceramento SP"",
   IF(REGEXMATCH(S163, ""TV ABA""), "&amp;"""TV ABA"",
   IF(REGEXMATCH(S163, ""TV SENADO""), ""TV Senado"",
   IF(REGEXMATCH(S163, ""Canal USP""), ""Canal USP"",
   IF(REGEXMATCH(S163, ""Douer, Zack|Zack Douer""), ""Douer Zack"",
   IF(REGEXMATCH(S163, ""PRISIONEIRO 84\.901|PRISIONEIRO 84""), ""P"&amp;"risioneiro 84.901"",
   IF(REGEXMATCH(S163, ""^[^,]*, ""), 
        PROPER(REGEXREPLACE(REGEXEXTRACT(S163, ""^([^.]*)\.""), ""^([^,]*), (.*)"", ""$2 $1"")),
        PROPER(REGEXEXTRACT(S163, ""^([^.]*)\.""))
   )))))))))&amp;"")"",
IF(REGEXMATCH(S163, ""Spot"&amp;"ify|spotify""), 
   ""Spotify (""&amp;
   IF(REGEXMATCH(S163, ""ESTRANHO SORRISO""), ""Estranho Sorriso"",
   PROPER(REGEXEXTRACT(S163, ""^([^.]*)\.""))
   )&amp;"")"",
IF(REGEXMATCH(S163, ""Vimeo|vimeo""), 
   ""Vimeo (""&amp;
   IF(REGEXMATCH(S163, ""Passa Palavra"&amp;"""), ""Passa Palavra"",
   PROPER(REGEXEXTRACT(S163, ""^([^.]*)\.""))
   )&amp;"")"",
IF(REGEXMATCH(S163, ""Blogspot""), 
   ""Blogspot (""&amp;
   IF(REGEXMATCH(S163, ""rede2deoutubro""), ""Rede 02 de Outubro"",
   PROPER(REGEXEXTRACT(S163, ""^([^.]*)\.""))
   "&amp;")&amp;"")"",
IF(REGEXMATCH(S163, ""Facebook""), 
   ""Facebook (""&amp;
   IF(REGEXMATCH(S163, ""Mídia Ninja""), ""Mídia Ninja"",
   PROPER(REGEXEXTRACT(S163, ""^([^.]*)\.""))
   )&amp;"")"",
IF(REGEXMATCH(S163, ""Instagram""), 
   ""Instagram (""&amp;
   IF(REGEXMATCH"&amp;"(S163, ""Memórias Carandiru""), ""Memórias Carandiru"",
   PROPER(REGEXEXTRACT(S163, ""^([^.]*)\.""))
   )&amp;"")"",
IF(REGEXMATCH(S163, ""Folha de S\. Paulo|FOLHA DE S\. PAULO""), ""Folha de S. Paulo"",
IF(REGEXMATCH(S163, ""O Estado de S\. Paulo|ESTADAO"""&amp;"), ""O Estado de S. Paulo"",
IF(REGEXMATCH(S163, ""salasecreta""), ""Wordpress (Sala Secreta)"",
IF(REGEXMATCH(S163, ""Wikipedia|Wikipédia|WIKIPÉDIA""), ""Wikipedia"",
IF(REGEXMATCH(S163, ""VEJA|Veja""), ""Veja Abril"",
IF(REGEXMATCH(S435, ""Rede Globo|RE"&amp;"DE GLOBO""), ""Rede Globo"",
IF(REGEXMATCH(S435, ""G1|globo\.com""), ""G1"",
IF(REGEXMATCH(S163, ""Deutsche Welle|DW\.com""), ""Deutsche Welle"",
IF(REGEXMATCH(S163, ""CIDH|Comissão Interamericana""), ""Comissão Interamericana de Direitos Humanos (CIDH)"""&amp;",
IF(REGEXMATCH(S163, ""Pastoral Carcerária""), ""Pastoral Carcerária"",
IF(REGEXMATCH(S163, ""Esquerda Web""), ""Esquerda Web"",
IF(REGEXMATCH(S163, ""ONU|Organização das Nações Unidas""), ""ONU Brasil"",
IF(REGEXMATCH(S163, ""Quilombo Invisível""), ""Qu"&amp;"ilombo Invisível"",
IF(REGEXMATCH(S163, ""ALESP|Assembleia Legislativa""), ""ALESP"",
IF(REGEXMATCH(S163, ""Revista Opera""), ""Revista Opera"",
IF(REGEXMATCH(S163, ""SP Escola de Teatro""), ""SP Escola de Teatro"",
IF(REGEXMATCH(S163, ""EMC|Espaço Memóri"&amp;"a Carandiru""), ""EMC Espaço Memória Carandiru"",
IF(REGEXMATCH(S163, ""^RAMOS, Nuno|Nuno Ramos""), ""Nuno Ramos"",
IF(REGEXMATCH(S163, ""^VELOSO, Caetano|Caetano Veloso""), ""YouTube (Caetano Veloso)"",
IF(REGEXMATCH(S163, ""^FATOS REAIS""), ""YouTube ("&amp;"Fatos Reais - Topic)"",
IF(REGEXMATCH(S163, ""^SALA SECRETA""), ""Wordpress (Sala Secreta)"",
PROPER(REGEXEXTRACT(S163, ""^([^.]*)\.""))
))))))))))))))))))))))))))))))))))))))))))))))))))))))))"),"YouTube (Prisioneiro 84.901)")</f>
        <v>YouTube (Prisioneiro 84.901)</v>
      </c>
      <c r="N163" s="11" t="s">
        <v>47</v>
      </c>
      <c r="O163" s="14" t="s">
        <v>546</v>
      </c>
      <c r="P163" s="171">
        <v>45946.0</v>
      </c>
      <c r="Q163" s="11" t="s">
        <v>154</v>
      </c>
      <c r="R163" s="70" t="str">
        <f t="shared" si="8"/>
        <v>Aqui</v>
      </c>
      <c r="S163" s="172" t="s">
        <v>854</v>
      </c>
    </row>
    <row r="164">
      <c r="A164" s="11">
        <v>162.0</v>
      </c>
      <c r="B164" s="11" t="s">
        <v>703</v>
      </c>
      <c r="C164" s="12" t="str">
        <f>IFERROR(__xludf.DUMMYFUNCTION("IF(B164="""","""",IF(OR(
  REGEXMATCH(B164,""Performance|Instalação|Álbum|Música|Poema|Livro|Filme|Documentário|Recitação|Espetáculo|Peça|Intervenção|Desfile|Fotografia|Exposição|Charge|Grafite|Leitura pública|Fabricação de cachaça artesanal""),
  REGEXMA"&amp;"TCH(B164,""dança|teatral|artístico|musical|artística"")
),""Manifestação artístico-cultural"",
IF(OR(
  REGEXMATCH(B164,""Crônica|Série|Reportagem|Podcast|Audiotour|Entrevista|Vídeo|Rádio""),
  REGEXMATCH(B164,""midiática"")
),""Produção midiática"","""")"&amp;"))
"),"Produção midiática")</f>
        <v>Produção midiática</v>
      </c>
      <c r="D164" s="13" t="str">
        <f>IFERROR(__xludf.DUMMYFUNCTION("IF(B164="""","""",IF(OR(
  REGEXMATCH(B164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REGEXMATCH(B164,""público|Imediato|artística|teatral|memória"")
),""Público Imediato"",
IF(REGEXMATCH(B164,""Música|Álbum|Filme|Documentário|Série|Podc"&amp;"ast|Rádio|Audiotour|Entrevista|Reportagem|Crônica|Relatório|Abaixo-assinado|Manifesto|Petição|Poema|Livro|Fotografia|Curta|Live|Webinário|Charge|Leitura pública|Vídeo""),
""Público Mediado"","""")))
"),"Público Mediado")</f>
        <v>Público Mediado</v>
      </c>
      <c r="E164" s="13" t="str">
        <f>IFERROR(__xludf.DUMMYFUNCTION("IF(B164="""","""",IF(OR(
  REGEXMATCH(B164,""Live|Webinário|Virtual""),
  REGEXMATCH(B164,""online"")
),""Virtual"",
IF(REGEXMATCH(B164,""Música|Álbum|Filme|Documentário|Série|Podcast|Rádio|Audiotour|Episódio|Reportagem|Curta|Charge|Livro|Vídeo|Entrevista"&amp;"""),
""Midiático"",
IF(REGEXMATCH(B164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4" s="211" t="str">
        <f>IFERROR(__xludf.DUMMYFUNCTION("IF(REGEXMATCH(S164,""YouTube""),
  REGEXREPLACE(
    REGEXREPLACE(
      REGEXREPLACE(
        REGEXREPLACE(
          REGEXREPLACE(
            REGEXREPLACE(
              REGEXREPLACE(
                REGEXREPLACE(
                  REGEXREPLACE(
      "&amp;"              REGEXREPLACE(
                      REGEXREPLACE(
                        REGEXREPLACE(
                          REGEXREPLACE(
                            REGEXEXTRACT(S164,""YouTube, ([0-9]{1,2} [a-z]{3,8}\. [0-9]{4})""),
                 "&amp;"         "" jan\. "",""\/01\/""),
                        "" fev\. "",""\/02\/""),
                      "" mar\. "",""\/03\/""),
                    "" abr\. "",""\/04\/""),
                  "" mai\. "",""\/05\/""),
                "" jun\. "",""\/06\/"&amp;"""),
              "" jul\. "",""\/07\/""),
            "" ago\. "",""\/08\/""),
          "" set\. "",""\/09\/""),
        "" out\. "",""\/10\/""),
      "" nov\. "",""\/11\/""),
    "" dez\. "",""\/12\/""),
  ""\s*/\s*"",""/""),
"""")
"),"23/11/2023")</f>
        <v>23/11/2023</v>
      </c>
      <c r="G164" s="15">
        <f t="shared" si="1"/>
        <v>2023</v>
      </c>
      <c r="H164" s="14" t="s">
        <v>23</v>
      </c>
      <c r="I164" s="16" t="s">
        <v>757</v>
      </c>
      <c r="J164" s="169" t="str">
        <f>IFERROR(__xludf.DUMMYFUNCTION("REGEXEXTRACT(S164, ""\.\s(.*?)\s*YouTube"")"),"Torturado e torturador.")</f>
        <v>Torturado e torturador.</v>
      </c>
      <c r="K164" s="16" t="s">
        <v>83</v>
      </c>
      <c r="L164" s="18" t="s">
        <v>329</v>
      </c>
      <c r="M164" s="15" t="str">
        <f>IFERROR(__xludf.DUMMYFUNCTION("IF(REGEXMATCH(S164, ""Companhia das Letras""), ""Companhia das Letras"",
IF(REGEXMATCH(S164, ""Labortexto Editorial""), ""Labortexto Editorial"",
IF(REGEXMATCH(S164, ""Geração Editorial""), ""Geração Editorial"",
IF(REGEXMATCH(S164, ""Editora Imprensa Ofi"&amp;"cial|Imprensa Oficial""), ""Editora Imprensa Oficial"",
IF(REGEXMATCH(S164, ""Folha Online""), ""Folha Online"",
IF(REGEXMATCH(S164, ""FGV DIREITO SP|FGV Direito SP""), ""FGV DIREITO SP"",
IF(REGEXMATCH(S164, ""massacrecarandiru\.org\.br""), ""Memória Mas"&amp;"sacre Carandiru"",
IF(REGEXMATCH(S164, ""Itaú Cultural""), ""YouTube (Itaú Cultural)"",
IF(REGEXMATCH(S164, ""Passa Palavra""), ""Vimeo (Passa Palavra)"",
IF(REGEXMATCH(S164, ""rede2deoutubro\.blogspot""), ""Blogspot (Rede 02 de Outubro)"",
IF(REGEXMATCH("&amp;"S164, ""Rede TVT""), ""YouTube (Rede TVT)"",
IF(REGEXMATCH(S164, ""Esquerda Diário""), ""Esquerda Diário"",
IF(REGEXMATCH(S164, ""GZH""), ""GZH"",
IF(REGEXMATCH(S164, ""TVPUC""), ""TVPUC"",
IF(REGEXMATCH(S164, ""Mídia Ninja.*Facebook""), ""Facebook (Mídia"&amp;" Ninja)"",
IF(REGEXMATCH(S164, ""Memórias Carandiru.*Instagram""), ""Instagram (Memórias Carandiru)"",
IF(REGEXMATCH(S164, ""Frente pelo Desencarceramento SP""), ""YouTube (Frente Pelo Desencarceramento SP)"",
IF(REGEXMATCH(S164, ""TV ABA""), ""YouTube (T"&amp;"V ABA)"",
IF(REGEXMATCH(S164, ""TV SENADO""), ""YouTube (TV Senado)"",
IF(REGEXMATCH(S164, ""Google Arts &amp; Culture""), ""Google Arts &amp; Culture (Memória Massacre Carandiru)"",
IF(REGEXMATCH(S164, ""Anistia Internacional|ANISTIA INTERNACIONAL""), ""Anistia "&amp;"Internacional"",
IF(REGEXMATCH(S164, ""47\.mostra|47a Mostra""), ""47a Mostra Internacional de Cinema em São Paulo"",
IF(REGEXMATCH(S164, ""Canal USP""), ""YouTube (Canal USP)"",
IF(AND(
  REGEXMATCH(S164, ""(?i)(teses?\.usp\.br|dissertacoes?\.usp\.br|rep"&amp;"ositorio\.usp\.br)""),
  NOT(REGEXMATCH(S164, ""Canal USP""))
), ""Biblioteca Digital de Teses e Dissertações da USP"",
IF(REGEXMATCH(S164, ""SINTRAJUSC""), ""SINTRAJUSC"",
IF(REGEXMATCH(S164, ""Agência Brasil|Agencia Brasil""), ""Agência Brasil"",
IF(REG"&amp;"EXMATCH(S164, ""Brasil de Fato""), ""Brasil de Fato"",
IF(REGEXMATCH(S164, ""Ponte Jornalismo|pontejornalismo""), ""Ponte Jornalismo"",
IF(REGEXMATCH(S164, ""letras\.mus\.br|Letras,""), ""Letras"",
IF(REGEXMATCH(S164, ""YouTube|youtube""), 
   ""YouTube "&amp;"(""&amp;
   IF(REGEXMATCH(S164, ""Itaú Cultural""), ""Itaú Cultural"",
   IF(REGEXMATCH(S164, ""Rede TVT""), ""Rede TVT"",
   IF(REGEXMATCH(S164, ""Frente pelo Desencarceramento SP""), ""Frente Pelo Desencarceramento SP"",
   IF(REGEXMATCH(S164, ""TV ABA""), "&amp;"""TV ABA"",
   IF(REGEXMATCH(S164, ""TV SENADO""), ""TV Senado"",
   IF(REGEXMATCH(S164, ""Canal USP""), ""Canal USP"",
   IF(REGEXMATCH(S164, ""Douer, Zack|Zack Douer""), ""Douer Zack"",
   IF(REGEXMATCH(S164, ""PRISIONEIRO 84\.901|PRISIONEIRO 84""), ""P"&amp;"risioneiro 84.901"",
   IF(REGEXMATCH(S164, ""^[^,]*, ""), 
        PROPER(REGEXREPLACE(REGEXEXTRACT(S164, ""^([^.]*)\.""), ""^([^,]*), (.*)"", ""$2 $1"")),
        PROPER(REGEXEXTRACT(S164, ""^([^.]*)\.""))
   )))))))))&amp;"")"",
IF(REGEXMATCH(S164, ""Spot"&amp;"ify|spotify""), 
   ""Spotify (""&amp;
   IF(REGEXMATCH(S164, ""ESTRANHO SORRISO""), ""Estranho Sorriso"",
   PROPER(REGEXEXTRACT(S164, ""^([^.]*)\.""))
   )&amp;"")"",
IF(REGEXMATCH(S164, ""Vimeo|vimeo""), 
   ""Vimeo (""&amp;
   IF(REGEXMATCH(S164, ""Passa Palavra"&amp;"""), ""Passa Palavra"",
   PROPER(REGEXEXTRACT(S164, ""^([^.]*)\.""))
   )&amp;"")"",
IF(REGEXMATCH(S164, ""Blogspot""), 
   ""Blogspot (""&amp;
   IF(REGEXMATCH(S164, ""rede2deoutubro""), ""Rede 02 de Outubro"",
   PROPER(REGEXEXTRACT(S164, ""^([^.]*)\.""))
   "&amp;")&amp;"")"",
IF(REGEXMATCH(S164, ""Facebook""), 
   ""Facebook (""&amp;
   IF(REGEXMATCH(S164, ""Mídia Ninja""), ""Mídia Ninja"",
   PROPER(REGEXEXTRACT(S164, ""^([^.]*)\.""))
   )&amp;"")"",
IF(REGEXMATCH(S164, ""Instagram""), 
   ""Instagram (""&amp;
   IF(REGEXMATCH"&amp;"(S164, ""Memórias Carandiru""), ""Memórias Carandiru"",
   PROPER(REGEXEXTRACT(S164, ""^([^.]*)\.""))
   )&amp;"")"",
IF(REGEXMATCH(S164, ""Folha de S\. Paulo|FOLHA DE S\. PAULO""), ""Folha de S. Paulo"",
IF(REGEXMATCH(S164, ""O Estado de S\. Paulo|ESTADAO"""&amp;"), ""O Estado de S. Paulo"",
IF(REGEXMATCH(S164, ""salasecreta""), ""Wordpress (Sala Secreta)"",
IF(REGEXMATCH(S164, ""Wikipedia|Wikipédia|WIKIPÉDIA""), ""Wikipedia"",
IF(REGEXMATCH(S164, ""VEJA|Veja""), ""Veja Abril"",
IF(REGEXMATCH(S436, ""Rede Globo|RE"&amp;"DE GLOBO""), ""Rede Globo"",
IF(REGEXMATCH(S436, ""G1|globo\.com""), ""G1"",
IF(REGEXMATCH(S164, ""Deutsche Welle|DW\.com""), ""Deutsche Welle"",
IF(REGEXMATCH(S164, ""CIDH|Comissão Interamericana""), ""Comissão Interamericana de Direitos Humanos (CIDH)"""&amp;",
IF(REGEXMATCH(S164, ""Pastoral Carcerária""), ""Pastoral Carcerária"",
IF(REGEXMATCH(S164, ""Esquerda Web""), ""Esquerda Web"",
IF(REGEXMATCH(S164, ""ONU|Organização das Nações Unidas""), ""ONU Brasil"",
IF(REGEXMATCH(S164, ""Quilombo Invisível""), ""Qu"&amp;"ilombo Invisível"",
IF(REGEXMATCH(S164, ""ALESP|Assembleia Legislativa""), ""ALESP"",
IF(REGEXMATCH(S164, ""Revista Opera""), ""Revista Opera"",
IF(REGEXMATCH(S164, ""SP Escola de Teatro""), ""SP Escola de Teatro"",
IF(REGEXMATCH(S164, ""EMC|Espaço Memóri"&amp;"a Carandiru""), ""EMC Espaço Memória Carandiru"",
IF(REGEXMATCH(S164, ""^RAMOS, Nuno|Nuno Ramos""), ""Nuno Ramos"",
IF(REGEXMATCH(S164, ""^VELOSO, Caetano|Caetano Veloso""), ""YouTube (Caetano Veloso)"",
IF(REGEXMATCH(S164, ""^FATOS REAIS""), ""YouTube ("&amp;"Fatos Reais - Topic)"",
IF(REGEXMATCH(S164, ""^SALA SECRETA""), ""Wordpress (Sala Secreta)"",
PROPER(REGEXEXTRACT(S164, ""^([^.]*)\.""))
))))))))))))))))))))))))))))))))))))))))))))))))))))))))"),"YouTube (Prisioneiro 84.901)")</f>
        <v>YouTube (Prisioneiro 84.901)</v>
      </c>
      <c r="N164" s="11" t="s">
        <v>47</v>
      </c>
      <c r="O164" s="14" t="s">
        <v>546</v>
      </c>
      <c r="P164" s="171">
        <v>45946.0</v>
      </c>
      <c r="Q164" s="11" t="s">
        <v>154</v>
      </c>
      <c r="R164" s="70" t="str">
        <f t="shared" si="8"/>
        <v>Aqui</v>
      </c>
      <c r="S164" s="172" t="s">
        <v>855</v>
      </c>
    </row>
    <row r="165">
      <c r="A165" s="11">
        <v>163.0</v>
      </c>
      <c r="B165" s="11" t="s">
        <v>703</v>
      </c>
      <c r="C165" s="12" t="str">
        <f>IFERROR(__xludf.DUMMYFUNCTION("IF(B165="""","""",IF(OR(
  REGEXMATCH(B165,""Performance|Instalação|Álbum|Música|Poema|Livro|Filme|Documentário|Recitação|Espetáculo|Peça|Intervenção|Desfile|Fotografia|Exposição|Charge|Grafite|Leitura pública|Fabricação de cachaça artesanal""),
  REGEXMA"&amp;"TCH(B165,""dança|teatral|artístico|musical|artística"")
),""Manifestação artístico-cultural"",
IF(OR(
  REGEXMATCH(B165,""Crônica|Série|Reportagem|Podcast|Audiotour|Entrevista|Vídeo|Rádio""),
  REGEXMATCH(B165,""midiática"")
),""Produção midiática"","""")"&amp;"))
"),"Produção midiática")</f>
        <v>Produção midiática</v>
      </c>
      <c r="D165" s="13" t="str">
        <f>IFERROR(__xludf.DUMMYFUNCTION("IF(B165="""","""",IF(OR(
  REGEXMATCH(B165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REGEXMATCH(B165,""público|Imediato|artística|teatral|memória"")
),""Público Imediato"",
IF(REGEXMATCH(B165,""Música|Álbum|Filme|Documentário|Série|Podc"&amp;"ast|Rádio|Audiotour|Entrevista|Reportagem|Crônica|Relatório|Abaixo-assinado|Manifesto|Petição|Poema|Livro|Fotografia|Curta|Live|Webinário|Charge|Leitura pública|Vídeo""),
""Público Mediado"","""")))
"),"Público Mediado")</f>
        <v>Público Mediado</v>
      </c>
      <c r="E165" s="13" t="str">
        <f>IFERROR(__xludf.DUMMYFUNCTION("IF(B165="""","""",IF(OR(
  REGEXMATCH(B165,""Live|Webinário|Virtual""),
  REGEXMATCH(B165,""online"")
),""Virtual"",
IF(REGEXMATCH(B165,""Música|Álbum|Filme|Documentário|Série|Podcast|Rádio|Audiotour|Episódio|Reportagem|Curta|Charge|Livro|Vídeo|Entrevista"&amp;"""),
""Midiático"",
IF(REGEXMATCH(B165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5" s="211" t="str">
        <f>IFERROR(__xludf.DUMMYFUNCTION("IF(REGEXMATCH(S165,""YouTube""),
  REGEXREPLACE(
    REGEXREPLACE(
      REGEXREPLACE(
        REGEXREPLACE(
          REGEXREPLACE(
            REGEXREPLACE(
              REGEXREPLACE(
                REGEXREPLACE(
                  REGEXREPLACE(
      "&amp;"              REGEXREPLACE(
                      REGEXREPLACE(
                        REGEXREPLACE(
                          REGEXREPLACE(
                            REGEXEXTRACT(S165,""YouTube, ([0-9]{1,2} [a-z]{3,8}\. [0-9]{4})""),
                 "&amp;"         "" jan\. "",""\/01\/""),
                        "" fev\. "",""\/02\/""),
                      "" mar\. "",""\/03\/""),
                    "" abr\. "",""\/04\/""),
                  "" mai\. "",""\/05\/""),
                "" jun\. "",""\/06\/"&amp;"""),
              "" jul\. "",""\/07\/""),
            "" ago\. "",""\/08\/""),
          "" set\. "",""\/09\/""),
        "" out\. "",""\/10\/""),
      "" nov\. "",""\/11\/""),
    "" dez\. "",""\/12\/""),
  ""\s*/\s*"",""/""),
"""")
"),"26/11/2023")</f>
        <v>26/11/2023</v>
      </c>
      <c r="G165" s="15">
        <f t="shared" si="1"/>
        <v>2023</v>
      </c>
      <c r="H165" s="14" t="s">
        <v>23</v>
      </c>
      <c r="I165" s="16" t="s">
        <v>757</v>
      </c>
      <c r="J165" s="169" t="str">
        <f>IFERROR(__xludf.DUMMYFUNCTION("REGEXEXTRACT(S165, ""\.\s(.*?)\s*YouTube"")"),"Torturados, torturadores e coniventes.")</f>
        <v>Torturados, torturadores e coniventes.</v>
      </c>
      <c r="K165" s="16" t="s">
        <v>83</v>
      </c>
      <c r="L165" s="18" t="s">
        <v>329</v>
      </c>
      <c r="M165" s="15" t="str">
        <f>IFERROR(__xludf.DUMMYFUNCTION("IF(REGEXMATCH(S165, ""Companhia das Letras""), ""Companhia das Letras"",
IF(REGEXMATCH(S165, ""Labortexto Editorial""), ""Labortexto Editorial"",
IF(REGEXMATCH(S165, ""Geração Editorial""), ""Geração Editorial"",
IF(REGEXMATCH(S165, ""Editora Imprensa Ofi"&amp;"cial|Imprensa Oficial""), ""Editora Imprensa Oficial"",
IF(REGEXMATCH(S165, ""Folha Online""), ""Folha Online"",
IF(REGEXMATCH(S165, ""FGV DIREITO SP|FGV Direito SP""), ""FGV DIREITO SP"",
IF(REGEXMATCH(S165, ""massacrecarandiru\.org\.br""), ""Memória Mas"&amp;"sacre Carandiru"",
IF(REGEXMATCH(S165, ""Itaú Cultural""), ""YouTube (Itaú Cultural)"",
IF(REGEXMATCH(S165, ""Passa Palavra""), ""Vimeo (Passa Palavra)"",
IF(REGEXMATCH(S165, ""rede2deoutubro\.blogspot""), ""Blogspot (Rede 02 de Outubro)"",
IF(REGEXMATCH("&amp;"S165, ""Rede TVT""), ""YouTube (Rede TVT)"",
IF(REGEXMATCH(S165, ""Esquerda Diário""), ""Esquerda Diário"",
IF(REGEXMATCH(S165, ""GZH""), ""GZH"",
IF(REGEXMATCH(S165, ""TVPUC""), ""TVPUC"",
IF(REGEXMATCH(S165, ""Mídia Ninja.*Facebook""), ""Facebook (Mídia"&amp;" Ninja)"",
IF(REGEXMATCH(S165, ""Memórias Carandiru.*Instagram""), ""Instagram (Memórias Carandiru)"",
IF(REGEXMATCH(S165, ""Frente pelo Desencarceramento SP""), ""YouTube (Frente Pelo Desencarceramento SP)"",
IF(REGEXMATCH(S165, ""TV ABA""), ""YouTube (T"&amp;"V ABA)"",
IF(REGEXMATCH(S165, ""TV SENADO""), ""YouTube (TV Senado)"",
IF(REGEXMATCH(S165, ""Google Arts &amp; Culture""), ""Google Arts &amp; Culture (Memória Massacre Carandiru)"",
IF(REGEXMATCH(S165, ""Anistia Internacional|ANISTIA INTERNACIONAL""), ""Anistia "&amp;"Internacional"",
IF(REGEXMATCH(S165, ""47\.mostra|47a Mostra""), ""47a Mostra Internacional de Cinema em São Paulo"",
IF(REGEXMATCH(S165, ""Canal USP""), ""YouTube (Canal USP)"",
IF(AND(
  REGEXMATCH(S165, ""(?i)(teses?\.usp\.br|dissertacoes?\.usp\.br|rep"&amp;"ositorio\.usp\.br)""),
  NOT(REGEXMATCH(S165, ""Canal USP""))
), ""Biblioteca Digital de Teses e Dissertações da USP"",
IF(REGEXMATCH(S165, ""SINTRAJUSC""), ""SINTRAJUSC"",
IF(REGEXMATCH(S165, ""Agência Brasil|Agencia Brasil""), ""Agência Brasil"",
IF(REG"&amp;"EXMATCH(S165, ""Brasil de Fato""), ""Brasil de Fato"",
IF(REGEXMATCH(S165, ""Ponte Jornalismo|pontejornalismo""), ""Ponte Jornalismo"",
IF(REGEXMATCH(S165, ""letras\.mus\.br|Letras,""), ""Letras"",
IF(REGEXMATCH(S165, ""YouTube|youtube""), 
   ""YouTube "&amp;"(""&amp;
   IF(REGEXMATCH(S165, ""Itaú Cultural""), ""Itaú Cultural"",
   IF(REGEXMATCH(S165, ""Rede TVT""), ""Rede TVT"",
   IF(REGEXMATCH(S165, ""Frente pelo Desencarceramento SP""), ""Frente Pelo Desencarceramento SP"",
   IF(REGEXMATCH(S165, ""TV ABA""), "&amp;"""TV ABA"",
   IF(REGEXMATCH(S165, ""TV SENADO""), ""TV Senado"",
   IF(REGEXMATCH(S165, ""Canal USP""), ""Canal USP"",
   IF(REGEXMATCH(S165, ""Douer, Zack|Zack Douer""), ""Douer Zack"",
   IF(REGEXMATCH(S165, ""PRISIONEIRO 84\.901|PRISIONEIRO 84""), ""P"&amp;"risioneiro 84.901"",
   IF(REGEXMATCH(S165, ""^[^,]*, ""), 
        PROPER(REGEXREPLACE(REGEXEXTRACT(S165, ""^([^.]*)\.""), ""^([^,]*), (.*)"", ""$2 $1"")),
        PROPER(REGEXEXTRACT(S165, ""^([^.]*)\.""))
   )))))))))&amp;"")"",
IF(REGEXMATCH(S165, ""Spot"&amp;"ify|spotify""), 
   ""Spotify (""&amp;
   IF(REGEXMATCH(S165, ""ESTRANHO SORRISO""), ""Estranho Sorriso"",
   PROPER(REGEXEXTRACT(S165, ""^([^.]*)\.""))
   )&amp;"")"",
IF(REGEXMATCH(S165, ""Vimeo|vimeo""), 
   ""Vimeo (""&amp;
   IF(REGEXMATCH(S165, ""Passa Palavra"&amp;"""), ""Passa Palavra"",
   PROPER(REGEXEXTRACT(S165, ""^([^.]*)\.""))
   )&amp;"")"",
IF(REGEXMATCH(S165, ""Blogspot""), 
   ""Blogspot (""&amp;
   IF(REGEXMATCH(S165, ""rede2deoutubro""), ""Rede 02 de Outubro"",
   PROPER(REGEXEXTRACT(S165, ""^([^.]*)\.""))
   "&amp;")&amp;"")"",
IF(REGEXMATCH(S165, ""Facebook""), 
   ""Facebook (""&amp;
   IF(REGEXMATCH(S165, ""Mídia Ninja""), ""Mídia Ninja"",
   PROPER(REGEXEXTRACT(S165, ""^([^.]*)\.""))
   )&amp;"")"",
IF(REGEXMATCH(S165, ""Instagram""), 
   ""Instagram (""&amp;
   IF(REGEXMATCH"&amp;"(S165, ""Memórias Carandiru""), ""Memórias Carandiru"",
   PROPER(REGEXEXTRACT(S165, ""^([^.]*)\.""))
   )&amp;"")"",
IF(REGEXMATCH(S165, ""Folha de S\. Paulo|FOLHA DE S\. PAULO""), ""Folha de S. Paulo"",
IF(REGEXMATCH(S165, ""O Estado de S\. Paulo|ESTADAO"""&amp;"), ""O Estado de S. Paulo"",
IF(REGEXMATCH(S165, ""salasecreta""), ""Wordpress (Sala Secreta)"",
IF(REGEXMATCH(S165, ""Wikipedia|Wikipédia|WIKIPÉDIA""), ""Wikipedia"",
IF(REGEXMATCH(S165, ""VEJA|Veja""), ""Veja Abril"",
IF(REGEXMATCH(S437, ""Rede Globo|RE"&amp;"DE GLOBO""), ""Rede Globo"",
IF(REGEXMATCH(S437, ""G1|globo\.com""), ""G1"",
IF(REGEXMATCH(S165, ""Deutsche Welle|DW\.com""), ""Deutsche Welle"",
IF(REGEXMATCH(S165, ""CIDH|Comissão Interamericana""), ""Comissão Interamericana de Direitos Humanos (CIDH)"""&amp;",
IF(REGEXMATCH(S165, ""Pastoral Carcerária""), ""Pastoral Carcerária"",
IF(REGEXMATCH(S165, ""Esquerda Web""), ""Esquerda Web"",
IF(REGEXMATCH(S165, ""ONU|Organização das Nações Unidas""), ""ONU Brasil"",
IF(REGEXMATCH(S165, ""Quilombo Invisível""), ""Qu"&amp;"ilombo Invisível"",
IF(REGEXMATCH(S165, ""ALESP|Assembleia Legislativa""), ""ALESP"",
IF(REGEXMATCH(S165, ""Revista Opera""), ""Revista Opera"",
IF(REGEXMATCH(S165, ""SP Escola de Teatro""), ""SP Escola de Teatro"",
IF(REGEXMATCH(S165, ""EMC|Espaço Memóri"&amp;"a Carandiru""), ""EMC Espaço Memória Carandiru"",
IF(REGEXMATCH(S165, ""^RAMOS, Nuno|Nuno Ramos""), ""Nuno Ramos"",
IF(REGEXMATCH(S165, ""^VELOSO, Caetano|Caetano Veloso""), ""YouTube (Caetano Veloso)"",
IF(REGEXMATCH(S165, ""^FATOS REAIS""), ""YouTube ("&amp;"Fatos Reais - Topic)"",
IF(REGEXMATCH(S165, ""^SALA SECRETA""), ""Wordpress (Sala Secreta)"",
PROPER(REGEXEXTRACT(S165, ""^([^.]*)\.""))
))))))))))))))))))))))))))))))))))))))))))))))))))))))))"),"YouTube (Prisioneiro 84.901)")</f>
        <v>YouTube (Prisioneiro 84.901)</v>
      </c>
      <c r="N165" s="11" t="s">
        <v>47</v>
      </c>
      <c r="O165" s="14" t="s">
        <v>546</v>
      </c>
      <c r="P165" s="171">
        <v>45946.0</v>
      </c>
      <c r="Q165" s="11" t="s">
        <v>154</v>
      </c>
      <c r="R165" s="70" t="str">
        <f t="shared" si="8"/>
        <v>Aqui</v>
      </c>
      <c r="S165" s="172" t="s">
        <v>856</v>
      </c>
    </row>
    <row r="166">
      <c r="A166" s="11">
        <v>164.0</v>
      </c>
      <c r="B166" s="11" t="s">
        <v>703</v>
      </c>
      <c r="C166" s="12" t="str">
        <f>IFERROR(__xludf.DUMMYFUNCTION("IF(B166="""","""",IF(OR(
  REGEXMATCH(B166,""Performance|Instalação|Álbum|Música|Poema|Livro|Filme|Documentário|Recitação|Espetáculo|Peça|Intervenção|Desfile|Fotografia|Exposição|Charge|Grafite|Leitura pública|Fabricação de cachaça artesanal""),
  REGEXMA"&amp;"TCH(B166,""dança|teatral|artístico|musical|artística"")
),""Manifestação artístico-cultural"",
IF(OR(
  REGEXMATCH(B166,""Crônica|Série|Reportagem|Podcast|Audiotour|Entrevista|Vídeo|Rádio""),
  REGEXMATCH(B166,""midiática"")
),""Produção midiática"","""")"&amp;"))
"),"Produção midiática")</f>
        <v>Produção midiática</v>
      </c>
      <c r="D166" s="13" t="str">
        <f>IFERROR(__xludf.DUMMYFUNCTION("IF(B166="""","""",IF(OR(
  REGEXMATCH(B166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REGEXMATCH(B166,""público|Imediato|artística|teatral|memória"")
),""Público Imediato"",
IF(REGEXMATCH(B166,""Música|Álbum|Filme|Documentário|Série|Podc"&amp;"ast|Rádio|Audiotour|Entrevista|Reportagem|Crônica|Relatório|Abaixo-assinado|Manifesto|Petição|Poema|Livro|Fotografia|Curta|Live|Webinário|Charge|Leitura pública|Vídeo""),
""Público Mediado"","""")))
"),"Público Mediado")</f>
        <v>Público Mediado</v>
      </c>
      <c r="E166" s="13" t="str">
        <f>IFERROR(__xludf.DUMMYFUNCTION("IF(B166="""","""",IF(OR(
  REGEXMATCH(B166,""Live|Webinário|Virtual""),
  REGEXMATCH(B166,""online"")
),""Virtual"",
IF(REGEXMATCH(B166,""Música|Álbum|Filme|Documentário|Série|Podcast|Rádio|Audiotour|Episódio|Reportagem|Curta|Charge|Livro|Vídeo|Entrevista"&amp;"""),
""Midiático"",
IF(REGEXMATCH(B166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6" s="211" t="str">
        <f>IFERROR(__xludf.DUMMYFUNCTION("IF(REGEXMATCH(S166,""YouTube""),
  REGEXREPLACE(
    REGEXREPLACE(
      REGEXREPLACE(
        REGEXREPLACE(
          REGEXREPLACE(
            REGEXREPLACE(
              REGEXREPLACE(
                REGEXREPLACE(
                  REGEXREPLACE(
      "&amp;"              REGEXREPLACE(
                      REGEXREPLACE(
                        REGEXREPLACE(
                          REGEXREPLACE(
                            REGEXEXTRACT(S166,""YouTube, ([0-9]{1,2} [a-z]{3,8}\. [0-9]{4})""),
                 "&amp;"         "" jan\. "",""\/01\/""),
                        "" fev\. "",""\/02\/""),
                      "" mar\. "",""\/03\/""),
                    "" abr\. "",""\/04\/""),
                  "" mai\. "",""\/05\/""),
                "" jun\. "",""\/06\/"&amp;"""),
              "" jul\. "",""\/07\/""),
            "" ago\. "",""\/08\/""),
          "" set\. "",""\/09\/""),
        "" out\. "",""\/10\/""),
      "" nov\. "",""\/11\/""),
    "" dez\. "",""\/12\/""),
  ""\s*/\s*"",""/""),
"""")
"),"14/12/2023")</f>
        <v>14/12/2023</v>
      </c>
      <c r="G166" s="15">
        <f t="shared" si="1"/>
        <v>2023</v>
      </c>
      <c r="H166" s="14" t="s">
        <v>23</v>
      </c>
      <c r="I166" s="16" t="s">
        <v>757</v>
      </c>
      <c r="J166" s="169" t="str">
        <f>IFERROR(__xludf.DUMMYFUNCTION("REGEXEXTRACT(S166, ""\.\s(.*?)\s*YouTube"")"),"02 de outubro de 1992 (outra versão).")</f>
        <v>02 de outubro de 1992 (outra versão).</v>
      </c>
      <c r="K166" s="16" t="s">
        <v>83</v>
      </c>
      <c r="L166" s="18" t="s">
        <v>329</v>
      </c>
      <c r="M166" s="15" t="str">
        <f>IFERROR(__xludf.DUMMYFUNCTION("IF(REGEXMATCH(S166, ""Companhia das Letras""), ""Companhia das Letras"",
IF(REGEXMATCH(S166, ""Labortexto Editorial""), ""Labortexto Editorial"",
IF(REGEXMATCH(S166, ""Geração Editorial""), ""Geração Editorial"",
IF(REGEXMATCH(S166, ""Editora Imprensa Ofi"&amp;"cial|Imprensa Oficial""), ""Editora Imprensa Oficial"",
IF(REGEXMATCH(S166, ""Folha Online""), ""Folha Online"",
IF(REGEXMATCH(S166, ""FGV DIREITO SP|FGV Direito SP""), ""FGV DIREITO SP"",
IF(REGEXMATCH(S166, ""massacrecarandiru\.org\.br""), ""Memória Mas"&amp;"sacre Carandiru"",
IF(REGEXMATCH(S166, ""Itaú Cultural""), ""YouTube (Itaú Cultural)"",
IF(REGEXMATCH(S166, ""Passa Palavra""), ""Vimeo (Passa Palavra)"",
IF(REGEXMATCH(S166, ""rede2deoutubro\.blogspot""), ""Blogspot (Rede 02 de Outubro)"",
IF(REGEXMATCH("&amp;"S166, ""Rede TVT""), ""YouTube (Rede TVT)"",
IF(REGEXMATCH(S166, ""Esquerda Diário""), ""Esquerda Diário"",
IF(REGEXMATCH(S166, ""GZH""), ""GZH"",
IF(REGEXMATCH(S166, ""TVPUC""), ""TVPUC"",
IF(REGEXMATCH(S166, ""Mídia Ninja.*Facebook""), ""Facebook (Mídia"&amp;" Ninja)"",
IF(REGEXMATCH(S166, ""Memórias Carandiru.*Instagram""), ""Instagram (Memórias Carandiru)"",
IF(REGEXMATCH(S166, ""Frente pelo Desencarceramento SP""), ""YouTube (Frente Pelo Desencarceramento SP)"",
IF(REGEXMATCH(S166, ""TV ABA""), ""YouTube (T"&amp;"V ABA)"",
IF(REGEXMATCH(S166, ""TV SENADO""), ""YouTube (TV Senado)"",
IF(REGEXMATCH(S166, ""Google Arts &amp; Culture""), ""Google Arts &amp; Culture (Memória Massacre Carandiru)"",
IF(REGEXMATCH(S166, ""Anistia Internacional|ANISTIA INTERNACIONAL""), ""Anistia "&amp;"Internacional"",
IF(REGEXMATCH(S166, ""47\.mostra|47a Mostra""), ""47a Mostra Internacional de Cinema em São Paulo"",
IF(REGEXMATCH(S166, ""Canal USP""), ""YouTube (Canal USP)"",
IF(AND(
  REGEXMATCH(S166, ""(?i)(teses?\.usp\.br|dissertacoes?\.usp\.br|rep"&amp;"ositorio\.usp\.br)""),
  NOT(REGEXMATCH(S166, ""Canal USP""))
), ""Biblioteca Digital de Teses e Dissertações da USP"",
IF(REGEXMATCH(S166, ""SINTRAJUSC""), ""SINTRAJUSC"",
IF(REGEXMATCH(S166, ""Agência Brasil|Agencia Brasil""), ""Agência Brasil"",
IF(REG"&amp;"EXMATCH(S166, ""Brasil de Fato""), ""Brasil de Fato"",
IF(REGEXMATCH(S166, ""Ponte Jornalismo|pontejornalismo""), ""Ponte Jornalismo"",
IF(REGEXMATCH(S166, ""letras\.mus\.br|Letras,""), ""Letras"",
IF(REGEXMATCH(S166, ""YouTube|youtube""), 
   ""YouTube "&amp;"(""&amp;
   IF(REGEXMATCH(S166, ""Itaú Cultural""), ""Itaú Cultural"",
   IF(REGEXMATCH(S166, ""Rede TVT""), ""Rede TVT"",
   IF(REGEXMATCH(S166, ""Frente pelo Desencarceramento SP""), ""Frente Pelo Desencarceramento SP"",
   IF(REGEXMATCH(S166, ""TV ABA""), "&amp;"""TV ABA"",
   IF(REGEXMATCH(S166, ""TV SENADO""), ""TV Senado"",
   IF(REGEXMATCH(S166, ""Canal USP""), ""Canal USP"",
   IF(REGEXMATCH(S166, ""Douer, Zack|Zack Douer""), ""Douer Zack"",
   IF(REGEXMATCH(S166, ""PRISIONEIRO 84\.901|PRISIONEIRO 84""), ""P"&amp;"risioneiro 84.901"",
   IF(REGEXMATCH(S166, ""^[^,]*, ""), 
        PROPER(REGEXREPLACE(REGEXEXTRACT(S166, ""^([^.]*)\.""), ""^([^,]*), (.*)"", ""$2 $1"")),
        PROPER(REGEXEXTRACT(S166, ""^([^.]*)\.""))
   )))))))))&amp;"")"",
IF(REGEXMATCH(S166, ""Spot"&amp;"ify|spotify""), 
   ""Spotify (""&amp;
   IF(REGEXMATCH(S166, ""ESTRANHO SORRISO""), ""Estranho Sorriso"",
   PROPER(REGEXEXTRACT(S166, ""^([^.]*)\.""))
   )&amp;"")"",
IF(REGEXMATCH(S166, ""Vimeo|vimeo""), 
   ""Vimeo (""&amp;
   IF(REGEXMATCH(S166, ""Passa Palavra"&amp;"""), ""Passa Palavra"",
   PROPER(REGEXEXTRACT(S166, ""^([^.]*)\.""))
   )&amp;"")"",
IF(REGEXMATCH(S166, ""Blogspot""), 
   ""Blogspot (""&amp;
   IF(REGEXMATCH(S166, ""rede2deoutubro""), ""Rede 02 de Outubro"",
   PROPER(REGEXEXTRACT(S166, ""^([^.]*)\.""))
   "&amp;")&amp;"")"",
IF(REGEXMATCH(S166, ""Facebook""), 
   ""Facebook (""&amp;
   IF(REGEXMATCH(S166, ""Mídia Ninja""), ""Mídia Ninja"",
   PROPER(REGEXEXTRACT(S166, ""^([^.]*)\.""))
   )&amp;"")"",
IF(REGEXMATCH(S166, ""Instagram""), 
   ""Instagram (""&amp;
   IF(REGEXMATCH"&amp;"(S166, ""Memórias Carandiru""), ""Memórias Carandiru"",
   PROPER(REGEXEXTRACT(S166, ""^([^.]*)\.""))
   )&amp;"")"",
IF(REGEXMATCH(S166, ""Folha de S\. Paulo|FOLHA DE S\. PAULO""), ""Folha de S. Paulo"",
IF(REGEXMATCH(S166, ""O Estado de S\. Paulo|ESTADAO"""&amp;"), ""O Estado de S. Paulo"",
IF(REGEXMATCH(S166, ""salasecreta""), ""Wordpress (Sala Secreta)"",
IF(REGEXMATCH(S166, ""Wikipedia|Wikipédia|WIKIPÉDIA""), ""Wikipedia"",
IF(REGEXMATCH(S166, ""VEJA|Veja""), ""Veja Abril"",
IF(REGEXMATCH(S438, ""Rede Globo|RE"&amp;"DE GLOBO""), ""Rede Globo"",
IF(REGEXMATCH(S438, ""G1|globo\.com""), ""G1"",
IF(REGEXMATCH(S166, ""Deutsche Welle|DW\.com""), ""Deutsche Welle"",
IF(REGEXMATCH(S166, ""CIDH|Comissão Interamericana""), ""Comissão Interamericana de Direitos Humanos (CIDH)"""&amp;",
IF(REGEXMATCH(S166, ""Pastoral Carcerária""), ""Pastoral Carcerária"",
IF(REGEXMATCH(S166, ""Esquerda Web""), ""Esquerda Web"",
IF(REGEXMATCH(S166, ""ONU|Organização das Nações Unidas""), ""ONU Brasil"",
IF(REGEXMATCH(S166, ""Quilombo Invisível""), ""Qu"&amp;"ilombo Invisível"",
IF(REGEXMATCH(S166, ""ALESP|Assembleia Legislativa""), ""ALESP"",
IF(REGEXMATCH(S166, ""Revista Opera""), ""Revista Opera"",
IF(REGEXMATCH(S166, ""SP Escola de Teatro""), ""SP Escola de Teatro"",
IF(REGEXMATCH(S166, ""EMC|Espaço Memóri"&amp;"a Carandiru""), ""EMC Espaço Memória Carandiru"",
IF(REGEXMATCH(S166, ""^RAMOS, Nuno|Nuno Ramos""), ""Nuno Ramos"",
IF(REGEXMATCH(S166, ""^VELOSO, Caetano|Caetano Veloso""), ""YouTube (Caetano Veloso)"",
IF(REGEXMATCH(S166, ""^FATOS REAIS""), ""YouTube ("&amp;"Fatos Reais - Topic)"",
IF(REGEXMATCH(S166, ""^SALA SECRETA""), ""Wordpress (Sala Secreta)"",
PROPER(REGEXEXTRACT(S166, ""^([^.]*)\.""))
))))))))))))))))))))))))))))))))))))))))))))))))))))))))"),"YouTube (Prisioneiro 84.901)")</f>
        <v>YouTube (Prisioneiro 84.901)</v>
      </c>
      <c r="N166" s="11" t="s">
        <v>47</v>
      </c>
      <c r="O166" s="14" t="s">
        <v>546</v>
      </c>
      <c r="P166" s="171">
        <v>45946.0</v>
      </c>
      <c r="Q166" s="11" t="s">
        <v>154</v>
      </c>
      <c r="R166" s="70" t="str">
        <f t="shared" si="8"/>
        <v>Aqui</v>
      </c>
      <c r="S166" s="172" t="s">
        <v>857</v>
      </c>
    </row>
    <row r="167">
      <c r="A167" s="11">
        <v>165.0</v>
      </c>
      <c r="B167" s="11" t="s">
        <v>790</v>
      </c>
      <c r="C167" s="12" t="str">
        <f>IFERROR(__xludf.DUMMYFUNCTION("IF(B167="""","""",IF(OR(
  REGEXMATCH(B167,""Performance|Instalação|Álbum|Música|Poema|Livro|Filme|Documentário|Recitação|Espetáculo|Peça|Intervenção|Desfile|Fotografia|Exposição|Charge|Grafite|Leitura pública|Fabricação de cachaça artesanal""),
  REGEXMA"&amp;"TCH(B167,""dança|teatral|artístico|musical|artística"")
),""Manifestação artístico-cultural"",
IF(OR(
  REGEXMATCH(B167,""Crônica|Série|Reportagem|Podcast|Audiotour|Entrevista|Vídeo|Rádio""),
  REGEXMATCH(B167,""midiática"")
),""Produção midiática"","""")"&amp;"))
"),"Manifestação artístico-cultural")</f>
        <v>Manifestação artístico-cultural</v>
      </c>
      <c r="D167" s="13" t="str">
        <f>IFERROR(__xludf.DUMMYFUNCTION("IF(B167="""","""",IF(OR(
  REGEXMATCH(B167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REGEXMATCH(B167,""público|Imediato|artística|teatral|memória"")
),""Público Imediato"",
IF(REGEXMATCH(B167,""Música|Álbum|Filme|Documentário|Série|Podc"&amp;"ast|Rádio|Audiotour|Entrevista|Reportagem|Crônica|Relatório|Abaixo-assinado|Manifesto|Petição|Poema|Livro|Fotografia|Curta|Live|Webinário|Charge|Leitura pública|Vídeo""),
""Público Mediado"","""")))
"),"Público Imediato")</f>
        <v>Público Imediato</v>
      </c>
      <c r="E167" s="13" t="str">
        <f>IFERROR(__xludf.DUMMYFUNCTION("IF(B167="""","""",IF(OR(
  REGEXMATCH(B167,""Live|Webinário|Virtual""),
  REGEXMATCH(B167,""online"")
),""Virtual"",
IF(REGEXMATCH(B167,""Música|Álbum|Filme|Documentário|Série|Podcast|Rádio|Audiotour|Episódio|Reportagem|Curta|Charge|Livro|Vídeo|Entrevista"&amp;"""),
""Midiático"",
IF(REGEXMATCH(B167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67" s="211" t="str">
        <f>IFERROR(__xludf.DUMMYFUNCTION("IF(REGEXMATCH(S167,""YouTube""),
  REGEXREPLACE(
    REGEXREPLACE(
      REGEXREPLACE(
        REGEXREPLACE(
          REGEXREPLACE(
            REGEXREPLACE(
              REGEXREPLACE(
                REGEXREPLACE(
                  REGEXREPLACE(
      "&amp;"              REGEXREPLACE(
                      REGEXREPLACE(
                        REGEXREPLACE(
                          REGEXREPLACE(
                            REGEXEXTRACT(S167,""YouTube, ([0-9]{1,2} [a-z]{3,8}\. [0-9]{4})""),
                 "&amp;"         "" jan\. "",""\/01\/""),
                        "" fev\. "",""\/02\/""),
                      "" mar\. "",""\/03\/""),
                    "" abr\. "",""\/04\/""),
                  "" mai\. "",""\/05\/""),
                "" jun\. "",""\/06\/"&amp;"""),
              "" jul\. "",""\/07\/""),
            "" ago\. "",""\/08\/""),
          "" set\. "",""\/09\/""),
        "" out\. "",""\/10\/""),
      "" nov\. "",""\/11\/""),
    "" dez\. "",""\/12\/""),
  ""\s*/\s*"",""/""),
"""")
"),"4/01/2023")</f>
        <v>4/01/2023</v>
      </c>
      <c r="G167" s="15">
        <f t="shared" si="1"/>
        <v>2023</v>
      </c>
      <c r="H167" s="14" t="s">
        <v>23</v>
      </c>
      <c r="I167" s="16" t="s">
        <v>757</v>
      </c>
      <c r="J167" s="169" t="str">
        <f>IFERROR(__xludf.DUMMYFUNCTION("REGEXEXTRACT(S167, ""\.\s(.*?)\s*YouTube"")"),"Como é a “Maria Loka”.")</f>
        <v>Como é a “Maria Loka”.</v>
      </c>
      <c r="K167" s="16" t="s">
        <v>83</v>
      </c>
      <c r="L167" s="18" t="s">
        <v>329</v>
      </c>
      <c r="M167" s="15" t="str">
        <f>IFERROR(__xludf.DUMMYFUNCTION("IF(REGEXMATCH(S167, ""Companhia das Letras""), ""Companhia das Letras"",
IF(REGEXMATCH(S167, ""Labortexto Editorial""), ""Labortexto Editorial"",
IF(REGEXMATCH(S167, ""Geração Editorial""), ""Geração Editorial"",
IF(REGEXMATCH(S167, ""Editora Imprensa Ofi"&amp;"cial|Imprensa Oficial""), ""Editora Imprensa Oficial"",
IF(REGEXMATCH(S167, ""Folha Online""), ""Folha Online"",
IF(REGEXMATCH(S167, ""FGV DIREITO SP|FGV Direito SP""), ""FGV DIREITO SP"",
IF(REGEXMATCH(S167, ""massacrecarandiru\.org\.br""), ""Memória Mas"&amp;"sacre Carandiru"",
IF(REGEXMATCH(S167, ""Itaú Cultural""), ""YouTube (Itaú Cultural)"",
IF(REGEXMATCH(S167, ""Passa Palavra""), ""Vimeo (Passa Palavra)"",
IF(REGEXMATCH(S167, ""rede2deoutubro\.blogspot""), ""Blogspot (Rede 02 de Outubro)"",
IF(REGEXMATCH("&amp;"S167, ""Rede TVT""), ""YouTube (Rede TVT)"",
IF(REGEXMATCH(S167, ""Esquerda Diário""), ""Esquerda Diário"",
IF(REGEXMATCH(S167, ""GZH""), ""GZH"",
IF(REGEXMATCH(S167, ""TVPUC""), ""TVPUC"",
IF(REGEXMATCH(S167, ""Mídia Ninja.*Facebook""), ""Facebook (Mídia"&amp;" Ninja)"",
IF(REGEXMATCH(S167, ""Memórias Carandiru.*Instagram""), ""Instagram (Memórias Carandiru)"",
IF(REGEXMATCH(S167, ""Frente pelo Desencarceramento SP""), ""YouTube (Frente Pelo Desencarceramento SP)"",
IF(REGEXMATCH(S167, ""TV ABA""), ""YouTube (T"&amp;"V ABA)"",
IF(REGEXMATCH(S167, ""TV SENADO""), ""YouTube (TV Senado)"",
IF(REGEXMATCH(S167, ""Google Arts &amp; Culture""), ""Google Arts &amp; Culture (Memória Massacre Carandiru)"",
IF(REGEXMATCH(S167, ""Anistia Internacional|ANISTIA INTERNACIONAL""), ""Anistia "&amp;"Internacional"",
IF(REGEXMATCH(S167, ""47\.mostra|47a Mostra""), ""47a Mostra Internacional de Cinema em São Paulo"",
IF(REGEXMATCH(S167, ""Canal USP""), ""YouTube (Canal USP)"",
IF(AND(
  REGEXMATCH(S167, ""(?i)(teses?\.usp\.br|dissertacoes?\.usp\.br|rep"&amp;"ositorio\.usp\.br)""),
  NOT(REGEXMATCH(S167, ""Canal USP""))
), ""Biblioteca Digital de Teses e Dissertações da USP"",
IF(REGEXMATCH(S167, ""SINTRAJUSC""), ""SINTRAJUSC"",
IF(REGEXMATCH(S167, ""Agência Brasil|Agencia Brasil""), ""Agência Brasil"",
IF(REG"&amp;"EXMATCH(S167, ""Brasil de Fato""), ""Brasil de Fato"",
IF(REGEXMATCH(S167, ""Ponte Jornalismo|pontejornalismo""), ""Ponte Jornalismo"",
IF(REGEXMATCH(S167, ""letras\.mus\.br|Letras,""), ""Letras"",
IF(REGEXMATCH(S167, ""YouTube|youtube""), 
   ""YouTube "&amp;"(""&amp;
   IF(REGEXMATCH(S167, ""Itaú Cultural""), ""Itaú Cultural"",
   IF(REGEXMATCH(S167, ""Rede TVT""), ""Rede TVT"",
   IF(REGEXMATCH(S167, ""Frente pelo Desencarceramento SP""), ""Frente Pelo Desencarceramento SP"",
   IF(REGEXMATCH(S167, ""TV ABA""), "&amp;"""TV ABA"",
   IF(REGEXMATCH(S167, ""TV SENADO""), ""TV Senado"",
   IF(REGEXMATCH(S167, ""Canal USP""), ""Canal USP"",
   IF(REGEXMATCH(S167, ""Douer, Zack|Zack Douer""), ""Douer Zack"",
   IF(REGEXMATCH(S167, ""PRISIONEIRO 84\.901|PRISIONEIRO 84""), ""P"&amp;"risioneiro 84.901"",
   IF(REGEXMATCH(S167, ""^[^,]*, ""), 
        PROPER(REGEXREPLACE(REGEXEXTRACT(S167, ""^([^.]*)\.""), ""^([^,]*), (.*)"", ""$2 $1"")),
        PROPER(REGEXEXTRACT(S167, ""^([^.]*)\.""))
   )))))))))&amp;"")"",
IF(REGEXMATCH(S167, ""Spot"&amp;"ify|spotify""), 
   ""Spotify (""&amp;
   IF(REGEXMATCH(S167, ""ESTRANHO SORRISO""), ""Estranho Sorriso"",
   PROPER(REGEXEXTRACT(S167, ""^([^.]*)\.""))
   )&amp;"")"",
IF(REGEXMATCH(S167, ""Vimeo|vimeo""), 
   ""Vimeo (""&amp;
   IF(REGEXMATCH(S167, ""Passa Palavra"&amp;"""), ""Passa Palavra"",
   PROPER(REGEXEXTRACT(S167, ""^([^.]*)\.""))
   )&amp;"")"",
IF(REGEXMATCH(S167, ""Blogspot""), 
   ""Blogspot (""&amp;
   IF(REGEXMATCH(S167, ""rede2deoutubro""), ""Rede 02 de Outubro"",
   PROPER(REGEXEXTRACT(S167, ""^([^.]*)\.""))
   "&amp;")&amp;"")"",
IF(REGEXMATCH(S167, ""Facebook""), 
   ""Facebook (""&amp;
   IF(REGEXMATCH(S167, ""Mídia Ninja""), ""Mídia Ninja"",
   PROPER(REGEXEXTRACT(S167, ""^([^.]*)\.""))
   )&amp;"")"",
IF(REGEXMATCH(S167, ""Instagram""), 
   ""Instagram (""&amp;
   IF(REGEXMATCH"&amp;"(S167, ""Memórias Carandiru""), ""Memórias Carandiru"",
   PROPER(REGEXEXTRACT(S167, ""^([^.]*)\.""))
   )&amp;"")"",
IF(REGEXMATCH(S167, ""Folha de S\. Paulo|FOLHA DE S\. PAULO""), ""Folha de S. Paulo"",
IF(REGEXMATCH(S167, ""O Estado de S\. Paulo|ESTADAO"""&amp;"), ""O Estado de S. Paulo"",
IF(REGEXMATCH(S167, ""salasecreta""), ""Wordpress (Sala Secreta)"",
IF(REGEXMATCH(S167, ""Wikipedia|Wikipédia|WIKIPÉDIA""), ""Wikipedia"",
IF(REGEXMATCH(S167, ""VEJA|Veja""), ""Veja Abril"",
IF(REGEXMATCH(S439, ""Rede Globo|RE"&amp;"DE GLOBO""), ""Rede Globo"",
IF(REGEXMATCH(S439, ""G1|globo\.com""), ""G1"",
IF(REGEXMATCH(S167, ""Deutsche Welle|DW\.com""), ""Deutsche Welle"",
IF(REGEXMATCH(S167, ""CIDH|Comissão Interamericana""), ""Comissão Interamericana de Direitos Humanos (CIDH)"""&amp;",
IF(REGEXMATCH(S167, ""Pastoral Carcerária""), ""Pastoral Carcerária"",
IF(REGEXMATCH(S167, ""Esquerda Web""), ""Esquerda Web"",
IF(REGEXMATCH(S167, ""ONU|Organização das Nações Unidas""), ""ONU Brasil"",
IF(REGEXMATCH(S167, ""Quilombo Invisível""), ""Qu"&amp;"ilombo Invisível"",
IF(REGEXMATCH(S167, ""ALESP|Assembleia Legislativa""), ""ALESP"",
IF(REGEXMATCH(S167, ""Revista Opera""), ""Revista Opera"",
IF(REGEXMATCH(S167, ""SP Escola de Teatro""), ""SP Escola de Teatro"",
IF(REGEXMATCH(S167, ""EMC|Espaço Memóri"&amp;"a Carandiru""), ""EMC Espaço Memória Carandiru"",
IF(REGEXMATCH(S167, ""^RAMOS, Nuno|Nuno Ramos""), ""Nuno Ramos"",
IF(REGEXMATCH(S167, ""^VELOSO, Caetano|Caetano Veloso""), ""YouTube (Caetano Veloso)"",
IF(REGEXMATCH(S167, ""^FATOS REAIS""), ""YouTube ("&amp;"Fatos Reais - Topic)"",
IF(REGEXMATCH(S167, ""^SALA SECRETA""), ""Wordpress (Sala Secreta)"",
PROPER(REGEXEXTRACT(S167, ""^([^.]*)\.""))
))))))))))))))))))))))))))))))))))))))))))))))))))))))))"),"YouTube (Prisioneiro 84.901)")</f>
        <v>YouTube (Prisioneiro 84.901)</v>
      </c>
      <c r="N167" s="11" t="s">
        <v>47</v>
      </c>
      <c r="O167" s="14" t="s">
        <v>546</v>
      </c>
      <c r="P167" s="171">
        <v>45946.0</v>
      </c>
      <c r="Q167" s="11" t="s">
        <v>154</v>
      </c>
      <c r="R167" s="70" t="str">
        <f t="shared" si="8"/>
        <v>Aqui</v>
      </c>
      <c r="S167" s="172" t="s">
        <v>858</v>
      </c>
    </row>
    <row r="168">
      <c r="A168" s="11">
        <v>166.0</v>
      </c>
      <c r="B168" s="11" t="s">
        <v>703</v>
      </c>
      <c r="C168" s="12" t="str">
        <f>IFERROR(__xludf.DUMMYFUNCTION("IF(B168="""","""",IF(OR(
  REGEXMATCH(B168,""Performance|Instalação|Álbum|Música|Poema|Livro|Filme|Documentário|Recitação|Espetáculo|Peça|Intervenção|Desfile|Fotografia|Exposição|Charge|Grafite|Leitura pública|Fabricação de cachaça artesanal""),
  REGEXMA"&amp;"TCH(B168,""dança|teatral|artístico|musical|artística"")
),""Manifestação artístico-cultural"",
IF(OR(
  REGEXMATCH(B168,""Crônica|Série|Reportagem|Podcast|Audiotour|Entrevista|Vídeo|Rádio""),
  REGEXMATCH(B168,""midiática"")
),""Produção midiática"","""")"&amp;"))
"),"Produção midiática")</f>
        <v>Produção midiática</v>
      </c>
      <c r="D168" s="13" t="str">
        <f>IFERROR(__xludf.DUMMYFUNCTION("IF(B168="""","""",IF(OR(
  REGEXMATCH(B168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REGEXMATCH(B168,""público|Imediato|artística|teatral|memória"")
),""Público Imediato"",
IF(REGEXMATCH(B168,""Música|Álbum|Filme|Documentário|Série|Podc"&amp;"ast|Rádio|Audiotour|Entrevista|Reportagem|Crônica|Relatório|Abaixo-assinado|Manifesto|Petição|Poema|Livro|Fotografia|Curta|Live|Webinário|Charge|Leitura pública|Vídeo""),
""Público Mediado"","""")))
"),"Público Mediado")</f>
        <v>Público Mediado</v>
      </c>
      <c r="E168" s="13" t="str">
        <f>IFERROR(__xludf.DUMMYFUNCTION("IF(B168="""","""",IF(OR(
  REGEXMATCH(B168,""Live|Webinário|Virtual""),
  REGEXMATCH(B168,""online"")
),""Virtual"",
IF(REGEXMATCH(B168,""Música|Álbum|Filme|Documentário|Série|Podcast|Rádio|Audiotour|Episódio|Reportagem|Curta|Charge|Livro|Vídeo|Entrevista"&amp;"""),
""Midiático"",
IF(REGEXMATCH(B168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8" s="51">
        <v>45062.0</v>
      </c>
      <c r="G168" s="15">
        <f t="shared" si="1"/>
        <v>2023</v>
      </c>
      <c r="H168" s="14" t="s">
        <v>23</v>
      </c>
      <c r="I168" s="16" t="s">
        <v>757</v>
      </c>
      <c r="J168" s="169" t="str">
        <f>IFERROR(__xludf.DUMMYFUNCTION("REGEXEXTRACT(S168, ""\.\s(.*?)\s*YouTube"")"),"Massacre no Pav. 9.")</f>
        <v>Massacre no Pav. 9.</v>
      </c>
      <c r="K168" s="16" t="s">
        <v>83</v>
      </c>
      <c r="L168" s="18" t="s">
        <v>329</v>
      </c>
      <c r="M168" s="15" t="str">
        <f>IFERROR(__xludf.DUMMYFUNCTION("IF(REGEXMATCH(S168, ""Companhia das Letras""), ""Companhia das Letras"",
IF(REGEXMATCH(S168, ""Labortexto Editorial""), ""Labortexto Editorial"",
IF(REGEXMATCH(S168, ""Geração Editorial""), ""Geração Editorial"",
IF(REGEXMATCH(S168, ""Editora Imprensa Ofi"&amp;"cial|Imprensa Oficial""), ""Editora Imprensa Oficial"",
IF(REGEXMATCH(S168, ""Folha Online""), ""Folha Online"",
IF(REGEXMATCH(S168, ""FGV DIREITO SP|FGV Direito SP""), ""FGV DIREITO SP"",
IF(REGEXMATCH(S168, ""massacrecarandiru\.org\.br""), ""Memória Mas"&amp;"sacre Carandiru"",
IF(REGEXMATCH(S168, ""Itaú Cultural""), ""YouTube (Itaú Cultural)"",
IF(REGEXMATCH(S168, ""Passa Palavra""), ""Vimeo (Passa Palavra)"",
IF(REGEXMATCH(S168, ""rede2deoutubro\.blogspot""), ""Blogspot (Rede 02 de Outubro)"",
IF(REGEXMATCH("&amp;"S168, ""Rede TVT""), ""YouTube (Rede TVT)"",
IF(REGEXMATCH(S168, ""Esquerda Diário""), ""Esquerda Diário"",
IF(REGEXMATCH(S168, ""GZH""), ""GZH"",
IF(REGEXMATCH(S168, ""TVPUC""), ""TVPUC"",
IF(REGEXMATCH(S168, ""Mídia Ninja.*Facebook""), ""Facebook (Mídia"&amp;" Ninja)"",
IF(REGEXMATCH(S168, ""Memórias Carandiru.*Instagram""), ""Instagram (Memórias Carandiru)"",
IF(REGEXMATCH(S168, ""Frente pelo Desencarceramento SP""), ""YouTube (Frente Pelo Desencarceramento SP)"",
IF(REGEXMATCH(S168, ""TV ABA""), ""YouTube (T"&amp;"V ABA)"",
IF(REGEXMATCH(S168, ""TV SENADO""), ""YouTube (TV Senado)"",
IF(REGEXMATCH(S168, ""Google Arts &amp; Culture""), ""Google Arts &amp; Culture (Memória Massacre Carandiru)"",
IF(REGEXMATCH(S168, ""Anistia Internacional|ANISTIA INTERNACIONAL""), ""Anistia "&amp;"Internacional"",
IF(REGEXMATCH(S168, ""47\.mostra|47a Mostra""), ""47a Mostra Internacional de Cinema em São Paulo"",
IF(REGEXMATCH(S168, ""Canal USP""), ""YouTube (Canal USP)"",
IF(AND(
  REGEXMATCH(S168, ""(?i)(teses?\.usp\.br|dissertacoes?\.usp\.br|rep"&amp;"ositorio\.usp\.br)""),
  NOT(REGEXMATCH(S168, ""Canal USP""))
), ""Biblioteca Digital de Teses e Dissertações da USP"",
IF(REGEXMATCH(S168, ""SINTRAJUSC""), ""SINTRAJUSC"",
IF(REGEXMATCH(S168, ""Agência Brasil|Agencia Brasil""), ""Agência Brasil"",
IF(REG"&amp;"EXMATCH(S168, ""Brasil de Fato""), ""Brasil de Fato"",
IF(REGEXMATCH(S168, ""Ponte Jornalismo|pontejornalismo""), ""Ponte Jornalismo"",
IF(REGEXMATCH(S168, ""letras\.mus\.br|Letras,""), ""Letras"",
IF(REGEXMATCH(S168, ""YouTube|youtube""), 
   ""YouTube "&amp;"(""&amp;
   IF(REGEXMATCH(S168, ""Itaú Cultural""), ""Itaú Cultural"",
   IF(REGEXMATCH(S168, ""Rede TVT""), ""Rede TVT"",
   IF(REGEXMATCH(S168, ""Frente pelo Desencarceramento SP""), ""Frente Pelo Desencarceramento SP"",
   IF(REGEXMATCH(S168, ""TV ABA""), "&amp;"""TV ABA"",
   IF(REGEXMATCH(S168, ""TV SENADO""), ""TV Senado"",
   IF(REGEXMATCH(S168, ""Canal USP""), ""Canal USP"",
   IF(REGEXMATCH(S168, ""Douer, Zack|Zack Douer""), ""Douer Zack"",
   IF(REGEXMATCH(S168, ""PRISIONEIRO 84\.901|PRISIONEIRO 84""), ""P"&amp;"risioneiro 84.901"",
   IF(REGEXMATCH(S168, ""^[^,]*, ""), 
        PROPER(REGEXREPLACE(REGEXEXTRACT(S168, ""^([^.]*)\.""), ""^([^,]*), (.*)"", ""$2 $1"")),
        PROPER(REGEXEXTRACT(S168, ""^([^.]*)\.""))
   )))))))))&amp;"")"",
IF(REGEXMATCH(S168, ""Spot"&amp;"ify|spotify""), 
   ""Spotify (""&amp;
   IF(REGEXMATCH(S168, ""ESTRANHO SORRISO""), ""Estranho Sorriso"",
   PROPER(REGEXEXTRACT(S168, ""^([^.]*)\.""))
   )&amp;"")"",
IF(REGEXMATCH(S168, ""Vimeo|vimeo""), 
   ""Vimeo (""&amp;
   IF(REGEXMATCH(S168, ""Passa Palavra"&amp;"""), ""Passa Palavra"",
   PROPER(REGEXEXTRACT(S168, ""^([^.]*)\.""))
   )&amp;"")"",
IF(REGEXMATCH(S168, ""Blogspot""), 
   ""Blogspot (""&amp;
   IF(REGEXMATCH(S168, ""rede2deoutubro""), ""Rede 02 de Outubro"",
   PROPER(REGEXEXTRACT(S168, ""^([^.]*)\.""))
   "&amp;")&amp;"")"",
IF(REGEXMATCH(S168, ""Facebook""), 
   ""Facebook (""&amp;
   IF(REGEXMATCH(S168, ""Mídia Ninja""), ""Mídia Ninja"",
   PROPER(REGEXEXTRACT(S168, ""^([^.]*)\.""))
   )&amp;"")"",
IF(REGEXMATCH(S168, ""Instagram""), 
   ""Instagram (""&amp;
   IF(REGEXMATCH"&amp;"(S168, ""Memórias Carandiru""), ""Memórias Carandiru"",
   PROPER(REGEXEXTRACT(S168, ""^([^.]*)\.""))
   )&amp;"")"",
IF(REGEXMATCH(S168, ""Folha de S\. Paulo|FOLHA DE S\. PAULO""), ""Folha de S. Paulo"",
IF(REGEXMATCH(S168, ""O Estado de S\. Paulo|ESTADAO"""&amp;"), ""O Estado de S. Paulo"",
IF(REGEXMATCH(S168, ""salasecreta""), ""Wordpress (Sala Secreta)"",
IF(REGEXMATCH(S168, ""Wikipedia|Wikipédia|WIKIPÉDIA""), ""Wikipedia"",
IF(REGEXMATCH(S168, ""VEJA|Veja""), ""Veja Abril"",
IF(REGEXMATCH(S440, ""Rede Globo|RE"&amp;"DE GLOBO""), ""Rede Globo"",
IF(REGEXMATCH(S440, ""G1|globo\.com""), ""G1"",
IF(REGEXMATCH(S168, ""Deutsche Welle|DW\.com""), ""Deutsche Welle"",
IF(REGEXMATCH(S168, ""CIDH|Comissão Interamericana""), ""Comissão Interamericana de Direitos Humanos (CIDH)"""&amp;",
IF(REGEXMATCH(S168, ""Pastoral Carcerária""), ""Pastoral Carcerária"",
IF(REGEXMATCH(S168, ""Esquerda Web""), ""Esquerda Web"",
IF(REGEXMATCH(S168, ""ONU|Organização das Nações Unidas""), ""ONU Brasil"",
IF(REGEXMATCH(S168, ""Quilombo Invisível""), ""Qu"&amp;"ilombo Invisível"",
IF(REGEXMATCH(S168, ""ALESP|Assembleia Legislativa""), ""ALESP"",
IF(REGEXMATCH(S168, ""Revista Opera""), ""Revista Opera"",
IF(REGEXMATCH(S168, ""SP Escola de Teatro""), ""SP Escola de Teatro"",
IF(REGEXMATCH(S168, ""EMC|Espaço Memóri"&amp;"a Carandiru""), ""EMC Espaço Memória Carandiru"",
IF(REGEXMATCH(S168, ""^RAMOS, Nuno|Nuno Ramos""), ""Nuno Ramos"",
IF(REGEXMATCH(S168, ""^VELOSO, Caetano|Caetano Veloso""), ""YouTube (Caetano Veloso)"",
IF(REGEXMATCH(S168, ""^FATOS REAIS""), ""YouTube ("&amp;"Fatos Reais - Topic)"",
IF(REGEXMATCH(S168, ""^SALA SECRETA""), ""Wordpress (Sala Secreta)"",
PROPER(REGEXEXTRACT(S168, ""^([^.]*)\.""))
))))))))))))))))))))))))))))))))))))))))))))))))))))))))"),"YouTube (Prisioneiro 84.901)")</f>
        <v>YouTube (Prisioneiro 84.901)</v>
      </c>
      <c r="N168" s="11" t="s">
        <v>47</v>
      </c>
      <c r="O168" s="14" t="s">
        <v>546</v>
      </c>
      <c r="P168" s="171">
        <v>45946.0</v>
      </c>
      <c r="Q168" s="11" t="s">
        <v>154</v>
      </c>
      <c r="R168" s="70" t="str">
        <f t="shared" si="8"/>
        <v>Aqui</v>
      </c>
      <c r="S168" s="172" t="s">
        <v>859</v>
      </c>
    </row>
    <row r="169">
      <c r="A169" s="11">
        <v>167.0</v>
      </c>
      <c r="B169" s="14" t="s">
        <v>799</v>
      </c>
      <c r="C169" s="122" t="s">
        <v>165</v>
      </c>
      <c r="D169" s="13" t="str">
        <f>IFERROR(__xludf.DUMMYFUNCTION("IF(B169="""","""",IF(OR(
  REGEXMATCH(B169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REGEXMATCH(B169,""público|Imediato|artística|teatral|memória"")
),""Público Imediato"",
IF(REGEXMATCH(B169,""Música|Álbum|Filme|Documentário|Série|Podc"&amp;"ast|Rádio|Audiotour|Entrevista|Reportagem|Crônica|Relatório|Abaixo-assinado|Manifesto|Petição|Poema|Livro|Fotografia|Curta|Live|Webinário|Charge|Leitura pública|Vídeo""),
""Público Mediado"","""")))
"),"Público Imediato")</f>
        <v>Público Imediato</v>
      </c>
      <c r="E169" s="13" t="str">
        <f>IFERROR(__xludf.DUMMYFUNCTION("IF(B169="""","""",IF(OR(
  REGEXMATCH(B169,""Live|Webinário|Virtual""),
  REGEXMATCH(B169,""online"")
),""Virtual"",
IF(REGEXMATCH(B169,""Música|Álbum|Filme|Documentário|Série|Podcast|Rádio|Audiotour|Episódio|Reportagem|Curta|Charge|Livro|Vídeo|Entrevista"&amp;"""),
""Midiático"",
IF(REGEXMATCH(B169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69" s="186">
        <v>45296.0</v>
      </c>
      <c r="G169" s="15">
        <f t="shared" si="1"/>
        <v>2024</v>
      </c>
      <c r="H169" s="14" t="s">
        <v>733</v>
      </c>
      <c r="I169" s="175" t="s">
        <v>741</v>
      </c>
      <c r="J169" s="202" t="s">
        <v>860</v>
      </c>
      <c r="K169" s="16" t="s">
        <v>736</v>
      </c>
      <c r="L169" s="18" t="s">
        <v>489</v>
      </c>
      <c r="M169" s="15" t="str">
        <f>IFERROR(__xludf.DUMMYFUNCTION("IF(REGEXMATCH(S169, ""Companhia das Letras""), ""Companhia das Letras"",
IF(REGEXMATCH(S169, ""Labortexto Editorial""), ""Labortexto Editorial"",
IF(REGEXMATCH(S169, ""Geração Editorial""), ""Geração Editorial"",
IF(REGEXMATCH(S169, ""Editora Imprensa Ofi"&amp;"cial|Imprensa Oficial""), ""Editora Imprensa Oficial"",
IF(REGEXMATCH(S169, ""Folha Online""), ""Folha Online"",
IF(REGEXMATCH(S169, ""FGV DIREITO SP|FGV Direito SP""), ""FGV DIREITO SP"",
IF(REGEXMATCH(S169, ""massacrecarandiru\.org\.br""), ""Memória Mas"&amp;"sacre Carandiru"",
IF(REGEXMATCH(S169, ""Itaú Cultural""), ""YouTube (Itaú Cultural)"",
IF(REGEXMATCH(S169, ""Passa Palavra""), ""Vimeo (Passa Palavra)"",
IF(REGEXMATCH(S169, ""rede2deoutubro\.blogspot""), ""Blogspot (Rede 02 de Outubro)"",
IF(REGEXMATCH("&amp;"S169, ""Rede TVT""), ""YouTube (Rede TVT)"",
IF(REGEXMATCH(S169, ""Esquerda Diário""), ""Esquerda Diário"",
IF(REGEXMATCH(S169, ""GZH""), ""GZH"",
IF(REGEXMATCH(S169, ""TVPUC""), ""TVPUC"",
IF(REGEXMATCH(S169, ""Mídia Ninja.*Facebook""), ""Facebook (Mídia"&amp;" Ninja)"",
IF(REGEXMATCH(S169, ""Memórias Carandiru.*Instagram""), ""Instagram (Memórias Carandiru)"",
IF(REGEXMATCH(S169, ""Frente pelo Desencarceramento SP""), ""YouTube (Frente Pelo Desencarceramento SP)"",
IF(REGEXMATCH(S169, ""TV ABA""), ""YouTube (T"&amp;"V ABA)"",
IF(REGEXMATCH(S169, ""TV SENADO""), ""YouTube (TV Senado)"",
IF(REGEXMATCH(S169, ""Google Arts &amp; Culture""), ""Google Arts &amp; Culture (Memória Massacre Carandiru)"",
IF(REGEXMATCH(S169, ""Anistia Internacional|ANISTIA INTERNACIONAL""), ""Anistia "&amp;"Internacional"",
IF(REGEXMATCH(S169, ""47\.mostra|47a Mostra""), ""47a Mostra Internacional de Cinema em São Paulo"",
IF(REGEXMATCH(S169, ""Canal USP""), ""YouTube (Canal USP)"",
IF(AND(
  REGEXMATCH(S169, ""(?i)(teses?\.usp\.br|dissertacoes?\.usp\.br|rep"&amp;"ositorio\.usp\.br)""),
  NOT(REGEXMATCH(S169, ""Canal USP""))
), ""Biblioteca Digital de Teses e Dissertações da USP"",
IF(REGEXMATCH(S169, ""SINTRAJUSC""), ""SINTRAJUSC"",
IF(REGEXMATCH(S169, ""Agência Brasil|Agencia Brasil""), ""Agência Brasil"",
IF(REG"&amp;"EXMATCH(S169, ""Brasil de Fato""), ""Brasil de Fato"",
IF(REGEXMATCH(S169, ""Ponte Jornalismo|pontejornalismo""), ""Ponte Jornalismo"",
IF(REGEXMATCH(S169, ""letras\.mus\.br|Letras,""), ""Letras"",
IF(REGEXMATCH(S169, ""YouTube|youtube""), 
   ""YouTube "&amp;"(""&amp;
   IF(REGEXMATCH(S169, ""Itaú Cultural""), ""Itaú Cultural"",
   IF(REGEXMATCH(S169, ""Rede TVT""), ""Rede TVT"",
   IF(REGEXMATCH(S169, ""Frente pelo Desencarceramento SP""), ""Frente Pelo Desencarceramento SP"",
   IF(REGEXMATCH(S169, ""TV ABA""), "&amp;"""TV ABA"",
   IF(REGEXMATCH(S169, ""TV SENADO""), ""TV Senado"",
   IF(REGEXMATCH(S169, ""Canal USP""), ""Canal USP"",
   IF(REGEXMATCH(S169, ""Douer, Zack|Zack Douer""), ""Douer Zack"",
   IF(REGEXMATCH(S169, ""PRISIONEIRO 84\.901|PRISIONEIRO 84""), ""P"&amp;"risioneiro 84.901"",
   IF(REGEXMATCH(S169, ""^[^,]*, ""), 
        PROPER(REGEXREPLACE(REGEXEXTRACT(S169, ""^([^.]*)\.""), ""^([^,]*), (.*)"", ""$2 $1"")),
        PROPER(REGEXEXTRACT(S169, ""^([^.]*)\.""))
   )))))))))&amp;"")"",
IF(REGEXMATCH(S169, ""Spot"&amp;"ify|spotify""), 
   ""Spotify (""&amp;
   IF(REGEXMATCH(S169, ""ESTRANHO SORRISO""), ""Estranho Sorriso"",
   PROPER(REGEXEXTRACT(S169, ""^([^.]*)\.""))
   )&amp;"")"",
IF(REGEXMATCH(S169, ""Vimeo|vimeo""), 
   ""Vimeo (""&amp;
   IF(REGEXMATCH(S169, ""Passa Palavra"&amp;"""), ""Passa Palavra"",
   PROPER(REGEXEXTRACT(S169, ""^([^.]*)\.""))
   )&amp;"")"",
IF(REGEXMATCH(S169, ""Blogspot""), 
   ""Blogspot (""&amp;
   IF(REGEXMATCH(S169, ""rede2deoutubro""), ""Rede 02 de Outubro"",
   PROPER(REGEXEXTRACT(S169, ""^([^.]*)\.""))
   "&amp;")&amp;"")"",
IF(REGEXMATCH(S169, ""Facebook""), 
   ""Facebook (""&amp;
   IF(REGEXMATCH(S169, ""Mídia Ninja""), ""Mídia Ninja"",
   PROPER(REGEXEXTRACT(S169, ""^([^.]*)\.""))
   )&amp;"")"",
IF(REGEXMATCH(S169, ""Instagram""), 
   ""Instagram (""&amp;
   IF(REGEXMATCH"&amp;"(S169, ""Memórias Carandiru""), ""Memórias Carandiru"",
   PROPER(REGEXEXTRACT(S169, ""^([^.]*)\.""))
   )&amp;"")"",
IF(REGEXMATCH(S169, ""Folha de S\. Paulo|FOLHA DE S\. PAULO""), ""Folha de S. Paulo"",
IF(REGEXMATCH(S169, ""O Estado de S\. Paulo|ESTADAO"""&amp;"), ""O Estado de S. Paulo"",
IF(REGEXMATCH(S169, ""salasecreta""), ""Wordpress (Sala Secreta)"",
IF(REGEXMATCH(S169, ""Wikipedia|Wikipédia|WIKIPÉDIA""), ""Wikipedia"",
IF(REGEXMATCH(S169, ""VEJA|Veja""), ""Veja Abril"",
IF(REGEXMATCH(S441, ""Rede Globo|RE"&amp;"DE GLOBO""), ""Rede Globo"",
IF(REGEXMATCH(S441, ""G1|globo\.com""), ""G1"",
IF(REGEXMATCH(S169, ""Deutsche Welle|DW\.com""), ""Deutsche Welle"",
IF(REGEXMATCH(S169, ""CIDH|Comissão Interamericana""), ""Comissão Interamericana de Direitos Humanos (CIDH)"""&amp;",
IF(REGEXMATCH(S169, ""Pastoral Carcerária""), ""Pastoral Carcerária"",
IF(REGEXMATCH(S169, ""Esquerda Web""), ""Esquerda Web"",
IF(REGEXMATCH(S169, ""ONU|Organização das Nações Unidas""), ""ONU Brasil"",
IF(REGEXMATCH(S169, ""Quilombo Invisível""), ""Qu"&amp;"ilombo Invisível"",
IF(REGEXMATCH(S169, ""ALESP|Assembleia Legislativa""), ""ALESP"",
IF(REGEXMATCH(S169, ""Revista Opera""), ""Revista Opera"",
IF(REGEXMATCH(S169, ""SP Escola de Teatro""), ""SP Escola de Teatro"",
IF(REGEXMATCH(S169, ""EMC|Espaço Memóri"&amp;"a Carandiru""), ""EMC Espaço Memória Carandiru"",
IF(REGEXMATCH(S169, ""^RAMOS, Nuno|Nuno Ramos""), ""Nuno Ramos"",
IF(REGEXMATCH(S169, ""^VELOSO, Caetano|Caetano Veloso""), ""YouTube (Caetano Veloso)"",
IF(REGEXMATCH(S169, ""^FATOS REAIS""), ""YouTube ("&amp;"Fatos Reais - Topic)"",
IF(REGEXMATCH(S169, ""^SALA SECRETA""), ""Wordpress (Sala Secreta)"",
PROPER(REGEXEXTRACT(S169, ""^([^.]*)\.""))
))))))))))))))))))))))))))))))))))))))))))))))))))))))))"),"Instagram (Memórias Carandiru)")</f>
        <v>Instagram (Memórias Carandiru)</v>
      </c>
      <c r="N169" s="11" t="s">
        <v>47</v>
      </c>
      <c r="O169" s="14" t="s">
        <v>149</v>
      </c>
      <c r="P169" s="186">
        <v>45857.0</v>
      </c>
      <c r="Q169" s="11" t="s">
        <v>154</v>
      </c>
      <c r="R169" s="70" t="str">
        <f t="shared" si="8"/>
        <v>Aqui</v>
      </c>
      <c r="S169" s="75" t="s">
        <v>861</v>
      </c>
    </row>
    <row r="170">
      <c r="A170" s="11">
        <v>168.0</v>
      </c>
      <c r="B170" s="14" t="s">
        <v>729</v>
      </c>
      <c r="C170" s="122" t="s">
        <v>165</v>
      </c>
      <c r="D170" s="13" t="str">
        <f>IFERROR(__xludf.DUMMYFUNCTION("IF(B170="""","""",IF(OR(
  REGEXMATCH(B170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REGEXMATCH(B170,""público|Imediato|artística|teatral|memória"")
),""Público Imediato"",
IF(REGEXMATCH(B170,""Música|Álbum|Filme|Documentário|Série|Podc"&amp;"ast|Rádio|Audiotour|Entrevista|Reportagem|Crônica|Relatório|Abaixo-assinado|Manifesto|Petição|Poema|Livro|Fotografia|Curta|Live|Webinário|Charge|Leitura pública|Vídeo""),
""Público Mediado"","""")))
"),"Público Imediato")</f>
        <v>Público Imediato</v>
      </c>
      <c r="E170" s="13" t="str">
        <f>IFERROR(__xludf.DUMMYFUNCTION("IF(B170="""","""",IF(OR(
  REGEXMATCH(B170,""Live|Webinário|Virtual""),
  REGEXMATCH(B170,""online"")
),""Virtual"",
IF(REGEXMATCH(B170,""Música|Álbum|Filme|Documentário|Série|Podcast|Rádio|Audiotour|Episódio|Reportagem|Curta|Charge|Livro|Vídeo|Entrevista"&amp;"""),
""Midiático"",
IF(REGEXMATCH(B170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0" s="186">
        <v>45305.0</v>
      </c>
      <c r="G170" s="15">
        <f t="shared" si="1"/>
        <v>2024</v>
      </c>
      <c r="H170" s="14" t="s">
        <v>862</v>
      </c>
      <c r="I170" s="175" t="s">
        <v>741</v>
      </c>
      <c r="J170" s="202" t="s">
        <v>863</v>
      </c>
      <c r="K170" s="16" t="s">
        <v>736</v>
      </c>
      <c r="L170" s="18" t="s">
        <v>489</v>
      </c>
      <c r="M170" s="15" t="str">
        <f>IFERROR(__xludf.DUMMYFUNCTION("IF(REGEXMATCH(S170, ""Companhia das Letras""), ""Companhia das Letras"",
IF(REGEXMATCH(S170, ""Labortexto Editorial""), ""Labortexto Editorial"",
IF(REGEXMATCH(S170, ""Geração Editorial""), ""Geração Editorial"",
IF(REGEXMATCH(S170, ""Editora Imprensa Ofi"&amp;"cial|Imprensa Oficial""), ""Editora Imprensa Oficial"",
IF(REGEXMATCH(S170, ""Folha Online""), ""Folha Online"",
IF(REGEXMATCH(S170, ""FGV DIREITO SP|FGV Direito SP""), ""FGV DIREITO SP"",
IF(REGEXMATCH(S170, ""massacrecarandiru\.org\.br""), ""Memória Mas"&amp;"sacre Carandiru"",
IF(REGEXMATCH(S170, ""Itaú Cultural""), ""YouTube (Itaú Cultural)"",
IF(REGEXMATCH(S170, ""Passa Palavra""), ""Vimeo (Passa Palavra)"",
IF(REGEXMATCH(S170, ""rede2deoutubro\.blogspot""), ""Blogspot (Rede 02 de Outubro)"",
IF(REGEXMATCH("&amp;"S170, ""Rede TVT""), ""YouTube (Rede TVT)"",
IF(REGEXMATCH(S170, ""Esquerda Diário""), ""Esquerda Diário"",
IF(REGEXMATCH(S170, ""GZH""), ""GZH"",
IF(REGEXMATCH(S170, ""TVPUC""), ""TVPUC"",
IF(REGEXMATCH(S170, ""Mídia Ninja.*Facebook""), ""Facebook (Mídia"&amp;" Ninja)"",
IF(REGEXMATCH(S170, ""Memórias Carandiru.*Instagram""), ""Instagram (Memórias Carandiru)"",
IF(REGEXMATCH(S170, ""Frente pelo Desencarceramento SP""), ""YouTube (Frente Pelo Desencarceramento SP)"",
IF(REGEXMATCH(S170, ""TV ABA""), ""YouTube (T"&amp;"V ABA)"",
IF(REGEXMATCH(S170, ""TV SENADO""), ""YouTube (TV Senado)"",
IF(REGEXMATCH(S170, ""Google Arts &amp; Culture""), ""Google Arts &amp; Culture (Memória Massacre Carandiru)"",
IF(REGEXMATCH(S170, ""Anistia Internacional|ANISTIA INTERNACIONAL""), ""Anistia "&amp;"Internacional"",
IF(REGEXMATCH(S170, ""47\.mostra|47a Mostra""), ""47a Mostra Internacional de Cinema em São Paulo"",
IF(REGEXMATCH(S170, ""Canal USP""), ""YouTube (Canal USP)"",
IF(AND(
  REGEXMATCH(S170, ""(?i)(teses?\.usp\.br|dissertacoes?\.usp\.br|rep"&amp;"ositorio\.usp\.br)""),
  NOT(REGEXMATCH(S170, ""Canal USP""))
), ""Biblioteca Digital de Teses e Dissertações da USP"",
IF(REGEXMATCH(S170, ""SINTRAJUSC""), ""SINTRAJUSC"",
IF(REGEXMATCH(S170, ""Agência Brasil|Agencia Brasil""), ""Agência Brasil"",
IF(REG"&amp;"EXMATCH(S170, ""Brasil de Fato""), ""Brasil de Fato"",
IF(REGEXMATCH(S170, ""Ponte Jornalismo|pontejornalismo""), ""Ponte Jornalismo"",
IF(REGEXMATCH(S170, ""letras\.mus\.br|Letras,""), ""Letras"",
IF(REGEXMATCH(S170, ""YouTube|youtube""), 
   ""YouTube "&amp;"(""&amp;
   IF(REGEXMATCH(S170, ""Itaú Cultural""), ""Itaú Cultural"",
   IF(REGEXMATCH(S170, ""Rede TVT""), ""Rede TVT"",
   IF(REGEXMATCH(S170, ""Frente pelo Desencarceramento SP""), ""Frente Pelo Desencarceramento SP"",
   IF(REGEXMATCH(S170, ""TV ABA""), "&amp;"""TV ABA"",
   IF(REGEXMATCH(S170, ""TV SENADO""), ""TV Senado"",
   IF(REGEXMATCH(S170, ""Canal USP""), ""Canal USP"",
   IF(REGEXMATCH(S170, ""Douer, Zack|Zack Douer""), ""Douer Zack"",
   IF(REGEXMATCH(S170, ""PRISIONEIRO 84\.901|PRISIONEIRO 84""), ""P"&amp;"risioneiro 84.901"",
   IF(REGEXMATCH(S170, ""^[^,]*, ""), 
        PROPER(REGEXREPLACE(REGEXEXTRACT(S170, ""^([^.]*)\.""), ""^([^,]*), (.*)"", ""$2 $1"")),
        PROPER(REGEXEXTRACT(S170, ""^([^.]*)\.""))
   )))))))))&amp;"")"",
IF(REGEXMATCH(S170, ""Spot"&amp;"ify|spotify""), 
   ""Spotify (""&amp;
   IF(REGEXMATCH(S170, ""ESTRANHO SORRISO""), ""Estranho Sorriso"",
   PROPER(REGEXEXTRACT(S170, ""^([^.]*)\.""))
   )&amp;"")"",
IF(REGEXMATCH(S170, ""Vimeo|vimeo""), 
   ""Vimeo (""&amp;
   IF(REGEXMATCH(S170, ""Passa Palavra"&amp;"""), ""Passa Palavra"",
   PROPER(REGEXEXTRACT(S170, ""^([^.]*)\.""))
   )&amp;"")"",
IF(REGEXMATCH(S170, ""Blogspot""), 
   ""Blogspot (""&amp;
   IF(REGEXMATCH(S170, ""rede2deoutubro""), ""Rede 02 de Outubro"",
   PROPER(REGEXEXTRACT(S170, ""^([^.]*)\.""))
   "&amp;")&amp;"")"",
IF(REGEXMATCH(S170, ""Facebook""), 
   ""Facebook (""&amp;
   IF(REGEXMATCH(S170, ""Mídia Ninja""), ""Mídia Ninja"",
   PROPER(REGEXEXTRACT(S170, ""^([^.]*)\.""))
   )&amp;"")"",
IF(REGEXMATCH(S170, ""Instagram""), 
   ""Instagram (""&amp;
   IF(REGEXMATCH"&amp;"(S170, ""Memórias Carandiru""), ""Memórias Carandiru"",
   PROPER(REGEXEXTRACT(S170, ""^([^.]*)\.""))
   )&amp;"")"",
IF(REGEXMATCH(S170, ""Folha de S\. Paulo|FOLHA DE S\. PAULO""), ""Folha de S. Paulo"",
IF(REGEXMATCH(S170, ""O Estado de S\. Paulo|ESTADAO"""&amp;"), ""O Estado de S. Paulo"",
IF(REGEXMATCH(S170, ""salasecreta""), ""Wordpress (Sala Secreta)"",
IF(REGEXMATCH(S170, ""Wikipedia|Wikipédia|WIKIPÉDIA""), ""Wikipedia"",
IF(REGEXMATCH(S170, ""VEJA|Veja""), ""Veja Abril"",
IF(REGEXMATCH(S442, ""Rede Globo|RE"&amp;"DE GLOBO""), ""Rede Globo"",
IF(REGEXMATCH(S442, ""G1|globo\.com""), ""G1"",
IF(REGEXMATCH(S170, ""Deutsche Welle|DW\.com""), ""Deutsche Welle"",
IF(REGEXMATCH(S170, ""CIDH|Comissão Interamericana""), ""Comissão Interamericana de Direitos Humanos (CIDH)"""&amp;",
IF(REGEXMATCH(S170, ""Pastoral Carcerária""), ""Pastoral Carcerária"",
IF(REGEXMATCH(S170, ""Esquerda Web""), ""Esquerda Web"",
IF(REGEXMATCH(S170, ""ONU|Organização das Nações Unidas""), ""ONU Brasil"",
IF(REGEXMATCH(S170, ""Quilombo Invisível""), ""Qu"&amp;"ilombo Invisível"",
IF(REGEXMATCH(S170, ""ALESP|Assembleia Legislativa""), ""ALESP"",
IF(REGEXMATCH(S170, ""Revista Opera""), ""Revista Opera"",
IF(REGEXMATCH(S170, ""SP Escola de Teatro""), ""SP Escola de Teatro"",
IF(REGEXMATCH(S170, ""EMC|Espaço Memóri"&amp;"a Carandiru""), ""EMC Espaço Memória Carandiru"",
IF(REGEXMATCH(S170, ""^RAMOS, Nuno|Nuno Ramos""), ""Nuno Ramos"",
IF(REGEXMATCH(S170, ""^VELOSO, Caetano|Caetano Veloso""), ""YouTube (Caetano Veloso)"",
IF(REGEXMATCH(S170, ""^FATOS REAIS""), ""YouTube ("&amp;"Fatos Reais - Topic)"",
IF(REGEXMATCH(S170, ""^SALA SECRETA""), ""Wordpress (Sala Secreta)"",
PROPER(REGEXEXTRACT(S170, ""^([^.]*)\.""))
))))))))))))))))))))))))))))))))))))))))))))))))))))))))"),"Instagram (Memórias Carandiru)")</f>
        <v>Instagram (Memórias Carandiru)</v>
      </c>
      <c r="N170" s="11" t="s">
        <v>47</v>
      </c>
      <c r="O170" s="14" t="s">
        <v>149</v>
      </c>
      <c r="P170" s="186">
        <v>45857.0</v>
      </c>
      <c r="Q170" s="11" t="s">
        <v>154</v>
      </c>
      <c r="R170" s="70" t="str">
        <f t="shared" si="8"/>
        <v>Aqui</v>
      </c>
      <c r="S170" s="75" t="s">
        <v>864</v>
      </c>
    </row>
    <row r="171">
      <c r="A171" s="11">
        <v>169.0</v>
      </c>
      <c r="B171" s="14" t="s">
        <v>485</v>
      </c>
      <c r="C171" s="12" t="str">
        <f>IFERROR(__xludf.DUMMYFUNCTION("IF(B171="""","""",IF(OR(
  REGEXMATCH(B171,""Performance|Instalação|Álbum|Música|Poema|Livro|Filme|Documentário|Recitação|Espetáculo|Peça|Intervenção|Desfile|Fotografia|Exposição|Charge|Grafite|Leitura pública|Fabricação de cachaça artesanal""),
  REGEXMA"&amp;"TCH(B171,""dança|teatral|artístico|musical|artística"")
),""Manifestação artístico-cultural"",
IF(OR(
  REGEXMATCH(B171,""Crônica|Série|Reportagem|Podcast|Audiotour|Entrevista|Vídeo|Rádio""),
  REGEXMATCH(B171,""midiática"")
),""Produção midiática"","""")"&amp;"))
"),"Manifestação artístico-cultural")</f>
        <v>Manifestação artístico-cultural</v>
      </c>
      <c r="D171" s="13" t="str">
        <f>IFERROR(__xludf.DUMMYFUNCTION("IF(B171="""","""",IF(OR(
  REGEXMATCH(B171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REGEXMATCH(B171,""público|Imediato|artística|teatral|memória"")
),""Público Imediato"",
IF(REGEXMATCH(B171,""Música|Álbum|Filme|Documentário|Série|Podc"&amp;"ast|Rádio|Audiotour|Entrevista|Reportagem|Crônica|Relatório|Abaixo-assinado|Manifesto|Petição|Poema|Livro|Fotografia|Curta|Live|Webinário|Charge|Leitura pública|Vídeo""),
""Público Mediado"","""")))
"),"Público Imediato")</f>
        <v>Público Imediato</v>
      </c>
      <c r="E171" s="13" t="str">
        <f>IFERROR(__xludf.DUMMYFUNCTION("IF(B171="""","""",IF(OR(
  REGEXMATCH(B171,""Live|Webinário|Virtual""),
  REGEXMATCH(B171,""online"")
),""Virtual"",
IF(REGEXMATCH(B171,""Música|Álbum|Filme|Documentário|Série|Podcast|Rádio|Audiotour|Episódio|Reportagem|Curta|Charge|Livro|Vídeo|Entrevista"&amp;"""),
""Midiático"",
IF(REGEXMATCH(B171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1" s="186">
        <v>45307.0</v>
      </c>
      <c r="G171" s="15">
        <f t="shared" si="1"/>
        <v>2024</v>
      </c>
      <c r="H171" s="14" t="s">
        <v>733</v>
      </c>
      <c r="I171" s="175" t="s">
        <v>865</v>
      </c>
      <c r="J171" s="202" t="s">
        <v>866</v>
      </c>
      <c r="K171" s="16" t="s">
        <v>736</v>
      </c>
      <c r="L171" s="18" t="s">
        <v>489</v>
      </c>
      <c r="M171" s="15" t="str">
        <f>IFERROR(__xludf.DUMMYFUNCTION("IF(REGEXMATCH(S171, ""Companhia das Letras""), ""Companhia das Letras"",
IF(REGEXMATCH(S171, ""Labortexto Editorial""), ""Labortexto Editorial"",
IF(REGEXMATCH(S171, ""Geração Editorial""), ""Geração Editorial"",
IF(REGEXMATCH(S171, ""Editora Imprensa Ofi"&amp;"cial|Imprensa Oficial""), ""Editora Imprensa Oficial"",
IF(REGEXMATCH(S171, ""Folha Online""), ""Folha Online"",
IF(REGEXMATCH(S171, ""FGV DIREITO SP|FGV Direito SP""), ""FGV DIREITO SP"",
IF(REGEXMATCH(S171, ""massacrecarandiru\.org\.br""), ""Memória Mas"&amp;"sacre Carandiru"",
IF(REGEXMATCH(S171, ""Itaú Cultural""), ""YouTube (Itaú Cultural)"",
IF(REGEXMATCH(S171, ""Passa Palavra""), ""Vimeo (Passa Palavra)"",
IF(REGEXMATCH(S171, ""rede2deoutubro\.blogspot""), ""Blogspot (Rede 02 de Outubro)"",
IF(REGEXMATCH("&amp;"S171, ""Rede TVT""), ""YouTube (Rede TVT)"",
IF(REGEXMATCH(S171, ""Esquerda Diário""), ""Esquerda Diário"",
IF(REGEXMATCH(S171, ""GZH""), ""GZH"",
IF(REGEXMATCH(S171, ""TVPUC""), ""TVPUC"",
IF(REGEXMATCH(S171, ""Mídia Ninja.*Facebook""), ""Facebook (Mídia"&amp;" Ninja)"",
IF(REGEXMATCH(S171, ""Memórias Carandiru.*Instagram""), ""Instagram (Memórias Carandiru)"",
IF(REGEXMATCH(S171, ""Frente pelo Desencarceramento SP""), ""YouTube (Frente Pelo Desencarceramento SP)"",
IF(REGEXMATCH(S171, ""TV ABA""), ""YouTube (T"&amp;"V ABA)"",
IF(REGEXMATCH(S171, ""TV SENADO""), ""YouTube (TV Senado)"",
IF(REGEXMATCH(S171, ""Google Arts &amp; Culture""), ""Google Arts &amp; Culture (Memória Massacre Carandiru)"",
IF(REGEXMATCH(S171, ""Anistia Internacional|ANISTIA INTERNACIONAL""), ""Anistia "&amp;"Internacional"",
IF(REGEXMATCH(S171, ""47\.mostra|47a Mostra""), ""47a Mostra Internacional de Cinema em São Paulo"",
IF(REGEXMATCH(S171, ""Canal USP""), ""YouTube (Canal USP)"",
IF(AND(
  REGEXMATCH(S171, ""(?i)(teses?\.usp\.br|dissertacoes?\.usp\.br|rep"&amp;"ositorio\.usp\.br)""),
  NOT(REGEXMATCH(S171, ""Canal USP""))
), ""Biblioteca Digital de Teses e Dissertações da USP"",
IF(REGEXMATCH(S171, ""SINTRAJUSC""), ""SINTRAJUSC"",
IF(REGEXMATCH(S171, ""Agência Brasil|Agencia Brasil""), ""Agência Brasil"",
IF(REG"&amp;"EXMATCH(S171, ""Brasil de Fato""), ""Brasil de Fato"",
IF(REGEXMATCH(S171, ""Ponte Jornalismo|pontejornalismo""), ""Ponte Jornalismo"",
IF(REGEXMATCH(S171, ""letras\.mus\.br|Letras,""), ""Letras"",
IF(REGEXMATCH(S171, ""YouTube|youtube""), 
   ""YouTube "&amp;"(""&amp;
   IF(REGEXMATCH(S171, ""Itaú Cultural""), ""Itaú Cultural"",
   IF(REGEXMATCH(S171, ""Rede TVT""), ""Rede TVT"",
   IF(REGEXMATCH(S171, ""Frente pelo Desencarceramento SP""), ""Frente Pelo Desencarceramento SP"",
   IF(REGEXMATCH(S171, ""TV ABA""), "&amp;"""TV ABA"",
   IF(REGEXMATCH(S171, ""TV SENADO""), ""TV Senado"",
   IF(REGEXMATCH(S171, ""Canal USP""), ""Canal USP"",
   IF(REGEXMATCH(S171, ""Douer, Zack|Zack Douer""), ""Douer Zack"",
   IF(REGEXMATCH(S171, ""PRISIONEIRO 84\.901|PRISIONEIRO 84""), ""P"&amp;"risioneiro 84.901"",
   IF(REGEXMATCH(S171, ""^[^,]*, ""), 
        PROPER(REGEXREPLACE(REGEXEXTRACT(S171, ""^([^.]*)\.""), ""^([^,]*), (.*)"", ""$2 $1"")),
        PROPER(REGEXEXTRACT(S171, ""^([^.]*)\.""))
   )))))))))&amp;"")"",
IF(REGEXMATCH(S171, ""Spot"&amp;"ify|spotify""), 
   ""Spotify (""&amp;
   IF(REGEXMATCH(S171, ""ESTRANHO SORRISO""), ""Estranho Sorriso"",
   PROPER(REGEXEXTRACT(S171, ""^([^.]*)\.""))
   )&amp;"")"",
IF(REGEXMATCH(S171, ""Vimeo|vimeo""), 
   ""Vimeo (""&amp;
   IF(REGEXMATCH(S171, ""Passa Palavra"&amp;"""), ""Passa Palavra"",
   PROPER(REGEXEXTRACT(S171, ""^([^.]*)\.""))
   )&amp;"")"",
IF(REGEXMATCH(S171, ""Blogspot""), 
   ""Blogspot (""&amp;
   IF(REGEXMATCH(S171, ""rede2deoutubro""), ""Rede 02 de Outubro"",
   PROPER(REGEXEXTRACT(S171, ""^([^.]*)\.""))
   "&amp;")&amp;"")"",
IF(REGEXMATCH(S171, ""Facebook""), 
   ""Facebook (""&amp;
   IF(REGEXMATCH(S171, ""Mídia Ninja""), ""Mídia Ninja"",
   PROPER(REGEXEXTRACT(S171, ""^([^.]*)\.""))
   )&amp;"")"",
IF(REGEXMATCH(S171, ""Instagram""), 
   ""Instagram (""&amp;
   IF(REGEXMATCH"&amp;"(S171, ""Memórias Carandiru""), ""Memórias Carandiru"",
   PROPER(REGEXEXTRACT(S171, ""^([^.]*)\.""))
   )&amp;"")"",
IF(REGEXMATCH(S171, ""Folha de S\. Paulo|FOLHA DE S\. PAULO""), ""Folha de S. Paulo"",
IF(REGEXMATCH(S171, ""O Estado de S\. Paulo|ESTADAO"""&amp;"), ""O Estado de S. Paulo"",
IF(REGEXMATCH(S171, ""salasecreta""), ""Wordpress (Sala Secreta)"",
IF(REGEXMATCH(S171, ""Wikipedia|Wikipédia|WIKIPÉDIA""), ""Wikipedia"",
IF(REGEXMATCH(S171, ""VEJA|Veja""), ""Veja Abril"",
IF(REGEXMATCH(S443, ""Rede Globo|RE"&amp;"DE GLOBO""), ""Rede Globo"",
IF(REGEXMATCH(S443, ""G1|globo\.com""), ""G1"",
IF(REGEXMATCH(S171, ""Deutsche Welle|DW\.com""), ""Deutsche Welle"",
IF(REGEXMATCH(S171, ""CIDH|Comissão Interamericana""), ""Comissão Interamericana de Direitos Humanos (CIDH)"""&amp;",
IF(REGEXMATCH(S171, ""Pastoral Carcerária""), ""Pastoral Carcerária"",
IF(REGEXMATCH(S171, ""Esquerda Web""), ""Esquerda Web"",
IF(REGEXMATCH(S171, ""ONU|Organização das Nações Unidas""), ""ONU Brasil"",
IF(REGEXMATCH(S171, ""Quilombo Invisível""), ""Qu"&amp;"ilombo Invisível"",
IF(REGEXMATCH(S171, ""ALESP|Assembleia Legislativa""), ""ALESP"",
IF(REGEXMATCH(S171, ""Revista Opera""), ""Revista Opera"",
IF(REGEXMATCH(S171, ""SP Escola de Teatro""), ""SP Escola de Teatro"",
IF(REGEXMATCH(S171, ""EMC|Espaço Memóri"&amp;"a Carandiru""), ""EMC Espaço Memória Carandiru"",
IF(REGEXMATCH(S171, ""^RAMOS, Nuno|Nuno Ramos""), ""Nuno Ramos"",
IF(REGEXMATCH(S171, ""^VELOSO, Caetano|Caetano Veloso""), ""YouTube (Caetano Veloso)"",
IF(REGEXMATCH(S171, ""^FATOS REAIS""), ""YouTube ("&amp;"Fatos Reais - Topic)"",
IF(REGEXMATCH(S171, ""^SALA SECRETA""), ""Wordpress (Sala Secreta)"",
PROPER(REGEXEXTRACT(S171, ""^([^.]*)\.""))
))))))))))))))))))))))))))))))))))))))))))))))))))))))))"),"Instagram (Memórias Carandiru)")</f>
        <v>Instagram (Memórias Carandiru)</v>
      </c>
      <c r="N171" s="11" t="s">
        <v>47</v>
      </c>
      <c r="O171" s="14" t="s">
        <v>149</v>
      </c>
      <c r="P171" s="186">
        <v>45857.0</v>
      </c>
      <c r="Q171" s="11" t="s">
        <v>154</v>
      </c>
      <c r="R171" s="70" t="str">
        <f t="shared" si="8"/>
        <v>Aqui</v>
      </c>
      <c r="S171" s="75" t="s">
        <v>867</v>
      </c>
    </row>
    <row r="172">
      <c r="A172" s="11">
        <v>170.0</v>
      </c>
      <c r="B172" s="14" t="s">
        <v>729</v>
      </c>
      <c r="C172" s="122" t="s">
        <v>165</v>
      </c>
      <c r="D172" s="13" t="str">
        <f>IFERROR(__xludf.DUMMYFUNCTION("IF(B172="""","""",IF(OR(
  REGEXMATCH(B172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REGEXMATCH(B172,""público|Imediato|artística|teatral|memória"")
),""Público Imediato"",
IF(REGEXMATCH(B172,""Música|Álbum|Filme|Documentário|Série|Podc"&amp;"ast|Rádio|Audiotour|Entrevista|Reportagem|Crônica|Relatório|Abaixo-assinado|Manifesto|Petição|Poema|Livro|Fotografia|Curta|Live|Webinário|Charge|Leitura pública|Vídeo""),
""Público Mediado"","""")))
"),"Público Imediato")</f>
        <v>Público Imediato</v>
      </c>
      <c r="E172" s="13" t="str">
        <f>IFERROR(__xludf.DUMMYFUNCTION("IF(B172="""","""",IF(OR(
  REGEXMATCH(B172,""Live|Webinário|Virtual""),
  REGEXMATCH(B172,""online"")
),""Virtual"",
IF(REGEXMATCH(B172,""Música|Álbum|Filme|Documentário|Série|Podcast|Rádio|Audiotour|Episódio|Reportagem|Curta|Charge|Livro|Vídeo|Entrevista"&amp;"""),
""Midiático"",
IF(REGEXMATCH(B172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2" s="186">
        <v>45308.0</v>
      </c>
      <c r="G172" s="15">
        <f t="shared" si="1"/>
        <v>2024</v>
      </c>
      <c r="H172" s="14" t="s">
        <v>868</v>
      </c>
      <c r="I172" s="175" t="s">
        <v>741</v>
      </c>
      <c r="J172" s="202" t="s">
        <v>869</v>
      </c>
      <c r="K172" s="16" t="s">
        <v>736</v>
      </c>
      <c r="L172" s="18" t="s">
        <v>489</v>
      </c>
      <c r="M172" s="15" t="str">
        <f>IFERROR(__xludf.DUMMYFUNCTION("IF(REGEXMATCH(S172, ""Companhia das Letras""), ""Companhia das Letras"",
IF(REGEXMATCH(S172, ""Labortexto Editorial""), ""Labortexto Editorial"",
IF(REGEXMATCH(S172, ""Geração Editorial""), ""Geração Editorial"",
IF(REGEXMATCH(S172, ""Editora Imprensa Ofi"&amp;"cial|Imprensa Oficial""), ""Editora Imprensa Oficial"",
IF(REGEXMATCH(S172, ""Folha Online""), ""Folha Online"",
IF(REGEXMATCH(S172, ""FGV DIREITO SP|FGV Direito SP""), ""FGV DIREITO SP"",
IF(REGEXMATCH(S172, ""massacrecarandiru\.org\.br""), ""Memória Mas"&amp;"sacre Carandiru"",
IF(REGEXMATCH(S172, ""Itaú Cultural""), ""YouTube (Itaú Cultural)"",
IF(REGEXMATCH(S172, ""Passa Palavra""), ""Vimeo (Passa Palavra)"",
IF(REGEXMATCH(S172, ""rede2deoutubro\.blogspot""), ""Blogspot (Rede 02 de Outubro)"",
IF(REGEXMATCH("&amp;"S172, ""Rede TVT""), ""YouTube (Rede TVT)"",
IF(REGEXMATCH(S172, ""Esquerda Diário""), ""Esquerda Diário"",
IF(REGEXMATCH(S172, ""GZH""), ""GZH"",
IF(REGEXMATCH(S172, ""TVPUC""), ""TVPUC"",
IF(REGEXMATCH(S172, ""Mídia Ninja.*Facebook""), ""Facebook (Mídia"&amp;" Ninja)"",
IF(REGEXMATCH(S172, ""Memórias Carandiru.*Instagram""), ""Instagram (Memórias Carandiru)"",
IF(REGEXMATCH(S172, ""Frente pelo Desencarceramento SP""), ""YouTube (Frente Pelo Desencarceramento SP)"",
IF(REGEXMATCH(S172, ""TV ABA""), ""YouTube (T"&amp;"V ABA)"",
IF(REGEXMATCH(S172, ""TV SENADO""), ""YouTube (TV Senado)"",
IF(REGEXMATCH(S172, ""Google Arts &amp; Culture""), ""Google Arts &amp; Culture (Memória Massacre Carandiru)"",
IF(REGEXMATCH(S172, ""Anistia Internacional|ANISTIA INTERNACIONAL""), ""Anistia "&amp;"Internacional"",
IF(REGEXMATCH(S172, ""47\.mostra|47a Mostra""), ""47a Mostra Internacional de Cinema em São Paulo"",
IF(REGEXMATCH(S172, ""Canal USP""), ""YouTube (Canal USP)"",
IF(AND(
  REGEXMATCH(S172, ""(?i)(teses?\.usp\.br|dissertacoes?\.usp\.br|rep"&amp;"ositorio\.usp\.br)""),
  NOT(REGEXMATCH(S172, ""Canal USP""))
), ""Biblioteca Digital de Teses e Dissertações da USP"",
IF(REGEXMATCH(S172, ""SINTRAJUSC""), ""SINTRAJUSC"",
IF(REGEXMATCH(S172, ""Agência Brasil|Agencia Brasil""), ""Agência Brasil"",
IF(REG"&amp;"EXMATCH(S172, ""Brasil de Fato""), ""Brasil de Fato"",
IF(REGEXMATCH(S172, ""Ponte Jornalismo|pontejornalismo""), ""Ponte Jornalismo"",
IF(REGEXMATCH(S172, ""letras\.mus\.br|Letras,""), ""Letras"",
IF(REGEXMATCH(S172, ""YouTube|youtube""), 
   ""YouTube "&amp;"(""&amp;
   IF(REGEXMATCH(S172, ""Itaú Cultural""), ""Itaú Cultural"",
   IF(REGEXMATCH(S172, ""Rede TVT""), ""Rede TVT"",
   IF(REGEXMATCH(S172, ""Frente pelo Desencarceramento SP""), ""Frente Pelo Desencarceramento SP"",
   IF(REGEXMATCH(S172, ""TV ABA""), "&amp;"""TV ABA"",
   IF(REGEXMATCH(S172, ""TV SENADO""), ""TV Senado"",
   IF(REGEXMATCH(S172, ""Canal USP""), ""Canal USP"",
   IF(REGEXMATCH(S172, ""Douer, Zack|Zack Douer""), ""Douer Zack"",
   IF(REGEXMATCH(S172, ""PRISIONEIRO 84\.901|PRISIONEIRO 84""), ""P"&amp;"risioneiro 84.901"",
   IF(REGEXMATCH(S172, ""^[^,]*, ""), 
        PROPER(REGEXREPLACE(REGEXEXTRACT(S172, ""^([^.]*)\.""), ""^([^,]*), (.*)"", ""$2 $1"")),
        PROPER(REGEXEXTRACT(S172, ""^([^.]*)\.""))
   )))))))))&amp;"")"",
IF(REGEXMATCH(S172, ""Spot"&amp;"ify|spotify""), 
   ""Spotify (""&amp;
   IF(REGEXMATCH(S172, ""ESTRANHO SORRISO""), ""Estranho Sorriso"",
   PROPER(REGEXEXTRACT(S172, ""^([^.]*)\.""))
   )&amp;"")"",
IF(REGEXMATCH(S172, ""Vimeo|vimeo""), 
   ""Vimeo (""&amp;
   IF(REGEXMATCH(S172, ""Passa Palavra"&amp;"""), ""Passa Palavra"",
   PROPER(REGEXEXTRACT(S172, ""^([^.]*)\.""))
   )&amp;"")"",
IF(REGEXMATCH(S172, ""Blogspot""), 
   ""Blogspot (""&amp;
   IF(REGEXMATCH(S172, ""rede2deoutubro""), ""Rede 02 de Outubro"",
   PROPER(REGEXEXTRACT(S172, ""^([^.]*)\.""))
   "&amp;")&amp;"")"",
IF(REGEXMATCH(S172, ""Facebook""), 
   ""Facebook (""&amp;
   IF(REGEXMATCH(S172, ""Mídia Ninja""), ""Mídia Ninja"",
   PROPER(REGEXEXTRACT(S172, ""^([^.]*)\.""))
   )&amp;"")"",
IF(REGEXMATCH(S172, ""Instagram""), 
   ""Instagram (""&amp;
   IF(REGEXMATCH"&amp;"(S172, ""Memórias Carandiru""), ""Memórias Carandiru"",
   PROPER(REGEXEXTRACT(S172, ""^([^.]*)\.""))
   )&amp;"")"",
IF(REGEXMATCH(S172, ""Folha de S\. Paulo|FOLHA DE S\. PAULO""), ""Folha de S. Paulo"",
IF(REGEXMATCH(S172, ""O Estado de S\. Paulo|ESTADAO"""&amp;"), ""O Estado de S. Paulo"",
IF(REGEXMATCH(S172, ""salasecreta""), ""Wordpress (Sala Secreta)"",
IF(REGEXMATCH(S172, ""Wikipedia|Wikipédia|WIKIPÉDIA""), ""Wikipedia"",
IF(REGEXMATCH(S172, ""VEJA|Veja""), ""Veja Abril"",
IF(REGEXMATCH(S444, ""Rede Globo|RE"&amp;"DE GLOBO""), ""Rede Globo"",
IF(REGEXMATCH(S444, ""G1|globo\.com""), ""G1"",
IF(REGEXMATCH(S172, ""Deutsche Welle|DW\.com""), ""Deutsche Welle"",
IF(REGEXMATCH(S172, ""CIDH|Comissão Interamericana""), ""Comissão Interamericana de Direitos Humanos (CIDH)"""&amp;",
IF(REGEXMATCH(S172, ""Pastoral Carcerária""), ""Pastoral Carcerária"",
IF(REGEXMATCH(S172, ""Esquerda Web""), ""Esquerda Web"",
IF(REGEXMATCH(S172, ""ONU|Organização das Nações Unidas""), ""ONU Brasil"",
IF(REGEXMATCH(S172, ""Quilombo Invisível""), ""Qu"&amp;"ilombo Invisível"",
IF(REGEXMATCH(S172, ""ALESP|Assembleia Legislativa""), ""ALESP"",
IF(REGEXMATCH(S172, ""Revista Opera""), ""Revista Opera"",
IF(REGEXMATCH(S172, ""SP Escola de Teatro""), ""SP Escola de Teatro"",
IF(REGEXMATCH(S172, ""EMC|Espaço Memóri"&amp;"a Carandiru""), ""EMC Espaço Memória Carandiru"",
IF(REGEXMATCH(S172, ""^RAMOS, Nuno|Nuno Ramos""), ""Nuno Ramos"",
IF(REGEXMATCH(S172, ""^VELOSO, Caetano|Caetano Veloso""), ""YouTube (Caetano Veloso)"",
IF(REGEXMATCH(S172, ""^FATOS REAIS""), ""YouTube ("&amp;"Fatos Reais - Topic)"",
IF(REGEXMATCH(S172, ""^SALA SECRETA""), ""Wordpress (Sala Secreta)"",
PROPER(REGEXEXTRACT(S172, ""^([^.]*)\.""))
))))))))))))))))))))))))))))))))))))))))))))))))))))))))"),"Instagram (Memórias Carandiru)")</f>
        <v>Instagram (Memórias Carandiru)</v>
      </c>
      <c r="N172" s="11" t="s">
        <v>47</v>
      </c>
      <c r="O172" s="14" t="s">
        <v>149</v>
      </c>
      <c r="P172" s="186">
        <v>45857.0</v>
      </c>
      <c r="Q172" s="11" t="s">
        <v>154</v>
      </c>
      <c r="R172" s="70" t="str">
        <f t="shared" si="8"/>
        <v>Aqui</v>
      </c>
      <c r="S172" s="75" t="s">
        <v>870</v>
      </c>
    </row>
    <row r="173">
      <c r="A173" s="11">
        <v>171.0</v>
      </c>
      <c r="B173" s="14" t="s">
        <v>812</v>
      </c>
      <c r="C173" s="122" t="s">
        <v>165</v>
      </c>
      <c r="D173" s="13" t="str">
        <f>IFERROR(__xludf.DUMMYFUNCTION("IF(B173="""","""",IF(OR(
  REGEXMATCH(B173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REGEXMATCH(B173,""público|Imediato|artística|teatral|memória"")
),""Público Imediato"",
IF(REGEXMATCH(B173,""Música|Álbum|Filme|Documentário|Série|Podc"&amp;"ast|Rádio|Audiotour|Entrevista|Reportagem|Crônica|Relatório|Abaixo-assinado|Manifesto|Petição|Poema|Livro|Fotografia|Curta|Live|Webinário|Charge|Leitura pública|Vídeo""),
""Público Mediado"","""")))
"),"Público Imediato")</f>
        <v>Público Imediato</v>
      </c>
      <c r="E173" s="13" t="str">
        <f>IFERROR(__xludf.DUMMYFUNCTION("IF(B173="""","""",IF(OR(
  REGEXMATCH(B173,""Live|Webinário|Virtual""),
  REGEXMATCH(B173,""online"")
),""Virtual"",
IF(REGEXMATCH(B173,""Música|Álbum|Filme|Documentário|Série|Podcast|Rádio|Audiotour|Episódio|Reportagem|Curta|Charge|Livro|Vídeo|Entrevista"&amp;"""),
""Midiático"",
IF(REGEXMATCH(B173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3" s="186">
        <v>45311.0</v>
      </c>
      <c r="G173" s="15">
        <f t="shared" si="1"/>
        <v>2024</v>
      </c>
      <c r="H173" s="14" t="s">
        <v>871</v>
      </c>
      <c r="I173" s="175" t="s">
        <v>741</v>
      </c>
      <c r="J173" s="202" t="s">
        <v>872</v>
      </c>
      <c r="K173" s="16" t="s">
        <v>736</v>
      </c>
      <c r="L173" s="18" t="s">
        <v>489</v>
      </c>
      <c r="M173" s="15" t="str">
        <f>IFERROR(__xludf.DUMMYFUNCTION("IF(REGEXMATCH(S173, ""Companhia das Letras""), ""Companhia das Letras"",
IF(REGEXMATCH(S173, ""Labortexto Editorial""), ""Labortexto Editorial"",
IF(REGEXMATCH(S173, ""Geração Editorial""), ""Geração Editorial"",
IF(REGEXMATCH(S173, ""Editora Imprensa Ofi"&amp;"cial|Imprensa Oficial""), ""Editora Imprensa Oficial"",
IF(REGEXMATCH(S173, ""Folha Online""), ""Folha Online"",
IF(REGEXMATCH(S173, ""FGV DIREITO SP|FGV Direito SP""), ""FGV DIREITO SP"",
IF(REGEXMATCH(S173, ""massacrecarandiru\.org\.br""), ""Memória Mas"&amp;"sacre Carandiru"",
IF(REGEXMATCH(S173, ""Itaú Cultural""), ""YouTube (Itaú Cultural)"",
IF(REGEXMATCH(S173, ""Passa Palavra""), ""Vimeo (Passa Palavra)"",
IF(REGEXMATCH(S173, ""rede2deoutubro\.blogspot""), ""Blogspot (Rede 02 de Outubro)"",
IF(REGEXMATCH("&amp;"S173, ""Rede TVT""), ""YouTube (Rede TVT)"",
IF(REGEXMATCH(S173, ""Esquerda Diário""), ""Esquerda Diário"",
IF(REGEXMATCH(S173, ""GZH""), ""GZH"",
IF(REGEXMATCH(S173, ""TVPUC""), ""TVPUC"",
IF(REGEXMATCH(S173, ""Mídia Ninja.*Facebook""), ""Facebook (Mídia"&amp;" Ninja)"",
IF(REGEXMATCH(S173, ""Memórias Carandiru.*Instagram""), ""Instagram (Memórias Carandiru)"",
IF(REGEXMATCH(S173, ""Frente pelo Desencarceramento SP""), ""YouTube (Frente Pelo Desencarceramento SP)"",
IF(REGEXMATCH(S173, ""TV ABA""), ""YouTube (T"&amp;"V ABA)"",
IF(REGEXMATCH(S173, ""TV SENADO""), ""YouTube (TV Senado)"",
IF(REGEXMATCH(S173, ""Google Arts &amp; Culture""), ""Google Arts &amp; Culture (Memória Massacre Carandiru)"",
IF(REGEXMATCH(S173, ""Anistia Internacional|ANISTIA INTERNACIONAL""), ""Anistia "&amp;"Internacional"",
IF(REGEXMATCH(S173, ""47\.mostra|47a Mostra""), ""47a Mostra Internacional de Cinema em São Paulo"",
IF(REGEXMATCH(S173, ""Canal USP""), ""YouTube (Canal USP)"",
IF(AND(
  REGEXMATCH(S173, ""(?i)(teses?\.usp\.br|dissertacoes?\.usp\.br|rep"&amp;"ositorio\.usp\.br)""),
  NOT(REGEXMATCH(S173, ""Canal USP""))
), ""Biblioteca Digital de Teses e Dissertações da USP"",
IF(REGEXMATCH(S173, ""SINTRAJUSC""), ""SINTRAJUSC"",
IF(REGEXMATCH(S173, ""Agência Brasil|Agencia Brasil""), ""Agência Brasil"",
IF(REG"&amp;"EXMATCH(S173, ""Brasil de Fato""), ""Brasil de Fato"",
IF(REGEXMATCH(S173, ""Ponte Jornalismo|pontejornalismo""), ""Ponte Jornalismo"",
IF(REGEXMATCH(S173, ""letras\.mus\.br|Letras,""), ""Letras"",
IF(REGEXMATCH(S173, ""YouTube|youtube""), 
   ""YouTube "&amp;"(""&amp;
   IF(REGEXMATCH(S173, ""Itaú Cultural""), ""Itaú Cultural"",
   IF(REGEXMATCH(S173, ""Rede TVT""), ""Rede TVT"",
   IF(REGEXMATCH(S173, ""Frente pelo Desencarceramento SP""), ""Frente Pelo Desencarceramento SP"",
   IF(REGEXMATCH(S173, ""TV ABA""), "&amp;"""TV ABA"",
   IF(REGEXMATCH(S173, ""TV SENADO""), ""TV Senado"",
   IF(REGEXMATCH(S173, ""Canal USP""), ""Canal USP"",
   IF(REGEXMATCH(S173, ""Douer, Zack|Zack Douer""), ""Douer Zack"",
   IF(REGEXMATCH(S173, ""PRISIONEIRO 84\.901|PRISIONEIRO 84""), ""P"&amp;"risioneiro 84.901"",
   IF(REGEXMATCH(S173, ""^[^,]*, ""), 
        PROPER(REGEXREPLACE(REGEXEXTRACT(S173, ""^([^.]*)\.""), ""^([^,]*), (.*)"", ""$2 $1"")),
        PROPER(REGEXEXTRACT(S173, ""^([^.]*)\.""))
   )))))))))&amp;"")"",
IF(REGEXMATCH(S173, ""Spot"&amp;"ify|spotify""), 
   ""Spotify (""&amp;
   IF(REGEXMATCH(S173, ""ESTRANHO SORRISO""), ""Estranho Sorriso"",
   PROPER(REGEXEXTRACT(S173, ""^([^.]*)\.""))
   )&amp;"")"",
IF(REGEXMATCH(S173, ""Vimeo|vimeo""), 
   ""Vimeo (""&amp;
   IF(REGEXMATCH(S173, ""Passa Palavra"&amp;"""), ""Passa Palavra"",
   PROPER(REGEXEXTRACT(S173, ""^([^.]*)\.""))
   )&amp;"")"",
IF(REGEXMATCH(S173, ""Blogspot""), 
   ""Blogspot (""&amp;
   IF(REGEXMATCH(S173, ""rede2deoutubro""), ""Rede 02 de Outubro"",
   PROPER(REGEXEXTRACT(S173, ""^([^.]*)\.""))
   "&amp;")&amp;"")"",
IF(REGEXMATCH(S173, ""Facebook""), 
   ""Facebook (""&amp;
   IF(REGEXMATCH(S173, ""Mídia Ninja""), ""Mídia Ninja"",
   PROPER(REGEXEXTRACT(S173, ""^([^.]*)\.""))
   )&amp;"")"",
IF(REGEXMATCH(S173, ""Instagram""), 
   ""Instagram (""&amp;
   IF(REGEXMATCH"&amp;"(S173, ""Memórias Carandiru""), ""Memórias Carandiru"",
   PROPER(REGEXEXTRACT(S173, ""^([^.]*)\.""))
   )&amp;"")"",
IF(REGEXMATCH(S173, ""Folha de S\. Paulo|FOLHA DE S\. PAULO""), ""Folha de S. Paulo"",
IF(REGEXMATCH(S173, ""O Estado de S\. Paulo|ESTADAO"""&amp;"), ""O Estado de S. Paulo"",
IF(REGEXMATCH(S173, ""salasecreta""), ""Wordpress (Sala Secreta)"",
IF(REGEXMATCH(S173, ""Wikipedia|Wikipédia|WIKIPÉDIA""), ""Wikipedia"",
IF(REGEXMATCH(S173, ""VEJA|Veja""), ""Veja Abril"",
IF(REGEXMATCH(S445, ""Rede Globo|RE"&amp;"DE GLOBO""), ""Rede Globo"",
IF(REGEXMATCH(S445, ""G1|globo\.com""), ""G1"",
IF(REGEXMATCH(S173, ""Deutsche Welle|DW\.com""), ""Deutsche Welle"",
IF(REGEXMATCH(S173, ""CIDH|Comissão Interamericana""), ""Comissão Interamericana de Direitos Humanos (CIDH)"""&amp;",
IF(REGEXMATCH(S173, ""Pastoral Carcerária""), ""Pastoral Carcerária"",
IF(REGEXMATCH(S173, ""Esquerda Web""), ""Esquerda Web"",
IF(REGEXMATCH(S173, ""ONU|Organização das Nações Unidas""), ""ONU Brasil"",
IF(REGEXMATCH(S173, ""Quilombo Invisível""), ""Qu"&amp;"ilombo Invisível"",
IF(REGEXMATCH(S173, ""ALESP|Assembleia Legislativa""), ""ALESP"",
IF(REGEXMATCH(S173, ""Revista Opera""), ""Revista Opera"",
IF(REGEXMATCH(S173, ""SP Escola de Teatro""), ""SP Escola de Teatro"",
IF(REGEXMATCH(S173, ""EMC|Espaço Memóri"&amp;"a Carandiru""), ""EMC Espaço Memória Carandiru"",
IF(REGEXMATCH(S173, ""^RAMOS, Nuno|Nuno Ramos""), ""Nuno Ramos"",
IF(REGEXMATCH(S173, ""^VELOSO, Caetano|Caetano Veloso""), ""YouTube (Caetano Veloso)"",
IF(REGEXMATCH(S173, ""^FATOS REAIS""), ""YouTube ("&amp;"Fatos Reais - Topic)"",
IF(REGEXMATCH(S173, ""^SALA SECRETA""), ""Wordpress (Sala Secreta)"",
PROPER(REGEXEXTRACT(S173, ""^([^.]*)\.""))
))))))))))))))))))))))))))))))))))))))))))))))))))))))))"),"Instagram (Memórias Carandiru)")</f>
        <v>Instagram (Memórias Carandiru)</v>
      </c>
      <c r="N173" s="11" t="s">
        <v>47</v>
      </c>
      <c r="O173" s="14" t="s">
        <v>149</v>
      </c>
      <c r="P173" s="186">
        <v>45857.0</v>
      </c>
      <c r="Q173" s="11" t="s">
        <v>154</v>
      </c>
      <c r="R173" s="70" t="str">
        <f t="shared" si="8"/>
        <v>Aqui</v>
      </c>
      <c r="S173" s="75" t="s">
        <v>873</v>
      </c>
    </row>
    <row r="174">
      <c r="A174" s="11">
        <v>172.0</v>
      </c>
      <c r="B174" s="14" t="s">
        <v>799</v>
      </c>
      <c r="C174" s="122" t="s">
        <v>165</v>
      </c>
      <c r="D174" s="13" t="str">
        <f>IFERROR(__xludf.DUMMYFUNCTION("IF(B174="""","""",IF(OR(
  REGEXMATCH(B174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REGEXMATCH(B174,""público|Imediato|artística|teatral|memória"")
),""Público Imediato"",
IF(REGEXMATCH(B174,""Música|Álbum|Filme|Documentário|Série|Podc"&amp;"ast|Rádio|Audiotour|Entrevista|Reportagem|Crônica|Relatório|Abaixo-assinado|Manifesto|Petição|Poema|Livro|Fotografia|Curta|Live|Webinário|Charge|Leitura pública|Vídeo""),
""Público Mediado"","""")))
"),"Público Imediato")</f>
        <v>Público Imediato</v>
      </c>
      <c r="E174" s="13" t="str">
        <f>IFERROR(__xludf.DUMMYFUNCTION("IF(B174="""","""",IF(OR(
  REGEXMATCH(B174,""Live|Webinário|Virtual""),
  REGEXMATCH(B174,""online"")
),""Virtual"",
IF(REGEXMATCH(B174,""Música|Álbum|Filme|Documentário|Série|Podcast|Rádio|Audiotour|Episódio|Reportagem|Curta|Charge|Livro|Vídeo|Entrevista"&amp;"""),
""Midiático"",
IF(REGEXMATCH(B174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4" s="186">
        <v>45325.0</v>
      </c>
      <c r="G174" s="15">
        <f t="shared" si="1"/>
        <v>2024</v>
      </c>
      <c r="H174" s="14" t="s">
        <v>733</v>
      </c>
      <c r="I174" s="175" t="s">
        <v>741</v>
      </c>
      <c r="J174" s="202" t="s">
        <v>874</v>
      </c>
      <c r="K174" s="16" t="s">
        <v>736</v>
      </c>
      <c r="L174" s="18" t="s">
        <v>489</v>
      </c>
      <c r="M174" s="15" t="str">
        <f>IFERROR(__xludf.DUMMYFUNCTION("IF(REGEXMATCH(S174, ""Companhia das Letras""), ""Companhia das Letras"",
IF(REGEXMATCH(S174, ""Labortexto Editorial""), ""Labortexto Editorial"",
IF(REGEXMATCH(S174, ""Geração Editorial""), ""Geração Editorial"",
IF(REGEXMATCH(S174, ""Editora Imprensa Ofi"&amp;"cial|Imprensa Oficial""), ""Editora Imprensa Oficial"",
IF(REGEXMATCH(S174, ""Folha Online""), ""Folha Online"",
IF(REGEXMATCH(S174, ""FGV DIREITO SP|FGV Direito SP""), ""FGV DIREITO SP"",
IF(REGEXMATCH(S174, ""massacrecarandiru\.org\.br""), ""Memória Mas"&amp;"sacre Carandiru"",
IF(REGEXMATCH(S174, ""Itaú Cultural""), ""YouTube (Itaú Cultural)"",
IF(REGEXMATCH(S174, ""Passa Palavra""), ""Vimeo (Passa Palavra)"",
IF(REGEXMATCH(S174, ""rede2deoutubro\.blogspot""), ""Blogspot (Rede 02 de Outubro)"",
IF(REGEXMATCH("&amp;"S174, ""Rede TVT""), ""YouTube (Rede TVT)"",
IF(REGEXMATCH(S174, ""Esquerda Diário""), ""Esquerda Diário"",
IF(REGEXMATCH(S174, ""GZH""), ""GZH"",
IF(REGEXMATCH(S174, ""TVPUC""), ""TVPUC"",
IF(REGEXMATCH(S174, ""Mídia Ninja.*Facebook""), ""Facebook (Mídia"&amp;" Ninja)"",
IF(REGEXMATCH(S174, ""Memórias Carandiru.*Instagram""), ""Instagram (Memórias Carandiru)"",
IF(REGEXMATCH(S174, ""Frente pelo Desencarceramento SP""), ""YouTube (Frente Pelo Desencarceramento SP)"",
IF(REGEXMATCH(S174, ""TV ABA""), ""YouTube (T"&amp;"V ABA)"",
IF(REGEXMATCH(S174, ""TV SENADO""), ""YouTube (TV Senado)"",
IF(REGEXMATCH(S174, ""Google Arts &amp; Culture""), ""Google Arts &amp; Culture (Memória Massacre Carandiru)"",
IF(REGEXMATCH(S174, ""Anistia Internacional|ANISTIA INTERNACIONAL""), ""Anistia "&amp;"Internacional"",
IF(REGEXMATCH(S174, ""47\.mostra|47a Mostra""), ""47a Mostra Internacional de Cinema em São Paulo"",
IF(REGEXMATCH(S174, ""Canal USP""), ""YouTube (Canal USP)"",
IF(AND(
  REGEXMATCH(S174, ""(?i)(teses?\.usp\.br|dissertacoes?\.usp\.br|rep"&amp;"ositorio\.usp\.br)""),
  NOT(REGEXMATCH(S174, ""Canal USP""))
), ""Biblioteca Digital de Teses e Dissertações da USP"",
IF(REGEXMATCH(S174, ""SINTRAJUSC""), ""SINTRAJUSC"",
IF(REGEXMATCH(S174, ""Agência Brasil|Agencia Brasil""), ""Agência Brasil"",
IF(REG"&amp;"EXMATCH(S174, ""Brasil de Fato""), ""Brasil de Fato"",
IF(REGEXMATCH(S174, ""Ponte Jornalismo|pontejornalismo""), ""Ponte Jornalismo"",
IF(REGEXMATCH(S174, ""letras\.mus\.br|Letras,""), ""Letras"",
IF(REGEXMATCH(S174, ""YouTube|youtube""), 
   ""YouTube "&amp;"(""&amp;
   IF(REGEXMATCH(S174, ""Itaú Cultural""), ""Itaú Cultural"",
   IF(REGEXMATCH(S174, ""Rede TVT""), ""Rede TVT"",
   IF(REGEXMATCH(S174, ""Frente pelo Desencarceramento SP""), ""Frente Pelo Desencarceramento SP"",
   IF(REGEXMATCH(S174, ""TV ABA""), "&amp;"""TV ABA"",
   IF(REGEXMATCH(S174, ""TV SENADO""), ""TV Senado"",
   IF(REGEXMATCH(S174, ""Canal USP""), ""Canal USP"",
   IF(REGEXMATCH(S174, ""Douer, Zack|Zack Douer""), ""Douer Zack"",
   IF(REGEXMATCH(S174, ""PRISIONEIRO 84\.901|PRISIONEIRO 84""), ""P"&amp;"risioneiro 84.901"",
   IF(REGEXMATCH(S174, ""^[^,]*, ""), 
        PROPER(REGEXREPLACE(REGEXEXTRACT(S174, ""^([^.]*)\.""), ""^([^,]*), (.*)"", ""$2 $1"")),
        PROPER(REGEXEXTRACT(S174, ""^([^.]*)\.""))
   )))))))))&amp;"")"",
IF(REGEXMATCH(S174, ""Spot"&amp;"ify|spotify""), 
   ""Spotify (""&amp;
   IF(REGEXMATCH(S174, ""ESTRANHO SORRISO""), ""Estranho Sorriso"",
   PROPER(REGEXEXTRACT(S174, ""^([^.]*)\.""))
   )&amp;"")"",
IF(REGEXMATCH(S174, ""Vimeo|vimeo""), 
   ""Vimeo (""&amp;
   IF(REGEXMATCH(S174, ""Passa Palavra"&amp;"""), ""Passa Palavra"",
   PROPER(REGEXEXTRACT(S174, ""^([^.]*)\.""))
   )&amp;"")"",
IF(REGEXMATCH(S174, ""Blogspot""), 
   ""Blogspot (""&amp;
   IF(REGEXMATCH(S174, ""rede2deoutubro""), ""Rede 02 de Outubro"",
   PROPER(REGEXEXTRACT(S174, ""^([^.]*)\.""))
   "&amp;")&amp;"")"",
IF(REGEXMATCH(S174, ""Facebook""), 
   ""Facebook (""&amp;
   IF(REGEXMATCH(S174, ""Mídia Ninja""), ""Mídia Ninja"",
   PROPER(REGEXEXTRACT(S174, ""^([^.]*)\.""))
   )&amp;"")"",
IF(REGEXMATCH(S174, ""Instagram""), 
   ""Instagram (""&amp;
   IF(REGEXMATCH"&amp;"(S174, ""Memórias Carandiru""), ""Memórias Carandiru"",
   PROPER(REGEXEXTRACT(S174, ""^([^.]*)\.""))
   )&amp;"")"",
IF(REGEXMATCH(S174, ""Folha de S\. Paulo|FOLHA DE S\. PAULO""), ""Folha de S. Paulo"",
IF(REGEXMATCH(S174, ""O Estado de S\. Paulo|ESTADAO"""&amp;"), ""O Estado de S. Paulo"",
IF(REGEXMATCH(S174, ""salasecreta""), ""Wordpress (Sala Secreta)"",
IF(REGEXMATCH(S174, ""Wikipedia|Wikipédia|WIKIPÉDIA""), ""Wikipedia"",
IF(REGEXMATCH(S174, ""VEJA|Veja""), ""Veja Abril"",
IF(REGEXMATCH(S446, ""Rede Globo|RE"&amp;"DE GLOBO""), ""Rede Globo"",
IF(REGEXMATCH(S446, ""G1|globo\.com""), ""G1"",
IF(REGEXMATCH(S174, ""Deutsche Welle|DW\.com""), ""Deutsche Welle"",
IF(REGEXMATCH(S174, ""CIDH|Comissão Interamericana""), ""Comissão Interamericana de Direitos Humanos (CIDH)"""&amp;",
IF(REGEXMATCH(S174, ""Pastoral Carcerária""), ""Pastoral Carcerária"",
IF(REGEXMATCH(S174, ""Esquerda Web""), ""Esquerda Web"",
IF(REGEXMATCH(S174, ""ONU|Organização das Nações Unidas""), ""ONU Brasil"",
IF(REGEXMATCH(S174, ""Quilombo Invisível""), ""Qu"&amp;"ilombo Invisível"",
IF(REGEXMATCH(S174, ""ALESP|Assembleia Legislativa""), ""ALESP"",
IF(REGEXMATCH(S174, ""Revista Opera""), ""Revista Opera"",
IF(REGEXMATCH(S174, ""SP Escola de Teatro""), ""SP Escola de Teatro"",
IF(REGEXMATCH(S174, ""EMC|Espaço Memóri"&amp;"a Carandiru""), ""EMC Espaço Memória Carandiru"",
IF(REGEXMATCH(S174, ""^RAMOS, Nuno|Nuno Ramos""), ""Nuno Ramos"",
IF(REGEXMATCH(S174, ""^VELOSO, Caetano|Caetano Veloso""), ""YouTube (Caetano Veloso)"",
IF(REGEXMATCH(S174, ""^FATOS REAIS""), ""YouTube ("&amp;"Fatos Reais - Topic)"",
IF(REGEXMATCH(S174, ""^SALA SECRETA""), ""Wordpress (Sala Secreta)"",
PROPER(REGEXEXTRACT(S174, ""^([^.]*)\.""))
))))))))))))))))))))))))))))))))))))))))))))))))))))))))"),"Instagram (Memórias Carandiru)")</f>
        <v>Instagram (Memórias Carandiru)</v>
      </c>
      <c r="N174" s="11" t="s">
        <v>47</v>
      </c>
      <c r="O174" s="14" t="s">
        <v>149</v>
      </c>
      <c r="P174" s="186">
        <v>45857.0</v>
      </c>
      <c r="Q174" s="11" t="s">
        <v>154</v>
      </c>
      <c r="R174" s="70" t="str">
        <f t="shared" si="8"/>
        <v>Aqui</v>
      </c>
      <c r="S174" s="17" t="s">
        <v>875</v>
      </c>
    </row>
    <row r="175">
      <c r="A175" s="11">
        <v>173.0</v>
      </c>
      <c r="B175" s="11" t="s">
        <v>876</v>
      </c>
      <c r="C175" s="12" t="str">
        <f>IFERROR(__xludf.DUMMYFUNCTION("IF(B175="""","""",IF(OR(
  REGEXMATCH(B175,""Performance|Instalação|Álbum|Música|Poema|Livro|Filme|Documentário|Recitação|Espetáculo|Peça|Intervenção|Desfile|Fotografia|Exposição|Charge|Grafite|Leitura pública|Fabricação de cachaça artesanal""),
  REGEXMA"&amp;"TCH(B175,""dança|teatral|artístico|musical|artística"")
),""Manifestação artístico-cultural"",
IF(OR(
  REGEXMATCH(B175,""Crônica|Série|Reportagem|Podcast|Audiotour|Entrevista|Vídeo|Rádio""),
  REGEXMATCH(B175,""midiática"")
),""Produção midiática"","""")"&amp;"))
"),"Manifestação artístico-cultural")</f>
        <v>Manifestação artístico-cultural</v>
      </c>
      <c r="D175" s="13" t="str">
        <f>IFERROR(__xludf.DUMMYFUNCTION("IF(B175="""","""",IF(OR(
  REGEXMATCH(B175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REGEXMATCH(B175,""público|Imediato|artística|teatral|memória"")
),""Público Imediato"",
IF(REGEXMATCH(B175,""Música|Álbum|Filme|Documentário|Série|Podc"&amp;"ast|Rádio|Audiotour|Entrevista|Reportagem|Crônica|Relatório|Abaixo-assinado|Manifesto|Petição|Poema|Livro|Fotografia|Curta|Live|Webinário|Charge|Leitura pública|Vídeo""),
""Público Mediado"","""")))
"),"Público Imediato")</f>
        <v>Público Imediato</v>
      </c>
      <c r="E175" s="13" t="str">
        <f>IFERROR(__xludf.DUMMYFUNCTION("IF(B175="""","""",IF(OR(
  REGEXMATCH(B175,""Live|Webinário|Virtual""),
  REGEXMATCH(B175,""online"")
),""Virtual"",
IF(REGEXMATCH(B175,""Música|Álbum|Filme|Documentário|Série|Podcast|Rádio|Audiotour|Episódio|Reportagem|Curta|Charge|Livro|Vídeo|Entrevista"&amp;"""),
""Midiático"",
IF(REGEXMATCH(B175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5" s="183">
        <v>45333.0</v>
      </c>
      <c r="G175" s="15">
        <f t="shared" si="1"/>
        <v>2024</v>
      </c>
      <c r="H175" s="11" t="s">
        <v>23</v>
      </c>
      <c r="I175" s="16" t="s">
        <v>877</v>
      </c>
      <c r="J175" s="17" t="s">
        <v>878</v>
      </c>
      <c r="K175" s="16" t="s">
        <v>26</v>
      </c>
      <c r="L175" s="18" t="s">
        <v>879</v>
      </c>
      <c r="M175" s="15" t="str">
        <f>IFERROR(__xludf.DUMMYFUNCTION("IF(REGEXMATCH(S175, ""Companhia das Letras""), ""Companhia das Letras"",
IF(REGEXMATCH(S175, ""Labortexto Editorial""), ""Labortexto Editorial"",
IF(REGEXMATCH(S175, ""Geração Editorial""), ""Geração Editorial"",
IF(REGEXMATCH(S175, ""Editora Imprensa Ofi"&amp;"cial|Imprensa Oficial""), ""Editora Imprensa Oficial"",
IF(REGEXMATCH(S175, ""Folha Online""), ""Folha Online"",
IF(REGEXMATCH(S175, ""FGV DIREITO SP|FGV Direito SP""), ""FGV DIREITO SP"",
IF(REGEXMATCH(S175, ""massacrecarandiru\.org\.br""), ""Memória Mas"&amp;"sacre Carandiru"",
IF(REGEXMATCH(S175, ""Itaú Cultural""), ""YouTube (Itaú Cultural)"",
IF(REGEXMATCH(S175, ""Passa Palavra""), ""Vimeo (Passa Palavra)"",
IF(REGEXMATCH(S175, ""rede2deoutubro\.blogspot""), ""Blogspot (Rede 02 de Outubro)"",
IF(REGEXMATCH("&amp;"S175, ""Rede TVT""), ""YouTube (Rede TVT)"",
IF(REGEXMATCH(S175, ""Esquerda Diário""), ""Esquerda Diário"",
IF(REGEXMATCH(S175, ""GZH""), ""GZH"",
IF(REGEXMATCH(S175, ""TVPUC""), ""TVPUC"",
IF(REGEXMATCH(S175, ""Mídia Ninja.*Facebook""), ""Facebook (Mídia"&amp;" Ninja)"",
IF(REGEXMATCH(S175, ""Memórias Carandiru.*Instagram""), ""Instagram (Memórias Carandiru)"",
IF(REGEXMATCH(S175, ""Frente pelo Desencarceramento SP""), ""YouTube (Frente Pelo Desencarceramento SP)"",
IF(REGEXMATCH(S175, ""TV ABA""), ""YouTube (T"&amp;"V ABA)"",
IF(REGEXMATCH(S175, ""TV SENADO""), ""YouTube (TV Senado)"",
IF(REGEXMATCH(S175, ""Google Arts &amp; Culture""), ""Google Arts &amp; Culture (Memória Massacre Carandiru)"",
IF(REGEXMATCH(S175, ""Anistia Internacional|ANISTIA INTERNACIONAL""), ""Anistia "&amp;"Internacional"",
IF(REGEXMATCH(S175, ""47\.mostra|47a Mostra""), ""47a Mostra Internacional de Cinema em São Paulo"",
IF(REGEXMATCH(S175, ""Canal USP""), ""YouTube (Canal USP)"",
IF(AND(
  REGEXMATCH(S175, ""(?i)(teses?\.usp\.br|dissertacoes?\.usp\.br|rep"&amp;"ositorio\.usp\.br)""),
  NOT(REGEXMATCH(S175, ""Canal USP""))
), ""Biblioteca Digital de Teses e Dissertações da USP"",
IF(REGEXMATCH(S175, ""SINTRAJUSC""), ""SINTRAJUSC"",
IF(REGEXMATCH(S175, ""Agência Brasil|Agencia Brasil""), ""Agência Brasil"",
IF(REG"&amp;"EXMATCH(S175, ""Brasil de Fato""), ""Brasil de Fato"",
IF(REGEXMATCH(S175, ""Ponte Jornalismo|pontejornalismo""), ""Ponte Jornalismo"",
IF(REGEXMATCH(S175, ""letras\.mus\.br|Letras,""), ""Letras"",
IF(REGEXMATCH(S175, ""YouTube|youtube""), 
   ""YouTube "&amp;"(""&amp;
   IF(REGEXMATCH(S175, ""Itaú Cultural""), ""Itaú Cultural"",
   IF(REGEXMATCH(S175, ""Rede TVT""), ""Rede TVT"",
   IF(REGEXMATCH(S175, ""Frente pelo Desencarceramento SP""), ""Frente Pelo Desencarceramento SP"",
   IF(REGEXMATCH(S175, ""TV ABA""), "&amp;"""TV ABA"",
   IF(REGEXMATCH(S175, ""TV SENADO""), ""TV Senado"",
   IF(REGEXMATCH(S175, ""Canal USP""), ""Canal USP"",
   IF(REGEXMATCH(S175, ""Douer, Zack|Zack Douer""), ""Douer Zack"",
   IF(REGEXMATCH(S175, ""PRISIONEIRO 84\.901|PRISIONEIRO 84""), ""P"&amp;"risioneiro 84.901"",
   IF(REGEXMATCH(S175, ""^[^,]*, ""), 
        PROPER(REGEXREPLACE(REGEXEXTRACT(S175, ""^([^.]*)\.""), ""^([^,]*), (.*)"", ""$2 $1"")),
        PROPER(REGEXEXTRACT(S175, ""^([^.]*)\.""))
   )))))))))&amp;"")"",
IF(REGEXMATCH(S175, ""Spot"&amp;"ify|spotify""), 
   ""Spotify (""&amp;
   IF(REGEXMATCH(S175, ""ESTRANHO SORRISO""), ""Estranho Sorriso"",
   PROPER(REGEXEXTRACT(S175, ""^([^.]*)\.""))
   )&amp;"")"",
IF(REGEXMATCH(S175, ""Vimeo|vimeo""), 
   ""Vimeo (""&amp;
   IF(REGEXMATCH(S175, ""Passa Palavra"&amp;"""), ""Passa Palavra"",
   PROPER(REGEXEXTRACT(S175, ""^([^.]*)\.""))
   )&amp;"")"",
IF(REGEXMATCH(S175, ""Blogspot""), 
   ""Blogspot (""&amp;
   IF(REGEXMATCH(S175, ""rede2deoutubro""), ""Rede 02 de Outubro"",
   PROPER(REGEXEXTRACT(S175, ""^([^.]*)\.""))
   "&amp;")&amp;"")"",
IF(REGEXMATCH(S175, ""Facebook""), 
   ""Facebook (""&amp;
   IF(REGEXMATCH(S175, ""Mídia Ninja""), ""Mídia Ninja"",
   PROPER(REGEXEXTRACT(S175, ""^([^.]*)\.""))
   )&amp;"")"",
IF(REGEXMATCH(S175, ""Instagram""), 
   ""Instagram (""&amp;
   IF(REGEXMATCH"&amp;"(S175, ""Memórias Carandiru""), ""Memórias Carandiru"",
   PROPER(REGEXEXTRACT(S175, ""^([^.]*)\.""))
   )&amp;"")"",
IF(REGEXMATCH(S175, ""Folha de S\. Paulo|FOLHA DE S\. PAULO""), ""Folha de S. Paulo"",
IF(REGEXMATCH(S175, ""O Estado de S\. Paulo|ESTADAO"""&amp;"), ""O Estado de S. Paulo"",
IF(REGEXMATCH(S175, ""salasecreta""), ""Wordpress (Sala Secreta)"",
IF(REGEXMATCH(S175, ""Wikipedia|Wikipédia|WIKIPÉDIA""), ""Wikipedia"",
IF(REGEXMATCH(S175, ""VEJA|Veja""), ""Veja Abril"",
IF(REGEXMATCH(S447, ""Rede Globo|RE"&amp;"DE GLOBO""), ""Rede Globo"",
IF(REGEXMATCH(S447, ""G1|globo\.com""), ""G1"",
IF(REGEXMATCH(S175, ""Deutsche Welle|DW\.com""), ""Deutsche Welle"",
IF(REGEXMATCH(S175, ""CIDH|Comissão Interamericana""), ""Comissão Interamericana de Direitos Humanos (CIDH)"""&amp;",
IF(REGEXMATCH(S175, ""Pastoral Carcerária""), ""Pastoral Carcerária"",
IF(REGEXMATCH(S175, ""Esquerda Web""), ""Esquerda Web"",
IF(REGEXMATCH(S175, ""ONU|Organização das Nações Unidas""), ""ONU Brasil"",
IF(REGEXMATCH(S175, ""Quilombo Invisível""), ""Qu"&amp;"ilombo Invisível"",
IF(REGEXMATCH(S175, ""ALESP|Assembleia Legislativa""), ""ALESP"",
IF(REGEXMATCH(S175, ""Revista Opera""), ""Revista Opera"",
IF(REGEXMATCH(S175, ""SP Escola de Teatro""), ""SP Escola de Teatro"",
IF(REGEXMATCH(S175, ""EMC|Espaço Memóri"&amp;"a Carandiru""), ""EMC Espaço Memória Carandiru"",
IF(REGEXMATCH(S175, ""^RAMOS, Nuno|Nuno Ramos""), ""Nuno Ramos"",
IF(REGEXMATCH(S175, ""^VELOSO, Caetano|Caetano Veloso""), ""YouTube (Caetano Veloso)"",
IF(REGEXMATCH(S175, ""^FATOS REAIS""), ""YouTube ("&amp;"Fatos Reais - Topic)"",
IF(REGEXMATCH(S175, ""^SALA SECRETA""), ""Wordpress (Sala Secreta)"",
PROPER(REGEXEXTRACT(S175, ""^([^.]*)\.""))
))))))))))))))))))))))))))))))))))))))))))))))))))))))))"),"Revista Opera")</f>
        <v>Revista Opera</v>
      </c>
      <c r="N175" s="11" t="s">
        <v>47</v>
      </c>
      <c r="O175" s="11" t="s">
        <v>221</v>
      </c>
      <c r="P175" s="51">
        <v>45854.0</v>
      </c>
      <c r="Q175" s="11" t="s">
        <v>154</v>
      </c>
      <c r="R175" s="70" t="str">
        <f t="shared" si="8"/>
        <v>Aqui</v>
      </c>
      <c r="S175" s="75" t="s">
        <v>880</v>
      </c>
    </row>
    <row r="176">
      <c r="A176" s="11">
        <v>174.0</v>
      </c>
      <c r="B176" s="14" t="s">
        <v>729</v>
      </c>
      <c r="C176" s="122" t="s">
        <v>165</v>
      </c>
      <c r="D176" s="13" t="str">
        <f>IFERROR(__xludf.DUMMYFUNCTION("IF(B176="""","""",IF(OR(
  REGEXMATCH(B176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REGEXMATCH(B176,""público|Imediato|artística|teatral|memória"")
),""Público Imediato"",
IF(REGEXMATCH(B176,""Música|Álbum|Filme|Documentário|Série|Podc"&amp;"ast|Rádio|Audiotour|Entrevista|Reportagem|Crônica|Relatório|Abaixo-assinado|Manifesto|Petição|Poema|Livro|Fotografia|Curta|Live|Webinário|Charge|Leitura pública|Vídeo""),
""Público Mediado"","""")))
"),"Público Imediato")</f>
        <v>Público Imediato</v>
      </c>
      <c r="E176" s="13" t="str">
        <f>IFERROR(__xludf.DUMMYFUNCTION("IF(B176="""","""",IF(OR(
  REGEXMATCH(B176,""Live|Webinário|Virtual""),
  REGEXMATCH(B176,""online"")
),""Virtual"",
IF(REGEXMATCH(B176,""Música|Álbum|Filme|Documentário|Série|Podcast|Rádio|Audiotour|Episódio|Reportagem|Curta|Charge|Livro|Vídeo|Entrevista"&amp;"""),
""Midiático"",
IF(REGEXMATCH(B176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6" s="186">
        <v>45339.0</v>
      </c>
      <c r="G176" s="15">
        <f t="shared" si="1"/>
        <v>2024</v>
      </c>
      <c r="H176" s="14" t="s">
        <v>881</v>
      </c>
      <c r="I176" s="175" t="s">
        <v>741</v>
      </c>
      <c r="J176" s="202" t="s">
        <v>882</v>
      </c>
      <c r="K176" s="16" t="s">
        <v>736</v>
      </c>
      <c r="L176" s="18" t="s">
        <v>489</v>
      </c>
      <c r="M176" s="15" t="str">
        <f>IFERROR(__xludf.DUMMYFUNCTION("IF(REGEXMATCH(S176, ""Companhia das Letras""), ""Companhia das Letras"",
IF(REGEXMATCH(S176, ""Labortexto Editorial""), ""Labortexto Editorial"",
IF(REGEXMATCH(S176, ""Geração Editorial""), ""Geração Editorial"",
IF(REGEXMATCH(S176, ""Editora Imprensa Ofi"&amp;"cial|Imprensa Oficial""), ""Editora Imprensa Oficial"",
IF(REGEXMATCH(S176, ""Folha Online""), ""Folha Online"",
IF(REGEXMATCH(S176, ""FGV DIREITO SP|FGV Direito SP""), ""FGV DIREITO SP"",
IF(REGEXMATCH(S176, ""massacrecarandiru\.org\.br""), ""Memória Mas"&amp;"sacre Carandiru"",
IF(REGEXMATCH(S176, ""Itaú Cultural""), ""YouTube (Itaú Cultural)"",
IF(REGEXMATCH(S176, ""Passa Palavra""), ""Vimeo (Passa Palavra)"",
IF(REGEXMATCH(S176, ""rede2deoutubro\.blogspot""), ""Blogspot (Rede 02 de Outubro)"",
IF(REGEXMATCH("&amp;"S176, ""Rede TVT""), ""YouTube (Rede TVT)"",
IF(REGEXMATCH(S176, ""Esquerda Diário""), ""Esquerda Diário"",
IF(REGEXMATCH(S176, ""GZH""), ""GZH"",
IF(REGEXMATCH(S176, ""TVPUC""), ""TVPUC"",
IF(REGEXMATCH(S176, ""Mídia Ninja.*Facebook""), ""Facebook (Mídia"&amp;" Ninja)"",
IF(REGEXMATCH(S176, ""Memórias Carandiru.*Instagram""), ""Instagram (Memórias Carandiru)"",
IF(REGEXMATCH(S176, ""Frente pelo Desencarceramento SP""), ""YouTube (Frente Pelo Desencarceramento SP)"",
IF(REGEXMATCH(S176, ""TV ABA""), ""YouTube (T"&amp;"V ABA)"",
IF(REGEXMATCH(S176, ""TV SENADO""), ""YouTube (TV Senado)"",
IF(REGEXMATCH(S176, ""Google Arts &amp; Culture""), ""Google Arts &amp; Culture (Memória Massacre Carandiru)"",
IF(REGEXMATCH(S176, ""Anistia Internacional|ANISTIA INTERNACIONAL""), ""Anistia "&amp;"Internacional"",
IF(REGEXMATCH(S176, ""47\.mostra|47a Mostra""), ""47a Mostra Internacional de Cinema em São Paulo"",
IF(REGEXMATCH(S176, ""Canal USP""), ""YouTube (Canal USP)"",
IF(AND(
  REGEXMATCH(S176, ""(?i)(teses?\.usp\.br|dissertacoes?\.usp\.br|rep"&amp;"ositorio\.usp\.br)""),
  NOT(REGEXMATCH(S176, ""Canal USP""))
), ""Biblioteca Digital de Teses e Dissertações da USP"",
IF(REGEXMATCH(S176, ""SINTRAJUSC""), ""SINTRAJUSC"",
IF(REGEXMATCH(S176, ""Agência Brasil|Agencia Brasil""), ""Agência Brasil"",
IF(REG"&amp;"EXMATCH(S176, ""Brasil de Fato""), ""Brasil de Fato"",
IF(REGEXMATCH(S176, ""Ponte Jornalismo|pontejornalismo""), ""Ponte Jornalismo"",
IF(REGEXMATCH(S176, ""letras\.mus\.br|Letras,""), ""Letras"",
IF(REGEXMATCH(S176, ""YouTube|youtube""), 
   ""YouTube "&amp;"(""&amp;
   IF(REGEXMATCH(S176, ""Itaú Cultural""), ""Itaú Cultural"",
   IF(REGEXMATCH(S176, ""Rede TVT""), ""Rede TVT"",
   IF(REGEXMATCH(S176, ""Frente pelo Desencarceramento SP""), ""Frente Pelo Desencarceramento SP"",
   IF(REGEXMATCH(S176, ""TV ABA""), "&amp;"""TV ABA"",
   IF(REGEXMATCH(S176, ""TV SENADO""), ""TV Senado"",
   IF(REGEXMATCH(S176, ""Canal USP""), ""Canal USP"",
   IF(REGEXMATCH(S176, ""Douer, Zack|Zack Douer""), ""Douer Zack"",
   IF(REGEXMATCH(S176, ""PRISIONEIRO 84\.901|PRISIONEIRO 84""), ""P"&amp;"risioneiro 84.901"",
   IF(REGEXMATCH(S176, ""^[^,]*, ""), 
        PROPER(REGEXREPLACE(REGEXEXTRACT(S176, ""^([^.]*)\.""), ""^([^,]*), (.*)"", ""$2 $1"")),
        PROPER(REGEXEXTRACT(S176, ""^([^.]*)\.""))
   )))))))))&amp;"")"",
IF(REGEXMATCH(S176, ""Spot"&amp;"ify|spotify""), 
   ""Spotify (""&amp;
   IF(REGEXMATCH(S176, ""ESTRANHO SORRISO""), ""Estranho Sorriso"",
   PROPER(REGEXEXTRACT(S176, ""^([^.]*)\.""))
   )&amp;"")"",
IF(REGEXMATCH(S176, ""Vimeo|vimeo""), 
   ""Vimeo (""&amp;
   IF(REGEXMATCH(S176, ""Passa Palavra"&amp;"""), ""Passa Palavra"",
   PROPER(REGEXEXTRACT(S176, ""^([^.]*)\.""))
   )&amp;"")"",
IF(REGEXMATCH(S176, ""Blogspot""), 
   ""Blogspot (""&amp;
   IF(REGEXMATCH(S176, ""rede2deoutubro""), ""Rede 02 de Outubro"",
   PROPER(REGEXEXTRACT(S176, ""^([^.]*)\.""))
   "&amp;")&amp;"")"",
IF(REGEXMATCH(S176, ""Facebook""), 
   ""Facebook (""&amp;
   IF(REGEXMATCH(S176, ""Mídia Ninja""), ""Mídia Ninja"",
   PROPER(REGEXEXTRACT(S176, ""^([^.]*)\.""))
   )&amp;"")"",
IF(REGEXMATCH(S176, ""Instagram""), 
   ""Instagram (""&amp;
   IF(REGEXMATCH"&amp;"(S176, ""Memórias Carandiru""), ""Memórias Carandiru"",
   PROPER(REGEXEXTRACT(S176, ""^([^.]*)\.""))
   )&amp;"")"",
IF(REGEXMATCH(S176, ""Folha de S\. Paulo|FOLHA DE S\. PAULO""), ""Folha de S. Paulo"",
IF(REGEXMATCH(S176, ""O Estado de S\. Paulo|ESTADAO"""&amp;"), ""O Estado de S. Paulo"",
IF(REGEXMATCH(S176, ""salasecreta""), ""Wordpress (Sala Secreta)"",
IF(REGEXMATCH(S176, ""Wikipedia|Wikipédia|WIKIPÉDIA""), ""Wikipedia"",
IF(REGEXMATCH(S176, ""VEJA|Veja""), ""Veja Abril"",
IF(REGEXMATCH(S448, ""Rede Globo|RE"&amp;"DE GLOBO""), ""Rede Globo"",
IF(REGEXMATCH(S448, ""G1|globo\.com""), ""G1"",
IF(REGEXMATCH(S176, ""Deutsche Welle|DW\.com""), ""Deutsche Welle"",
IF(REGEXMATCH(S176, ""CIDH|Comissão Interamericana""), ""Comissão Interamericana de Direitos Humanos (CIDH)"""&amp;",
IF(REGEXMATCH(S176, ""Pastoral Carcerária""), ""Pastoral Carcerária"",
IF(REGEXMATCH(S176, ""Esquerda Web""), ""Esquerda Web"",
IF(REGEXMATCH(S176, ""ONU|Organização das Nações Unidas""), ""ONU Brasil"",
IF(REGEXMATCH(S176, ""Quilombo Invisível""), ""Qu"&amp;"ilombo Invisível"",
IF(REGEXMATCH(S176, ""ALESP|Assembleia Legislativa""), ""ALESP"",
IF(REGEXMATCH(S176, ""Revista Opera""), ""Revista Opera"",
IF(REGEXMATCH(S176, ""SP Escola de Teatro""), ""SP Escola de Teatro"",
IF(REGEXMATCH(S176, ""EMC|Espaço Memóri"&amp;"a Carandiru""), ""EMC Espaço Memória Carandiru"",
IF(REGEXMATCH(S176, ""^RAMOS, Nuno|Nuno Ramos""), ""Nuno Ramos"",
IF(REGEXMATCH(S176, ""^VELOSO, Caetano|Caetano Veloso""), ""YouTube (Caetano Veloso)"",
IF(REGEXMATCH(S176, ""^FATOS REAIS""), ""YouTube ("&amp;"Fatos Reais - Topic)"",
IF(REGEXMATCH(S176, ""^SALA SECRETA""), ""Wordpress (Sala Secreta)"",
PROPER(REGEXEXTRACT(S176, ""^([^.]*)\.""))
))))))))))))))))))))))))))))))))))))))))))))))))))))))))"),"Instagram (Memórias Carandiru)")</f>
        <v>Instagram (Memórias Carandiru)</v>
      </c>
      <c r="N176" s="11" t="s">
        <v>47</v>
      </c>
      <c r="O176" s="14" t="s">
        <v>149</v>
      </c>
      <c r="P176" s="186">
        <v>45857.0</v>
      </c>
      <c r="Q176" s="11" t="s">
        <v>154</v>
      </c>
      <c r="R176" s="70" t="str">
        <f t="shared" si="8"/>
        <v>Aqui</v>
      </c>
      <c r="S176" s="172" t="s">
        <v>883</v>
      </c>
    </row>
    <row r="177">
      <c r="A177" s="11">
        <v>175.0</v>
      </c>
      <c r="B177" s="14" t="s">
        <v>729</v>
      </c>
      <c r="C177" s="122" t="s">
        <v>165</v>
      </c>
      <c r="D177" s="13" t="str">
        <f>IFERROR(__xludf.DUMMYFUNCTION("IF(B177="""","""",IF(OR(
  REGEXMATCH(B177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REGEXMATCH(B177,""público|Imediato|artística|teatral|memória"")
),""Público Imediato"",
IF(REGEXMATCH(B177,""Música|Álbum|Filme|Documentário|Série|Podc"&amp;"ast|Rádio|Audiotour|Entrevista|Reportagem|Crônica|Relatório|Abaixo-assinado|Manifesto|Petição|Poema|Livro|Fotografia|Curta|Live|Webinário|Charge|Leitura pública|Vídeo""),
""Público Mediado"","""")))
"),"Público Imediato")</f>
        <v>Público Imediato</v>
      </c>
      <c r="E177" s="13" t="str">
        <f>IFERROR(__xludf.DUMMYFUNCTION("IF(B177="""","""",IF(OR(
  REGEXMATCH(B177,""Live|Webinário|Virtual""),
  REGEXMATCH(B177,""online"")
),""Virtual"",
IF(REGEXMATCH(B177,""Música|Álbum|Filme|Documentário|Série|Podcast|Rádio|Audiotour|Episódio|Reportagem|Curta|Charge|Livro|Vídeo|Entrevista"&amp;"""),
""Midiático"",
IF(REGEXMATCH(B177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7" s="186">
        <v>45344.0</v>
      </c>
      <c r="G177" s="15">
        <f t="shared" si="1"/>
        <v>2024</v>
      </c>
      <c r="H177" s="14" t="s">
        <v>884</v>
      </c>
      <c r="I177" s="175" t="s">
        <v>741</v>
      </c>
      <c r="J177" s="202" t="s">
        <v>885</v>
      </c>
      <c r="K177" s="16" t="s">
        <v>736</v>
      </c>
      <c r="L177" s="18" t="s">
        <v>489</v>
      </c>
      <c r="M177" s="15" t="str">
        <f>IFERROR(__xludf.DUMMYFUNCTION("IF(REGEXMATCH(S177, ""Companhia das Letras""), ""Companhia das Letras"",
IF(REGEXMATCH(S177, ""Labortexto Editorial""), ""Labortexto Editorial"",
IF(REGEXMATCH(S177, ""Geração Editorial""), ""Geração Editorial"",
IF(REGEXMATCH(S177, ""Editora Imprensa Ofi"&amp;"cial|Imprensa Oficial""), ""Editora Imprensa Oficial"",
IF(REGEXMATCH(S177, ""Folha Online""), ""Folha Online"",
IF(REGEXMATCH(S177, ""FGV DIREITO SP|FGV Direito SP""), ""FGV DIREITO SP"",
IF(REGEXMATCH(S177, ""massacrecarandiru\.org\.br""), ""Memória Mas"&amp;"sacre Carandiru"",
IF(REGEXMATCH(S177, ""Itaú Cultural""), ""YouTube (Itaú Cultural)"",
IF(REGEXMATCH(S177, ""Passa Palavra""), ""Vimeo (Passa Palavra)"",
IF(REGEXMATCH(S177, ""rede2deoutubro\.blogspot""), ""Blogspot (Rede 02 de Outubro)"",
IF(REGEXMATCH("&amp;"S177, ""Rede TVT""), ""YouTube (Rede TVT)"",
IF(REGEXMATCH(S177, ""Esquerda Diário""), ""Esquerda Diário"",
IF(REGEXMATCH(S177, ""GZH""), ""GZH"",
IF(REGEXMATCH(S177, ""TVPUC""), ""TVPUC"",
IF(REGEXMATCH(S177, ""Mídia Ninja.*Facebook""), ""Facebook (Mídia"&amp;" Ninja)"",
IF(REGEXMATCH(S177, ""Memórias Carandiru.*Instagram""), ""Instagram (Memórias Carandiru)"",
IF(REGEXMATCH(S177, ""Frente pelo Desencarceramento SP""), ""YouTube (Frente Pelo Desencarceramento SP)"",
IF(REGEXMATCH(S177, ""TV ABA""), ""YouTube (T"&amp;"V ABA)"",
IF(REGEXMATCH(S177, ""TV SENADO""), ""YouTube (TV Senado)"",
IF(REGEXMATCH(S177, ""Google Arts &amp; Culture""), ""Google Arts &amp; Culture (Memória Massacre Carandiru)"",
IF(REGEXMATCH(S177, ""Anistia Internacional|ANISTIA INTERNACIONAL""), ""Anistia "&amp;"Internacional"",
IF(REGEXMATCH(S177, ""47\.mostra|47a Mostra""), ""47a Mostra Internacional de Cinema em São Paulo"",
IF(REGEXMATCH(S177, ""Canal USP""), ""YouTube (Canal USP)"",
IF(AND(
  REGEXMATCH(S177, ""(?i)(teses?\.usp\.br|dissertacoes?\.usp\.br|rep"&amp;"ositorio\.usp\.br)""),
  NOT(REGEXMATCH(S177, ""Canal USP""))
), ""Biblioteca Digital de Teses e Dissertações da USP"",
IF(REGEXMATCH(S177, ""SINTRAJUSC""), ""SINTRAJUSC"",
IF(REGEXMATCH(S177, ""Agência Brasil|Agencia Brasil""), ""Agência Brasil"",
IF(REG"&amp;"EXMATCH(S177, ""Brasil de Fato""), ""Brasil de Fato"",
IF(REGEXMATCH(S177, ""Ponte Jornalismo|pontejornalismo""), ""Ponte Jornalismo"",
IF(REGEXMATCH(S177, ""letras\.mus\.br|Letras,""), ""Letras"",
IF(REGEXMATCH(S177, ""YouTube|youtube""), 
   ""YouTube "&amp;"(""&amp;
   IF(REGEXMATCH(S177, ""Itaú Cultural""), ""Itaú Cultural"",
   IF(REGEXMATCH(S177, ""Rede TVT""), ""Rede TVT"",
   IF(REGEXMATCH(S177, ""Frente pelo Desencarceramento SP""), ""Frente Pelo Desencarceramento SP"",
   IF(REGEXMATCH(S177, ""TV ABA""), "&amp;"""TV ABA"",
   IF(REGEXMATCH(S177, ""TV SENADO""), ""TV Senado"",
   IF(REGEXMATCH(S177, ""Canal USP""), ""Canal USP"",
   IF(REGEXMATCH(S177, ""Douer, Zack|Zack Douer""), ""Douer Zack"",
   IF(REGEXMATCH(S177, ""PRISIONEIRO 84\.901|PRISIONEIRO 84""), ""P"&amp;"risioneiro 84.901"",
   IF(REGEXMATCH(S177, ""^[^,]*, ""), 
        PROPER(REGEXREPLACE(REGEXEXTRACT(S177, ""^([^.]*)\.""), ""^([^,]*), (.*)"", ""$2 $1"")),
        PROPER(REGEXEXTRACT(S177, ""^([^.]*)\.""))
   )))))))))&amp;"")"",
IF(REGEXMATCH(S177, ""Spot"&amp;"ify|spotify""), 
   ""Spotify (""&amp;
   IF(REGEXMATCH(S177, ""ESTRANHO SORRISO""), ""Estranho Sorriso"",
   PROPER(REGEXEXTRACT(S177, ""^([^.]*)\.""))
   )&amp;"")"",
IF(REGEXMATCH(S177, ""Vimeo|vimeo""), 
   ""Vimeo (""&amp;
   IF(REGEXMATCH(S177, ""Passa Palavra"&amp;"""), ""Passa Palavra"",
   PROPER(REGEXEXTRACT(S177, ""^([^.]*)\.""))
   )&amp;"")"",
IF(REGEXMATCH(S177, ""Blogspot""), 
   ""Blogspot (""&amp;
   IF(REGEXMATCH(S177, ""rede2deoutubro""), ""Rede 02 de Outubro"",
   PROPER(REGEXEXTRACT(S177, ""^([^.]*)\.""))
   "&amp;")&amp;"")"",
IF(REGEXMATCH(S177, ""Facebook""), 
   ""Facebook (""&amp;
   IF(REGEXMATCH(S177, ""Mídia Ninja""), ""Mídia Ninja"",
   PROPER(REGEXEXTRACT(S177, ""^([^.]*)\.""))
   )&amp;"")"",
IF(REGEXMATCH(S177, ""Instagram""), 
   ""Instagram (""&amp;
   IF(REGEXMATCH"&amp;"(S177, ""Memórias Carandiru""), ""Memórias Carandiru"",
   PROPER(REGEXEXTRACT(S177, ""^([^.]*)\.""))
   )&amp;"")"",
IF(REGEXMATCH(S177, ""Folha de S\. Paulo|FOLHA DE S\. PAULO""), ""Folha de S. Paulo"",
IF(REGEXMATCH(S177, ""O Estado de S\. Paulo|ESTADAO"""&amp;"), ""O Estado de S. Paulo"",
IF(REGEXMATCH(S177, ""salasecreta""), ""Wordpress (Sala Secreta)"",
IF(REGEXMATCH(S177, ""Wikipedia|Wikipédia|WIKIPÉDIA""), ""Wikipedia"",
IF(REGEXMATCH(S177, ""VEJA|Veja""), ""Veja Abril"",
IF(REGEXMATCH(S449, ""Rede Globo|RE"&amp;"DE GLOBO""), ""Rede Globo"",
IF(REGEXMATCH(S449, ""G1|globo\.com""), ""G1"",
IF(REGEXMATCH(S177, ""Deutsche Welle|DW\.com""), ""Deutsche Welle"",
IF(REGEXMATCH(S177, ""CIDH|Comissão Interamericana""), ""Comissão Interamericana de Direitos Humanos (CIDH)"""&amp;",
IF(REGEXMATCH(S177, ""Pastoral Carcerária""), ""Pastoral Carcerária"",
IF(REGEXMATCH(S177, ""Esquerda Web""), ""Esquerda Web"",
IF(REGEXMATCH(S177, ""ONU|Organização das Nações Unidas""), ""ONU Brasil"",
IF(REGEXMATCH(S177, ""Quilombo Invisível""), ""Qu"&amp;"ilombo Invisível"",
IF(REGEXMATCH(S177, ""ALESP|Assembleia Legislativa""), ""ALESP"",
IF(REGEXMATCH(S177, ""Revista Opera""), ""Revista Opera"",
IF(REGEXMATCH(S177, ""SP Escola de Teatro""), ""SP Escola de Teatro"",
IF(REGEXMATCH(S177, ""EMC|Espaço Memóri"&amp;"a Carandiru""), ""EMC Espaço Memória Carandiru"",
IF(REGEXMATCH(S177, ""^RAMOS, Nuno|Nuno Ramos""), ""Nuno Ramos"",
IF(REGEXMATCH(S177, ""^VELOSO, Caetano|Caetano Veloso""), ""YouTube (Caetano Veloso)"",
IF(REGEXMATCH(S177, ""^FATOS REAIS""), ""YouTube ("&amp;"Fatos Reais - Topic)"",
IF(REGEXMATCH(S177, ""^SALA SECRETA""), ""Wordpress (Sala Secreta)"",
PROPER(REGEXEXTRACT(S177, ""^([^.]*)\.""))
))))))))))))))))))))))))))))))))))))))))))))))))))))))))"),"Instagram (Memórias Carandiru)")</f>
        <v>Instagram (Memórias Carandiru)</v>
      </c>
      <c r="N177" s="11" t="s">
        <v>47</v>
      </c>
      <c r="O177" s="14" t="s">
        <v>149</v>
      </c>
      <c r="P177" s="186">
        <v>45857.0</v>
      </c>
      <c r="Q177" s="11" t="s">
        <v>154</v>
      </c>
      <c r="R177" s="70" t="str">
        <f t="shared" si="8"/>
        <v>Aqui</v>
      </c>
      <c r="S177" s="75" t="s">
        <v>886</v>
      </c>
    </row>
    <row r="178">
      <c r="A178" s="11">
        <v>176.0</v>
      </c>
      <c r="B178" s="14" t="s">
        <v>812</v>
      </c>
      <c r="C178" s="122" t="s">
        <v>165</v>
      </c>
      <c r="D178" s="13" t="str">
        <f>IFERROR(__xludf.DUMMYFUNCTION("IF(B178="""","""",IF(OR(
  REGEXMATCH(B178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REGEXMATCH(B178,""público|Imediato|artística|teatral|memória"")
),""Público Imediato"",
IF(REGEXMATCH(B178,""Música|Álbum|Filme|Documentário|Série|Podc"&amp;"ast|Rádio|Audiotour|Entrevista|Reportagem|Crônica|Relatório|Abaixo-assinado|Manifesto|Petição|Poema|Livro|Fotografia|Curta|Live|Webinário|Charge|Leitura pública|Vídeo""),
""Público Mediado"","""")))
"),"Público Imediato")</f>
        <v>Público Imediato</v>
      </c>
      <c r="E178" s="13" t="str">
        <f>IFERROR(__xludf.DUMMYFUNCTION("IF(B178="""","""",IF(OR(
  REGEXMATCH(B178,""Live|Webinário|Virtual""),
  REGEXMATCH(B178,""online"")
),""Virtual"",
IF(REGEXMATCH(B178,""Música|Álbum|Filme|Documentário|Série|Podcast|Rádio|Audiotour|Episódio|Reportagem|Curta|Charge|Livro|Vídeo|Entrevista"&amp;"""),
""Midiático"",
IF(REGEXMATCH(B178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8" s="186">
        <v>45347.0</v>
      </c>
      <c r="G178" s="15">
        <f t="shared" si="1"/>
        <v>2024</v>
      </c>
      <c r="H178" s="14" t="s">
        <v>881</v>
      </c>
      <c r="I178" s="175" t="s">
        <v>741</v>
      </c>
      <c r="J178" s="202" t="s">
        <v>887</v>
      </c>
      <c r="K178" s="16" t="s">
        <v>736</v>
      </c>
      <c r="L178" s="18" t="s">
        <v>489</v>
      </c>
      <c r="M178" s="15" t="str">
        <f>IFERROR(__xludf.DUMMYFUNCTION("IF(REGEXMATCH(S178, ""Companhia das Letras""), ""Companhia das Letras"",
IF(REGEXMATCH(S178, ""Labortexto Editorial""), ""Labortexto Editorial"",
IF(REGEXMATCH(S178, ""Geração Editorial""), ""Geração Editorial"",
IF(REGEXMATCH(S178, ""Editora Imprensa Ofi"&amp;"cial|Imprensa Oficial""), ""Editora Imprensa Oficial"",
IF(REGEXMATCH(S178, ""Folha Online""), ""Folha Online"",
IF(REGEXMATCH(S178, ""FGV DIREITO SP|FGV Direito SP""), ""FGV DIREITO SP"",
IF(REGEXMATCH(S178, ""massacrecarandiru\.org\.br""), ""Memória Mas"&amp;"sacre Carandiru"",
IF(REGEXMATCH(S178, ""Itaú Cultural""), ""YouTube (Itaú Cultural)"",
IF(REGEXMATCH(S178, ""Passa Palavra""), ""Vimeo (Passa Palavra)"",
IF(REGEXMATCH(S178, ""rede2deoutubro\.blogspot""), ""Blogspot (Rede 02 de Outubro)"",
IF(REGEXMATCH("&amp;"S178, ""Rede TVT""), ""YouTube (Rede TVT)"",
IF(REGEXMATCH(S178, ""Esquerda Diário""), ""Esquerda Diário"",
IF(REGEXMATCH(S178, ""GZH""), ""GZH"",
IF(REGEXMATCH(S178, ""TVPUC""), ""TVPUC"",
IF(REGEXMATCH(S178, ""Mídia Ninja.*Facebook""), ""Facebook (Mídia"&amp;" Ninja)"",
IF(REGEXMATCH(S178, ""Memórias Carandiru.*Instagram""), ""Instagram (Memórias Carandiru)"",
IF(REGEXMATCH(S178, ""Frente pelo Desencarceramento SP""), ""YouTube (Frente Pelo Desencarceramento SP)"",
IF(REGEXMATCH(S178, ""TV ABA""), ""YouTube (T"&amp;"V ABA)"",
IF(REGEXMATCH(S178, ""TV SENADO""), ""YouTube (TV Senado)"",
IF(REGEXMATCH(S178, ""Google Arts &amp; Culture""), ""Google Arts &amp; Culture (Memória Massacre Carandiru)"",
IF(REGEXMATCH(S178, ""Anistia Internacional|ANISTIA INTERNACIONAL""), ""Anistia "&amp;"Internacional"",
IF(REGEXMATCH(S178, ""47\.mostra|47a Mostra""), ""47a Mostra Internacional de Cinema em São Paulo"",
IF(REGEXMATCH(S178, ""Canal USP""), ""YouTube (Canal USP)"",
IF(AND(
  REGEXMATCH(S178, ""(?i)(teses?\.usp\.br|dissertacoes?\.usp\.br|rep"&amp;"ositorio\.usp\.br)""),
  NOT(REGEXMATCH(S178, ""Canal USP""))
), ""Biblioteca Digital de Teses e Dissertações da USP"",
IF(REGEXMATCH(S178, ""SINTRAJUSC""), ""SINTRAJUSC"",
IF(REGEXMATCH(S178, ""Agência Brasil|Agencia Brasil""), ""Agência Brasil"",
IF(REG"&amp;"EXMATCH(S178, ""Brasil de Fato""), ""Brasil de Fato"",
IF(REGEXMATCH(S178, ""Ponte Jornalismo|pontejornalismo""), ""Ponte Jornalismo"",
IF(REGEXMATCH(S178, ""letras\.mus\.br|Letras,""), ""Letras"",
IF(REGEXMATCH(S178, ""YouTube|youtube""), 
   ""YouTube "&amp;"(""&amp;
   IF(REGEXMATCH(S178, ""Itaú Cultural""), ""Itaú Cultural"",
   IF(REGEXMATCH(S178, ""Rede TVT""), ""Rede TVT"",
   IF(REGEXMATCH(S178, ""Frente pelo Desencarceramento SP""), ""Frente Pelo Desencarceramento SP"",
   IF(REGEXMATCH(S178, ""TV ABA""), "&amp;"""TV ABA"",
   IF(REGEXMATCH(S178, ""TV SENADO""), ""TV Senado"",
   IF(REGEXMATCH(S178, ""Canal USP""), ""Canal USP"",
   IF(REGEXMATCH(S178, ""Douer, Zack|Zack Douer""), ""Douer Zack"",
   IF(REGEXMATCH(S178, ""PRISIONEIRO 84\.901|PRISIONEIRO 84""), ""P"&amp;"risioneiro 84.901"",
   IF(REGEXMATCH(S178, ""^[^,]*, ""), 
        PROPER(REGEXREPLACE(REGEXEXTRACT(S178, ""^([^.]*)\.""), ""^([^,]*), (.*)"", ""$2 $1"")),
        PROPER(REGEXEXTRACT(S178, ""^([^.]*)\.""))
   )))))))))&amp;"")"",
IF(REGEXMATCH(S178, ""Spot"&amp;"ify|spotify""), 
   ""Spotify (""&amp;
   IF(REGEXMATCH(S178, ""ESTRANHO SORRISO""), ""Estranho Sorriso"",
   PROPER(REGEXEXTRACT(S178, ""^([^.]*)\.""))
   )&amp;"")"",
IF(REGEXMATCH(S178, ""Vimeo|vimeo""), 
   ""Vimeo (""&amp;
   IF(REGEXMATCH(S178, ""Passa Palavra"&amp;"""), ""Passa Palavra"",
   PROPER(REGEXEXTRACT(S178, ""^([^.]*)\.""))
   )&amp;"")"",
IF(REGEXMATCH(S178, ""Blogspot""), 
   ""Blogspot (""&amp;
   IF(REGEXMATCH(S178, ""rede2deoutubro""), ""Rede 02 de Outubro"",
   PROPER(REGEXEXTRACT(S178, ""^([^.]*)\.""))
   "&amp;")&amp;"")"",
IF(REGEXMATCH(S178, ""Facebook""), 
   ""Facebook (""&amp;
   IF(REGEXMATCH(S178, ""Mídia Ninja""), ""Mídia Ninja"",
   PROPER(REGEXEXTRACT(S178, ""^([^.]*)\.""))
   )&amp;"")"",
IF(REGEXMATCH(S178, ""Instagram""), 
   ""Instagram (""&amp;
   IF(REGEXMATCH"&amp;"(S178, ""Memórias Carandiru""), ""Memórias Carandiru"",
   PROPER(REGEXEXTRACT(S178, ""^([^.]*)\.""))
   )&amp;"")"",
IF(REGEXMATCH(S178, ""Folha de S\. Paulo|FOLHA DE S\. PAULO""), ""Folha de S. Paulo"",
IF(REGEXMATCH(S178, ""O Estado de S\. Paulo|ESTADAO"""&amp;"), ""O Estado de S. Paulo"",
IF(REGEXMATCH(S178, ""salasecreta""), ""Wordpress (Sala Secreta)"",
IF(REGEXMATCH(S178, ""Wikipedia|Wikipédia|WIKIPÉDIA""), ""Wikipedia"",
IF(REGEXMATCH(S178, ""VEJA|Veja""), ""Veja Abril"",
IF(REGEXMATCH(S450, ""Rede Globo|RE"&amp;"DE GLOBO""), ""Rede Globo"",
IF(REGEXMATCH(S450, ""G1|globo\.com""), ""G1"",
IF(REGEXMATCH(S178, ""Deutsche Welle|DW\.com""), ""Deutsche Welle"",
IF(REGEXMATCH(S178, ""CIDH|Comissão Interamericana""), ""Comissão Interamericana de Direitos Humanos (CIDH)"""&amp;",
IF(REGEXMATCH(S178, ""Pastoral Carcerária""), ""Pastoral Carcerária"",
IF(REGEXMATCH(S178, ""Esquerda Web""), ""Esquerda Web"",
IF(REGEXMATCH(S178, ""ONU|Organização das Nações Unidas""), ""ONU Brasil"",
IF(REGEXMATCH(S178, ""Quilombo Invisível""), ""Qu"&amp;"ilombo Invisível"",
IF(REGEXMATCH(S178, ""ALESP|Assembleia Legislativa""), ""ALESP"",
IF(REGEXMATCH(S178, ""Revista Opera""), ""Revista Opera"",
IF(REGEXMATCH(S178, ""SP Escola de Teatro""), ""SP Escola de Teatro"",
IF(REGEXMATCH(S178, ""EMC|Espaço Memóri"&amp;"a Carandiru""), ""EMC Espaço Memória Carandiru"",
IF(REGEXMATCH(S178, ""^RAMOS, Nuno|Nuno Ramos""), ""Nuno Ramos"",
IF(REGEXMATCH(S178, ""^VELOSO, Caetano|Caetano Veloso""), ""YouTube (Caetano Veloso)"",
IF(REGEXMATCH(S178, ""^FATOS REAIS""), ""YouTube ("&amp;"Fatos Reais - Topic)"",
IF(REGEXMATCH(S178, ""^SALA SECRETA""), ""Wordpress (Sala Secreta)"",
PROPER(REGEXEXTRACT(S178, ""^([^.]*)\.""))
))))))))))))))))))))))))))))))))))))))))))))))))))))))))"),"Instagram (Memórias Carandiru)")</f>
        <v>Instagram (Memórias Carandiru)</v>
      </c>
      <c r="N178" s="11" t="s">
        <v>47</v>
      </c>
      <c r="O178" s="14" t="s">
        <v>149</v>
      </c>
      <c r="P178" s="186">
        <v>45857.0</v>
      </c>
      <c r="Q178" s="11" t="s">
        <v>154</v>
      </c>
      <c r="R178" s="70" t="str">
        <f t="shared" si="8"/>
        <v>Aqui</v>
      </c>
      <c r="S178" s="75" t="s">
        <v>888</v>
      </c>
    </row>
    <row r="179">
      <c r="A179" s="11">
        <v>177.0</v>
      </c>
      <c r="B179" s="14" t="s">
        <v>729</v>
      </c>
      <c r="C179" s="122" t="s">
        <v>165</v>
      </c>
      <c r="D179" s="13" t="str">
        <f>IFERROR(__xludf.DUMMYFUNCTION("IF(B179="""","""",IF(OR(
  REGEXMATCH(B179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REGEXMATCH(B179,""público|Imediato|artística|teatral|memória"")
),""Público Imediato"",
IF(REGEXMATCH(B179,""Música|Álbum|Filme|Documentário|Série|Podc"&amp;"ast|Rádio|Audiotour|Entrevista|Reportagem|Crônica|Relatório|Abaixo-assinado|Manifesto|Petição|Poema|Livro|Fotografia|Curta|Live|Webinário|Charge|Leitura pública|Vídeo""),
""Público Mediado"","""")))
"),"Público Imediato")</f>
        <v>Público Imediato</v>
      </c>
      <c r="E179" s="13" t="str">
        <f>IFERROR(__xludf.DUMMYFUNCTION("IF(B179="""","""",IF(OR(
  REGEXMATCH(B179,""Live|Webinário|Virtual""),
  REGEXMATCH(B179,""online"")
),""Virtual"",
IF(REGEXMATCH(B179,""Música|Álbum|Filme|Documentário|Série|Podcast|Rádio|Audiotour|Episódio|Reportagem|Curta|Charge|Livro|Vídeo|Entrevista"&amp;"""),
""Midiático"",
IF(REGEXMATCH(B179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9" s="186">
        <v>45360.0</v>
      </c>
      <c r="G179" s="15">
        <f t="shared" si="1"/>
        <v>2024</v>
      </c>
      <c r="H179" s="14" t="s">
        <v>733</v>
      </c>
      <c r="I179" s="175" t="s">
        <v>741</v>
      </c>
      <c r="J179" s="202" t="s">
        <v>889</v>
      </c>
      <c r="K179" s="16" t="s">
        <v>736</v>
      </c>
      <c r="L179" s="18" t="s">
        <v>489</v>
      </c>
      <c r="M179" s="15" t="str">
        <f>IFERROR(__xludf.DUMMYFUNCTION("IF(REGEXMATCH(S179, ""Companhia das Letras""), ""Companhia das Letras"",
IF(REGEXMATCH(S179, ""Labortexto Editorial""), ""Labortexto Editorial"",
IF(REGEXMATCH(S179, ""Geração Editorial""), ""Geração Editorial"",
IF(REGEXMATCH(S179, ""Editora Imprensa Ofi"&amp;"cial|Imprensa Oficial""), ""Editora Imprensa Oficial"",
IF(REGEXMATCH(S179, ""Folha Online""), ""Folha Online"",
IF(REGEXMATCH(S179, ""FGV DIREITO SP|FGV Direito SP""), ""FGV DIREITO SP"",
IF(REGEXMATCH(S179, ""massacrecarandiru\.org\.br""), ""Memória Mas"&amp;"sacre Carandiru"",
IF(REGEXMATCH(S179, ""Itaú Cultural""), ""YouTube (Itaú Cultural)"",
IF(REGEXMATCH(S179, ""Passa Palavra""), ""Vimeo (Passa Palavra)"",
IF(REGEXMATCH(S179, ""rede2deoutubro\.blogspot""), ""Blogspot (Rede 02 de Outubro)"",
IF(REGEXMATCH("&amp;"S179, ""Rede TVT""), ""YouTube (Rede TVT)"",
IF(REGEXMATCH(S179, ""Esquerda Diário""), ""Esquerda Diário"",
IF(REGEXMATCH(S179, ""GZH""), ""GZH"",
IF(REGEXMATCH(S179, ""TVPUC""), ""TVPUC"",
IF(REGEXMATCH(S179, ""Mídia Ninja.*Facebook""), ""Facebook (Mídia"&amp;" Ninja)"",
IF(REGEXMATCH(S179, ""Memórias Carandiru.*Instagram""), ""Instagram (Memórias Carandiru)"",
IF(REGEXMATCH(S179, ""Frente pelo Desencarceramento SP""), ""YouTube (Frente Pelo Desencarceramento SP)"",
IF(REGEXMATCH(S179, ""TV ABA""), ""YouTube (T"&amp;"V ABA)"",
IF(REGEXMATCH(S179, ""TV SENADO""), ""YouTube (TV Senado)"",
IF(REGEXMATCH(S179, ""Google Arts &amp; Culture""), ""Google Arts &amp; Culture (Memória Massacre Carandiru)"",
IF(REGEXMATCH(S179, ""Anistia Internacional|ANISTIA INTERNACIONAL""), ""Anistia "&amp;"Internacional"",
IF(REGEXMATCH(S179, ""47\.mostra|47a Mostra""), ""47a Mostra Internacional de Cinema em São Paulo"",
IF(REGEXMATCH(S179, ""Canal USP""), ""YouTube (Canal USP)"",
IF(AND(
  REGEXMATCH(S179, ""(?i)(teses?\.usp\.br|dissertacoes?\.usp\.br|rep"&amp;"ositorio\.usp\.br)""),
  NOT(REGEXMATCH(S179, ""Canal USP""))
), ""Biblioteca Digital de Teses e Dissertações da USP"",
IF(REGEXMATCH(S179, ""SINTRAJUSC""), ""SINTRAJUSC"",
IF(REGEXMATCH(S179, ""Agência Brasil|Agencia Brasil""), ""Agência Brasil"",
IF(REG"&amp;"EXMATCH(S179, ""Brasil de Fato""), ""Brasil de Fato"",
IF(REGEXMATCH(S179, ""Ponte Jornalismo|pontejornalismo""), ""Ponte Jornalismo"",
IF(REGEXMATCH(S179, ""letras\.mus\.br|Letras,""), ""Letras"",
IF(REGEXMATCH(S179, ""YouTube|youtube""), 
   ""YouTube "&amp;"(""&amp;
   IF(REGEXMATCH(S179, ""Itaú Cultural""), ""Itaú Cultural"",
   IF(REGEXMATCH(S179, ""Rede TVT""), ""Rede TVT"",
   IF(REGEXMATCH(S179, ""Frente pelo Desencarceramento SP""), ""Frente Pelo Desencarceramento SP"",
   IF(REGEXMATCH(S179, ""TV ABA""), "&amp;"""TV ABA"",
   IF(REGEXMATCH(S179, ""TV SENADO""), ""TV Senado"",
   IF(REGEXMATCH(S179, ""Canal USP""), ""Canal USP"",
   IF(REGEXMATCH(S179, ""Douer, Zack|Zack Douer""), ""Douer Zack"",
   IF(REGEXMATCH(S179, ""PRISIONEIRO 84\.901|PRISIONEIRO 84""), ""P"&amp;"risioneiro 84.901"",
   IF(REGEXMATCH(S179, ""^[^,]*, ""), 
        PROPER(REGEXREPLACE(REGEXEXTRACT(S179, ""^([^.]*)\.""), ""^([^,]*), (.*)"", ""$2 $1"")),
        PROPER(REGEXEXTRACT(S179, ""^([^.]*)\.""))
   )))))))))&amp;"")"",
IF(REGEXMATCH(S179, ""Spot"&amp;"ify|spotify""), 
   ""Spotify (""&amp;
   IF(REGEXMATCH(S179, ""ESTRANHO SORRISO""), ""Estranho Sorriso"",
   PROPER(REGEXEXTRACT(S179, ""^([^.]*)\.""))
   )&amp;"")"",
IF(REGEXMATCH(S179, ""Vimeo|vimeo""), 
   ""Vimeo (""&amp;
   IF(REGEXMATCH(S179, ""Passa Palavra"&amp;"""), ""Passa Palavra"",
   PROPER(REGEXEXTRACT(S179, ""^([^.]*)\.""))
   )&amp;"")"",
IF(REGEXMATCH(S179, ""Blogspot""), 
   ""Blogspot (""&amp;
   IF(REGEXMATCH(S179, ""rede2deoutubro""), ""Rede 02 de Outubro"",
   PROPER(REGEXEXTRACT(S179, ""^([^.]*)\.""))
   "&amp;")&amp;"")"",
IF(REGEXMATCH(S179, ""Facebook""), 
   ""Facebook (""&amp;
   IF(REGEXMATCH(S179, ""Mídia Ninja""), ""Mídia Ninja"",
   PROPER(REGEXEXTRACT(S179, ""^([^.]*)\.""))
   )&amp;"")"",
IF(REGEXMATCH(S179, ""Instagram""), 
   ""Instagram (""&amp;
   IF(REGEXMATCH"&amp;"(S179, ""Memórias Carandiru""), ""Memórias Carandiru"",
   PROPER(REGEXEXTRACT(S179, ""^([^.]*)\.""))
   )&amp;"")"",
IF(REGEXMATCH(S179, ""Folha de S\. Paulo|FOLHA DE S\. PAULO""), ""Folha de S. Paulo"",
IF(REGEXMATCH(S179, ""O Estado de S\. Paulo|ESTADAO"""&amp;"), ""O Estado de S. Paulo"",
IF(REGEXMATCH(S179, ""salasecreta""), ""Wordpress (Sala Secreta)"",
IF(REGEXMATCH(S179, ""Wikipedia|Wikipédia|WIKIPÉDIA""), ""Wikipedia"",
IF(REGEXMATCH(S179, ""VEJA|Veja""), ""Veja Abril"",
IF(REGEXMATCH(S451, ""Rede Globo|RE"&amp;"DE GLOBO""), ""Rede Globo"",
IF(REGEXMATCH(S451, ""G1|globo\.com""), ""G1"",
IF(REGEXMATCH(S179, ""Deutsche Welle|DW\.com""), ""Deutsche Welle"",
IF(REGEXMATCH(S179, ""CIDH|Comissão Interamericana""), ""Comissão Interamericana de Direitos Humanos (CIDH)"""&amp;",
IF(REGEXMATCH(S179, ""Pastoral Carcerária""), ""Pastoral Carcerária"",
IF(REGEXMATCH(S179, ""Esquerda Web""), ""Esquerda Web"",
IF(REGEXMATCH(S179, ""ONU|Organização das Nações Unidas""), ""ONU Brasil"",
IF(REGEXMATCH(S179, ""Quilombo Invisível""), ""Qu"&amp;"ilombo Invisível"",
IF(REGEXMATCH(S179, ""ALESP|Assembleia Legislativa""), ""ALESP"",
IF(REGEXMATCH(S179, ""Revista Opera""), ""Revista Opera"",
IF(REGEXMATCH(S179, ""SP Escola de Teatro""), ""SP Escola de Teatro"",
IF(REGEXMATCH(S179, ""EMC|Espaço Memóri"&amp;"a Carandiru""), ""EMC Espaço Memória Carandiru"",
IF(REGEXMATCH(S179, ""^RAMOS, Nuno|Nuno Ramos""), ""Nuno Ramos"",
IF(REGEXMATCH(S179, ""^VELOSO, Caetano|Caetano Veloso""), ""YouTube (Caetano Veloso)"",
IF(REGEXMATCH(S179, ""^FATOS REAIS""), ""YouTube ("&amp;"Fatos Reais - Topic)"",
IF(REGEXMATCH(S179, ""^SALA SECRETA""), ""Wordpress (Sala Secreta)"",
PROPER(REGEXEXTRACT(S179, ""^([^.]*)\.""))
))))))))))))))))))))))))))))))))))))))))))))))))))))))))"),"Instagram (Memórias Carandiru)")</f>
        <v>Instagram (Memórias Carandiru)</v>
      </c>
      <c r="N179" s="11" t="s">
        <v>47</v>
      </c>
      <c r="O179" s="14" t="s">
        <v>149</v>
      </c>
      <c r="P179" s="186">
        <v>45857.0</v>
      </c>
      <c r="Q179" s="11" t="s">
        <v>154</v>
      </c>
      <c r="R179" s="70" t="str">
        <f t="shared" si="8"/>
        <v>Aqui</v>
      </c>
      <c r="S179" s="75" t="s">
        <v>890</v>
      </c>
    </row>
    <row r="180">
      <c r="A180" s="11">
        <v>178.0</v>
      </c>
      <c r="B180" s="14" t="s">
        <v>812</v>
      </c>
      <c r="C180" s="122" t="s">
        <v>165</v>
      </c>
      <c r="D180" s="13" t="str">
        <f>IFERROR(__xludf.DUMMYFUNCTION("IF(B180="""","""",IF(OR(
  REGEXMATCH(B180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REGEXMATCH(B180,""público|Imediato|artística|teatral|memória"")
),""Público Imediato"",
IF(REGEXMATCH(B180,""Música|Álbum|Filme|Documentário|Série|Podc"&amp;"ast|Rádio|Audiotour|Entrevista|Reportagem|Crônica|Relatório|Abaixo-assinado|Manifesto|Petição|Poema|Livro|Fotografia|Curta|Live|Webinário|Charge|Leitura pública|Vídeo""),
""Público Mediado"","""")))
"),"Público Imediato")</f>
        <v>Público Imediato</v>
      </c>
      <c r="E180" s="13" t="str">
        <f>IFERROR(__xludf.DUMMYFUNCTION("IF(B180="""","""",IF(OR(
  REGEXMATCH(B180,""Live|Webinário|Virtual""),
  REGEXMATCH(B180,""online"")
),""Virtual"",
IF(REGEXMATCH(B180,""Música|Álbum|Filme|Documentário|Série|Podcast|Rádio|Audiotour|Episódio|Reportagem|Curta|Charge|Livro|Vídeo|Entrevista"&amp;"""),
""Midiático"",
IF(REGEXMATCH(B180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0" s="186">
        <v>45366.0</v>
      </c>
      <c r="G180" s="15">
        <f t="shared" si="1"/>
        <v>2024</v>
      </c>
      <c r="H180" s="14" t="s">
        <v>842</v>
      </c>
      <c r="I180" s="175" t="s">
        <v>741</v>
      </c>
      <c r="J180" s="202" t="s">
        <v>891</v>
      </c>
      <c r="K180" s="16" t="s">
        <v>736</v>
      </c>
      <c r="L180" s="18" t="s">
        <v>489</v>
      </c>
      <c r="M180" s="15" t="str">
        <f>IFERROR(__xludf.DUMMYFUNCTION("IF(REGEXMATCH(S180, ""Companhia das Letras""), ""Companhia das Letras"",
IF(REGEXMATCH(S180, ""Labortexto Editorial""), ""Labortexto Editorial"",
IF(REGEXMATCH(S180, ""Geração Editorial""), ""Geração Editorial"",
IF(REGEXMATCH(S180, ""Editora Imprensa Ofi"&amp;"cial|Imprensa Oficial""), ""Editora Imprensa Oficial"",
IF(REGEXMATCH(S180, ""Folha Online""), ""Folha Online"",
IF(REGEXMATCH(S180, ""FGV DIREITO SP|FGV Direito SP""), ""FGV DIREITO SP"",
IF(REGEXMATCH(S180, ""massacrecarandiru\.org\.br""), ""Memória Mas"&amp;"sacre Carandiru"",
IF(REGEXMATCH(S180, ""Itaú Cultural""), ""YouTube (Itaú Cultural)"",
IF(REGEXMATCH(S180, ""Passa Palavra""), ""Vimeo (Passa Palavra)"",
IF(REGEXMATCH(S180, ""rede2deoutubro\.blogspot""), ""Blogspot (Rede 02 de Outubro)"",
IF(REGEXMATCH("&amp;"S180, ""Rede TVT""), ""YouTube (Rede TVT)"",
IF(REGEXMATCH(S180, ""Esquerda Diário""), ""Esquerda Diário"",
IF(REGEXMATCH(S180, ""GZH""), ""GZH"",
IF(REGEXMATCH(S180, ""TVPUC""), ""TVPUC"",
IF(REGEXMATCH(S180, ""Mídia Ninja.*Facebook""), ""Facebook (Mídia"&amp;" Ninja)"",
IF(REGEXMATCH(S180, ""Memórias Carandiru.*Instagram""), ""Instagram (Memórias Carandiru)"",
IF(REGEXMATCH(S180, ""Frente pelo Desencarceramento SP""), ""YouTube (Frente Pelo Desencarceramento SP)"",
IF(REGEXMATCH(S180, ""TV ABA""), ""YouTube (T"&amp;"V ABA)"",
IF(REGEXMATCH(S180, ""TV SENADO""), ""YouTube (TV Senado)"",
IF(REGEXMATCH(S180, ""Google Arts &amp; Culture""), ""Google Arts &amp; Culture (Memória Massacre Carandiru)"",
IF(REGEXMATCH(S180, ""Anistia Internacional|ANISTIA INTERNACIONAL""), ""Anistia "&amp;"Internacional"",
IF(REGEXMATCH(S180, ""47\.mostra|47a Mostra""), ""47a Mostra Internacional de Cinema em São Paulo"",
IF(REGEXMATCH(S180, ""Canal USP""), ""YouTube (Canal USP)"",
IF(AND(
  REGEXMATCH(S180, ""(?i)(teses?\.usp\.br|dissertacoes?\.usp\.br|rep"&amp;"ositorio\.usp\.br)""),
  NOT(REGEXMATCH(S180, ""Canal USP""))
), ""Biblioteca Digital de Teses e Dissertações da USP"",
IF(REGEXMATCH(S180, ""SINTRAJUSC""), ""SINTRAJUSC"",
IF(REGEXMATCH(S180, ""Agência Brasil|Agencia Brasil""), ""Agência Brasil"",
IF(REG"&amp;"EXMATCH(S180, ""Brasil de Fato""), ""Brasil de Fato"",
IF(REGEXMATCH(S180, ""Ponte Jornalismo|pontejornalismo""), ""Ponte Jornalismo"",
IF(REGEXMATCH(S180, ""letras\.mus\.br|Letras,""), ""Letras"",
IF(REGEXMATCH(S180, ""YouTube|youtube""), 
   ""YouTube "&amp;"(""&amp;
   IF(REGEXMATCH(S180, ""Itaú Cultural""), ""Itaú Cultural"",
   IF(REGEXMATCH(S180, ""Rede TVT""), ""Rede TVT"",
   IF(REGEXMATCH(S180, ""Frente pelo Desencarceramento SP""), ""Frente Pelo Desencarceramento SP"",
   IF(REGEXMATCH(S180, ""TV ABA""), "&amp;"""TV ABA"",
   IF(REGEXMATCH(S180, ""TV SENADO""), ""TV Senado"",
   IF(REGEXMATCH(S180, ""Canal USP""), ""Canal USP"",
   IF(REGEXMATCH(S180, ""Douer, Zack|Zack Douer""), ""Douer Zack"",
   IF(REGEXMATCH(S180, ""PRISIONEIRO 84\.901|PRISIONEIRO 84""), ""P"&amp;"risioneiro 84.901"",
   IF(REGEXMATCH(S180, ""^[^,]*, ""), 
        PROPER(REGEXREPLACE(REGEXEXTRACT(S180, ""^([^.]*)\.""), ""^([^,]*), (.*)"", ""$2 $1"")),
        PROPER(REGEXEXTRACT(S180, ""^([^.]*)\.""))
   )))))))))&amp;"")"",
IF(REGEXMATCH(S180, ""Spot"&amp;"ify|spotify""), 
   ""Spotify (""&amp;
   IF(REGEXMATCH(S180, ""ESTRANHO SORRISO""), ""Estranho Sorriso"",
   PROPER(REGEXEXTRACT(S180, ""^([^.]*)\.""))
   )&amp;"")"",
IF(REGEXMATCH(S180, ""Vimeo|vimeo""), 
   ""Vimeo (""&amp;
   IF(REGEXMATCH(S180, ""Passa Palavra"&amp;"""), ""Passa Palavra"",
   PROPER(REGEXEXTRACT(S180, ""^([^.]*)\.""))
   )&amp;"")"",
IF(REGEXMATCH(S180, ""Blogspot""), 
   ""Blogspot (""&amp;
   IF(REGEXMATCH(S180, ""rede2deoutubro""), ""Rede 02 de Outubro"",
   PROPER(REGEXEXTRACT(S180, ""^([^.]*)\.""))
   "&amp;")&amp;"")"",
IF(REGEXMATCH(S180, ""Facebook""), 
   ""Facebook (""&amp;
   IF(REGEXMATCH(S180, ""Mídia Ninja""), ""Mídia Ninja"",
   PROPER(REGEXEXTRACT(S180, ""^([^.]*)\.""))
   )&amp;"")"",
IF(REGEXMATCH(S180, ""Instagram""), 
   ""Instagram (""&amp;
   IF(REGEXMATCH"&amp;"(S180, ""Memórias Carandiru""), ""Memórias Carandiru"",
   PROPER(REGEXEXTRACT(S180, ""^([^.]*)\.""))
   )&amp;"")"",
IF(REGEXMATCH(S180, ""Folha de S\. Paulo|FOLHA DE S\. PAULO""), ""Folha de S. Paulo"",
IF(REGEXMATCH(S180, ""O Estado de S\. Paulo|ESTADAO"""&amp;"), ""O Estado de S. Paulo"",
IF(REGEXMATCH(S180, ""salasecreta""), ""Wordpress (Sala Secreta)"",
IF(REGEXMATCH(S180, ""Wikipedia|Wikipédia|WIKIPÉDIA""), ""Wikipedia"",
IF(REGEXMATCH(S180, ""VEJA|Veja""), ""Veja Abril"",
IF(REGEXMATCH(S452, ""Rede Globo|RE"&amp;"DE GLOBO""), ""Rede Globo"",
IF(REGEXMATCH(S452, ""G1|globo\.com""), ""G1"",
IF(REGEXMATCH(S180, ""Deutsche Welle|DW\.com""), ""Deutsche Welle"",
IF(REGEXMATCH(S180, ""CIDH|Comissão Interamericana""), ""Comissão Interamericana de Direitos Humanos (CIDH)"""&amp;",
IF(REGEXMATCH(S180, ""Pastoral Carcerária""), ""Pastoral Carcerária"",
IF(REGEXMATCH(S180, ""Esquerda Web""), ""Esquerda Web"",
IF(REGEXMATCH(S180, ""ONU|Organização das Nações Unidas""), ""ONU Brasil"",
IF(REGEXMATCH(S180, ""Quilombo Invisível""), ""Qu"&amp;"ilombo Invisível"",
IF(REGEXMATCH(S180, ""ALESP|Assembleia Legislativa""), ""ALESP"",
IF(REGEXMATCH(S180, ""Revista Opera""), ""Revista Opera"",
IF(REGEXMATCH(S180, ""SP Escola de Teatro""), ""SP Escola de Teatro"",
IF(REGEXMATCH(S180, ""EMC|Espaço Memóri"&amp;"a Carandiru""), ""EMC Espaço Memória Carandiru"",
IF(REGEXMATCH(S180, ""^RAMOS, Nuno|Nuno Ramos""), ""Nuno Ramos"",
IF(REGEXMATCH(S180, ""^VELOSO, Caetano|Caetano Veloso""), ""YouTube (Caetano Veloso)"",
IF(REGEXMATCH(S180, ""^FATOS REAIS""), ""YouTube ("&amp;"Fatos Reais - Topic)"",
IF(REGEXMATCH(S180, ""^SALA SECRETA""), ""Wordpress (Sala Secreta)"",
PROPER(REGEXEXTRACT(S180, ""^([^.]*)\.""))
))))))))))))))))))))))))))))))))))))))))))))))))))))))))"),"Instagram (Memórias Carandiru)")</f>
        <v>Instagram (Memórias Carandiru)</v>
      </c>
      <c r="N180" s="11" t="s">
        <v>47</v>
      </c>
      <c r="O180" s="14" t="s">
        <v>149</v>
      </c>
      <c r="P180" s="186">
        <v>45857.0</v>
      </c>
      <c r="Q180" s="11" t="s">
        <v>154</v>
      </c>
      <c r="R180" s="70" t="str">
        <f t="shared" si="8"/>
        <v>Aqui</v>
      </c>
      <c r="S180" s="75" t="s">
        <v>892</v>
      </c>
    </row>
    <row r="181">
      <c r="A181" s="11">
        <v>179.0</v>
      </c>
      <c r="B181" s="14" t="s">
        <v>799</v>
      </c>
      <c r="C181" s="122" t="s">
        <v>165</v>
      </c>
      <c r="D181" s="13" t="str">
        <f>IFERROR(__xludf.DUMMYFUNCTION("IF(B181="""","""",IF(OR(
  REGEXMATCH(B181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REGEXMATCH(B181,""público|Imediato|artística|teatral|memória"")
),""Público Imediato"",
IF(REGEXMATCH(B181,""Música|Álbum|Filme|Documentário|Série|Podc"&amp;"ast|Rádio|Audiotour|Entrevista|Reportagem|Crônica|Relatório|Abaixo-assinado|Manifesto|Petição|Poema|Livro|Fotografia|Curta|Live|Webinário|Charge|Leitura pública|Vídeo""),
""Público Mediado"","""")))
"),"Público Imediato")</f>
        <v>Público Imediato</v>
      </c>
      <c r="E181" s="13" t="str">
        <f>IFERROR(__xludf.DUMMYFUNCTION("IF(B181="""","""",IF(OR(
  REGEXMATCH(B181,""Live|Webinário|Virtual""),
  REGEXMATCH(B181,""online"")
),""Virtual"",
IF(REGEXMATCH(B181,""Música|Álbum|Filme|Documentário|Série|Podcast|Rádio|Audiotour|Episódio|Reportagem|Curta|Charge|Livro|Vídeo|Entrevista"&amp;"""),
""Midiático"",
IF(REGEXMATCH(B181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1" s="186">
        <v>45374.0</v>
      </c>
      <c r="G181" s="15">
        <f t="shared" si="1"/>
        <v>2024</v>
      </c>
      <c r="H181" s="14" t="s">
        <v>733</v>
      </c>
      <c r="I181" s="175" t="s">
        <v>741</v>
      </c>
      <c r="J181" s="202" t="s">
        <v>893</v>
      </c>
      <c r="K181" s="16" t="s">
        <v>736</v>
      </c>
      <c r="L181" s="18" t="s">
        <v>489</v>
      </c>
      <c r="M181" s="15" t="str">
        <f>IFERROR(__xludf.DUMMYFUNCTION("IF(REGEXMATCH(S181, ""Companhia das Letras""), ""Companhia das Letras"",
IF(REGEXMATCH(S181, ""Labortexto Editorial""), ""Labortexto Editorial"",
IF(REGEXMATCH(S181, ""Geração Editorial""), ""Geração Editorial"",
IF(REGEXMATCH(S181, ""Editora Imprensa Ofi"&amp;"cial|Imprensa Oficial""), ""Editora Imprensa Oficial"",
IF(REGEXMATCH(S181, ""Folha Online""), ""Folha Online"",
IF(REGEXMATCH(S181, ""FGV DIREITO SP|FGV Direito SP""), ""FGV DIREITO SP"",
IF(REGEXMATCH(S181, ""massacrecarandiru\.org\.br""), ""Memória Mas"&amp;"sacre Carandiru"",
IF(REGEXMATCH(S181, ""Itaú Cultural""), ""YouTube (Itaú Cultural)"",
IF(REGEXMATCH(S181, ""Passa Palavra""), ""Vimeo (Passa Palavra)"",
IF(REGEXMATCH(S181, ""rede2deoutubro\.blogspot""), ""Blogspot (Rede 02 de Outubro)"",
IF(REGEXMATCH("&amp;"S181, ""Rede TVT""), ""YouTube (Rede TVT)"",
IF(REGEXMATCH(S181, ""Esquerda Diário""), ""Esquerda Diário"",
IF(REGEXMATCH(S181, ""GZH""), ""GZH"",
IF(REGEXMATCH(S181, ""TVPUC""), ""TVPUC"",
IF(REGEXMATCH(S181, ""Mídia Ninja.*Facebook""), ""Facebook (Mídia"&amp;" Ninja)"",
IF(REGEXMATCH(S181, ""Memórias Carandiru.*Instagram""), ""Instagram (Memórias Carandiru)"",
IF(REGEXMATCH(S181, ""Frente pelo Desencarceramento SP""), ""YouTube (Frente Pelo Desencarceramento SP)"",
IF(REGEXMATCH(S181, ""TV ABA""), ""YouTube (T"&amp;"V ABA)"",
IF(REGEXMATCH(S181, ""TV SENADO""), ""YouTube (TV Senado)"",
IF(REGEXMATCH(S181, ""Google Arts &amp; Culture""), ""Google Arts &amp; Culture (Memória Massacre Carandiru)"",
IF(REGEXMATCH(S181, ""Anistia Internacional|ANISTIA INTERNACIONAL""), ""Anistia "&amp;"Internacional"",
IF(REGEXMATCH(S181, ""47\.mostra|47a Mostra""), ""47a Mostra Internacional de Cinema em São Paulo"",
IF(REGEXMATCH(S181, ""Canal USP""), ""YouTube (Canal USP)"",
IF(AND(
  REGEXMATCH(S181, ""(?i)(teses?\.usp\.br|dissertacoes?\.usp\.br|rep"&amp;"ositorio\.usp\.br)""),
  NOT(REGEXMATCH(S181, ""Canal USP""))
), ""Biblioteca Digital de Teses e Dissertações da USP"",
IF(REGEXMATCH(S181, ""SINTRAJUSC""), ""SINTRAJUSC"",
IF(REGEXMATCH(S181, ""Agência Brasil|Agencia Brasil""), ""Agência Brasil"",
IF(REG"&amp;"EXMATCH(S181, ""Brasil de Fato""), ""Brasil de Fato"",
IF(REGEXMATCH(S181, ""Ponte Jornalismo|pontejornalismo""), ""Ponte Jornalismo"",
IF(REGEXMATCH(S181, ""letras\.mus\.br|Letras,""), ""Letras"",
IF(REGEXMATCH(S181, ""YouTube|youtube""), 
   ""YouTube "&amp;"(""&amp;
   IF(REGEXMATCH(S181, ""Itaú Cultural""), ""Itaú Cultural"",
   IF(REGEXMATCH(S181, ""Rede TVT""), ""Rede TVT"",
   IF(REGEXMATCH(S181, ""Frente pelo Desencarceramento SP""), ""Frente Pelo Desencarceramento SP"",
   IF(REGEXMATCH(S181, ""TV ABA""), "&amp;"""TV ABA"",
   IF(REGEXMATCH(S181, ""TV SENADO""), ""TV Senado"",
   IF(REGEXMATCH(S181, ""Canal USP""), ""Canal USP"",
   IF(REGEXMATCH(S181, ""Douer, Zack|Zack Douer""), ""Douer Zack"",
   IF(REGEXMATCH(S181, ""PRISIONEIRO 84\.901|PRISIONEIRO 84""), ""P"&amp;"risioneiro 84.901"",
   IF(REGEXMATCH(S181, ""^[^,]*, ""), 
        PROPER(REGEXREPLACE(REGEXEXTRACT(S181, ""^([^.]*)\.""), ""^([^,]*), (.*)"", ""$2 $1"")),
        PROPER(REGEXEXTRACT(S181, ""^([^.]*)\.""))
   )))))))))&amp;"")"",
IF(REGEXMATCH(S181, ""Spot"&amp;"ify|spotify""), 
   ""Spotify (""&amp;
   IF(REGEXMATCH(S181, ""ESTRANHO SORRISO""), ""Estranho Sorriso"",
   PROPER(REGEXEXTRACT(S181, ""^([^.]*)\.""))
   )&amp;"")"",
IF(REGEXMATCH(S181, ""Vimeo|vimeo""), 
   ""Vimeo (""&amp;
   IF(REGEXMATCH(S181, ""Passa Palavra"&amp;"""), ""Passa Palavra"",
   PROPER(REGEXEXTRACT(S181, ""^([^.]*)\.""))
   )&amp;"")"",
IF(REGEXMATCH(S181, ""Blogspot""), 
   ""Blogspot (""&amp;
   IF(REGEXMATCH(S181, ""rede2deoutubro""), ""Rede 02 de Outubro"",
   PROPER(REGEXEXTRACT(S181, ""^([^.]*)\.""))
   "&amp;")&amp;"")"",
IF(REGEXMATCH(S181, ""Facebook""), 
   ""Facebook (""&amp;
   IF(REGEXMATCH(S181, ""Mídia Ninja""), ""Mídia Ninja"",
   PROPER(REGEXEXTRACT(S181, ""^([^.]*)\.""))
   )&amp;"")"",
IF(REGEXMATCH(S181, ""Instagram""), 
   ""Instagram (""&amp;
   IF(REGEXMATCH"&amp;"(S181, ""Memórias Carandiru""), ""Memórias Carandiru"",
   PROPER(REGEXEXTRACT(S181, ""^([^.]*)\.""))
   )&amp;"")"",
IF(REGEXMATCH(S181, ""Folha de S\. Paulo|FOLHA DE S\. PAULO""), ""Folha de S. Paulo"",
IF(REGEXMATCH(S181, ""O Estado de S\. Paulo|ESTADAO"""&amp;"), ""O Estado de S. Paulo"",
IF(REGEXMATCH(S181, ""salasecreta""), ""Wordpress (Sala Secreta)"",
IF(REGEXMATCH(S181, ""Wikipedia|Wikipédia|WIKIPÉDIA""), ""Wikipedia"",
IF(REGEXMATCH(S181, ""VEJA|Veja""), ""Veja Abril"",
IF(REGEXMATCH(S453, ""Rede Globo|RE"&amp;"DE GLOBO""), ""Rede Globo"",
IF(REGEXMATCH(S453, ""G1|globo\.com""), ""G1"",
IF(REGEXMATCH(S181, ""Deutsche Welle|DW\.com""), ""Deutsche Welle"",
IF(REGEXMATCH(S181, ""CIDH|Comissão Interamericana""), ""Comissão Interamericana de Direitos Humanos (CIDH)"""&amp;",
IF(REGEXMATCH(S181, ""Pastoral Carcerária""), ""Pastoral Carcerária"",
IF(REGEXMATCH(S181, ""Esquerda Web""), ""Esquerda Web"",
IF(REGEXMATCH(S181, ""ONU|Organização das Nações Unidas""), ""ONU Brasil"",
IF(REGEXMATCH(S181, ""Quilombo Invisível""), ""Qu"&amp;"ilombo Invisível"",
IF(REGEXMATCH(S181, ""ALESP|Assembleia Legislativa""), ""ALESP"",
IF(REGEXMATCH(S181, ""Revista Opera""), ""Revista Opera"",
IF(REGEXMATCH(S181, ""SP Escola de Teatro""), ""SP Escola de Teatro"",
IF(REGEXMATCH(S181, ""EMC|Espaço Memóri"&amp;"a Carandiru""), ""EMC Espaço Memória Carandiru"",
IF(REGEXMATCH(S181, ""^RAMOS, Nuno|Nuno Ramos""), ""Nuno Ramos"",
IF(REGEXMATCH(S181, ""^VELOSO, Caetano|Caetano Veloso""), ""YouTube (Caetano Veloso)"",
IF(REGEXMATCH(S181, ""^FATOS REAIS""), ""YouTube ("&amp;"Fatos Reais - Topic)"",
IF(REGEXMATCH(S181, ""^SALA SECRETA""), ""Wordpress (Sala Secreta)"",
PROPER(REGEXEXTRACT(S181, ""^([^.]*)\.""))
))))))))))))))))))))))))))))))))))))))))))))))))))))))))"),"Instagram (Memórias Carandiru)")</f>
        <v>Instagram (Memórias Carandiru)</v>
      </c>
      <c r="N181" s="11" t="s">
        <v>47</v>
      </c>
      <c r="O181" s="14" t="s">
        <v>149</v>
      </c>
      <c r="P181" s="186">
        <v>45857.0</v>
      </c>
      <c r="Q181" s="11" t="s">
        <v>154</v>
      </c>
      <c r="R181" s="70" t="str">
        <f t="shared" si="8"/>
        <v>Aqui</v>
      </c>
      <c r="S181" s="75" t="s">
        <v>894</v>
      </c>
    </row>
    <row r="182">
      <c r="A182" s="11">
        <v>180.0</v>
      </c>
      <c r="B182" s="14" t="s">
        <v>729</v>
      </c>
      <c r="C182" s="122" t="s">
        <v>165</v>
      </c>
      <c r="D182" s="13" t="str">
        <f>IFERROR(__xludf.DUMMYFUNCTION("IF(B182="""","""",IF(OR(
  REGEXMATCH(B182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REGEXMATCH(B182,""público|Imediato|artística|teatral|memória"")
),""Público Imediato"",
IF(REGEXMATCH(B182,""Música|Álbum|Filme|Documentário|Série|Podc"&amp;"ast|Rádio|Audiotour|Entrevista|Reportagem|Crônica|Relatório|Abaixo-assinado|Manifesto|Petição|Poema|Livro|Fotografia|Curta|Live|Webinário|Charge|Leitura pública|Vídeo""),
""Público Mediado"","""")))
"),"Público Imediato")</f>
        <v>Público Imediato</v>
      </c>
      <c r="E182" s="13" t="str">
        <f>IFERROR(__xludf.DUMMYFUNCTION("IF(B182="""","""",IF(OR(
  REGEXMATCH(B182,""Live|Webinário|Virtual""),
  REGEXMATCH(B182,""online"")
),""Virtual"",
IF(REGEXMATCH(B182,""Música|Álbum|Filme|Documentário|Série|Podcast|Rádio|Audiotour|Episódio|Reportagem|Curta|Charge|Livro|Vídeo|Entrevista"&amp;"""),
""Midiático"",
IF(REGEXMATCH(B182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2" s="186">
        <v>45400.0</v>
      </c>
      <c r="G182" s="15">
        <f t="shared" si="1"/>
        <v>2024</v>
      </c>
      <c r="H182" s="14" t="s">
        <v>733</v>
      </c>
      <c r="I182" s="175" t="s">
        <v>895</v>
      </c>
      <c r="J182" s="202" t="s">
        <v>896</v>
      </c>
      <c r="K182" s="16" t="s">
        <v>736</v>
      </c>
      <c r="L182" s="18" t="s">
        <v>489</v>
      </c>
      <c r="M182" s="15" t="str">
        <f>IFERROR(__xludf.DUMMYFUNCTION("IF(REGEXMATCH(S182, ""Companhia das Letras""), ""Companhia das Letras"",
IF(REGEXMATCH(S182, ""Labortexto Editorial""), ""Labortexto Editorial"",
IF(REGEXMATCH(S182, ""Geração Editorial""), ""Geração Editorial"",
IF(REGEXMATCH(S182, ""Editora Imprensa Ofi"&amp;"cial|Imprensa Oficial""), ""Editora Imprensa Oficial"",
IF(REGEXMATCH(S182, ""Folha Online""), ""Folha Online"",
IF(REGEXMATCH(S182, ""FGV DIREITO SP|FGV Direito SP""), ""FGV DIREITO SP"",
IF(REGEXMATCH(S182, ""massacrecarandiru\.org\.br""), ""Memória Mas"&amp;"sacre Carandiru"",
IF(REGEXMATCH(S182, ""Itaú Cultural""), ""YouTube (Itaú Cultural)"",
IF(REGEXMATCH(S182, ""Passa Palavra""), ""Vimeo (Passa Palavra)"",
IF(REGEXMATCH(S182, ""rede2deoutubro\.blogspot""), ""Blogspot (Rede 02 de Outubro)"",
IF(REGEXMATCH("&amp;"S182, ""Rede TVT""), ""YouTube (Rede TVT)"",
IF(REGEXMATCH(S182, ""Esquerda Diário""), ""Esquerda Diário"",
IF(REGEXMATCH(S182, ""GZH""), ""GZH"",
IF(REGEXMATCH(S182, ""TVPUC""), ""TVPUC"",
IF(REGEXMATCH(S182, ""Mídia Ninja.*Facebook""), ""Facebook (Mídia"&amp;" Ninja)"",
IF(REGEXMATCH(S182, ""Memórias Carandiru.*Instagram""), ""Instagram (Memórias Carandiru)"",
IF(REGEXMATCH(S182, ""Frente pelo Desencarceramento SP""), ""YouTube (Frente Pelo Desencarceramento SP)"",
IF(REGEXMATCH(S182, ""TV ABA""), ""YouTube (T"&amp;"V ABA)"",
IF(REGEXMATCH(S182, ""TV SENADO""), ""YouTube (TV Senado)"",
IF(REGEXMATCH(S182, ""Google Arts &amp; Culture""), ""Google Arts &amp; Culture (Memória Massacre Carandiru)"",
IF(REGEXMATCH(S182, ""Anistia Internacional|ANISTIA INTERNACIONAL""), ""Anistia "&amp;"Internacional"",
IF(REGEXMATCH(S182, ""47\.mostra|47a Mostra""), ""47a Mostra Internacional de Cinema em São Paulo"",
IF(REGEXMATCH(S182, ""Canal USP""), ""YouTube (Canal USP)"",
IF(AND(
  REGEXMATCH(S182, ""(?i)(teses?\.usp\.br|dissertacoes?\.usp\.br|rep"&amp;"ositorio\.usp\.br)""),
  NOT(REGEXMATCH(S182, ""Canal USP""))
), ""Biblioteca Digital de Teses e Dissertações da USP"",
IF(REGEXMATCH(S182, ""SINTRAJUSC""), ""SINTRAJUSC"",
IF(REGEXMATCH(S182, ""Agência Brasil|Agencia Brasil""), ""Agência Brasil"",
IF(REG"&amp;"EXMATCH(S182, ""Brasil de Fato""), ""Brasil de Fato"",
IF(REGEXMATCH(S182, ""Ponte Jornalismo|pontejornalismo""), ""Ponte Jornalismo"",
IF(REGEXMATCH(S182, ""letras\.mus\.br|Letras,""), ""Letras"",
IF(REGEXMATCH(S182, ""YouTube|youtube""), 
   ""YouTube "&amp;"(""&amp;
   IF(REGEXMATCH(S182, ""Itaú Cultural""), ""Itaú Cultural"",
   IF(REGEXMATCH(S182, ""Rede TVT""), ""Rede TVT"",
   IF(REGEXMATCH(S182, ""Frente pelo Desencarceramento SP""), ""Frente Pelo Desencarceramento SP"",
   IF(REGEXMATCH(S182, ""TV ABA""), "&amp;"""TV ABA"",
   IF(REGEXMATCH(S182, ""TV SENADO""), ""TV Senado"",
   IF(REGEXMATCH(S182, ""Canal USP""), ""Canal USP"",
   IF(REGEXMATCH(S182, ""Douer, Zack|Zack Douer""), ""Douer Zack"",
   IF(REGEXMATCH(S182, ""PRISIONEIRO 84\.901|PRISIONEIRO 84""), ""P"&amp;"risioneiro 84.901"",
   IF(REGEXMATCH(S182, ""^[^,]*, ""), 
        PROPER(REGEXREPLACE(REGEXEXTRACT(S182, ""^([^.]*)\.""), ""^([^,]*), (.*)"", ""$2 $1"")),
        PROPER(REGEXEXTRACT(S182, ""^([^.]*)\.""))
   )))))))))&amp;"")"",
IF(REGEXMATCH(S182, ""Spot"&amp;"ify|spotify""), 
   ""Spotify (""&amp;
   IF(REGEXMATCH(S182, ""ESTRANHO SORRISO""), ""Estranho Sorriso"",
   PROPER(REGEXEXTRACT(S182, ""^([^.]*)\.""))
   )&amp;"")"",
IF(REGEXMATCH(S182, ""Vimeo|vimeo""), 
   ""Vimeo (""&amp;
   IF(REGEXMATCH(S182, ""Passa Palavra"&amp;"""), ""Passa Palavra"",
   PROPER(REGEXEXTRACT(S182, ""^([^.]*)\.""))
   )&amp;"")"",
IF(REGEXMATCH(S182, ""Blogspot""), 
   ""Blogspot (""&amp;
   IF(REGEXMATCH(S182, ""rede2deoutubro""), ""Rede 02 de Outubro"",
   PROPER(REGEXEXTRACT(S182, ""^([^.]*)\.""))
   "&amp;")&amp;"")"",
IF(REGEXMATCH(S182, ""Facebook""), 
   ""Facebook (""&amp;
   IF(REGEXMATCH(S182, ""Mídia Ninja""), ""Mídia Ninja"",
   PROPER(REGEXEXTRACT(S182, ""^([^.]*)\.""))
   )&amp;"")"",
IF(REGEXMATCH(S182, ""Instagram""), 
   ""Instagram (""&amp;
   IF(REGEXMATCH"&amp;"(S182, ""Memórias Carandiru""), ""Memórias Carandiru"",
   PROPER(REGEXEXTRACT(S182, ""^([^.]*)\.""))
   )&amp;"")"",
IF(REGEXMATCH(S182, ""Folha de S\. Paulo|FOLHA DE S\. PAULO""), ""Folha de S. Paulo"",
IF(REGEXMATCH(S182, ""O Estado de S\. Paulo|ESTADAO"""&amp;"), ""O Estado de S. Paulo"",
IF(REGEXMATCH(S182, ""salasecreta""), ""Wordpress (Sala Secreta)"",
IF(REGEXMATCH(S182, ""Wikipedia|Wikipédia|WIKIPÉDIA""), ""Wikipedia"",
IF(REGEXMATCH(S182, ""VEJA|Veja""), ""Veja Abril"",
IF(REGEXMATCH(S454, ""Rede Globo|RE"&amp;"DE GLOBO""), ""Rede Globo"",
IF(REGEXMATCH(S454, ""G1|globo\.com""), ""G1"",
IF(REGEXMATCH(S182, ""Deutsche Welle|DW\.com""), ""Deutsche Welle"",
IF(REGEXMATCH(S182, ""CIDH|Comissão Interamericana""), ""Comissão Interamericana de Direitos Humanos (CIDH)"""&amp;",
IF(REGEXMATCH(S182, ""Pastoral Carcerária""), ""Pastoral Carcerária"",
IF(REGEXMATCH(S182, ""Esquerda Web""), ""Esquerda Web"",
IF(REGEXMATCH(S182, ""ONU|Organização das Nações Unidas""), ""ONU Brasil"",
IF(REGEXMATCH(S182, ""Quilombo Invisível""), ""Qu"&amp;"ilombo Invisível"",
IF(REGEXMATCH(S182, ""ALESP|Assembleia Legislativa""), ""ALESP"",
IF(REGEXMATCH(S182, ""Revista Opera""), ""Revista Opera"",
IF(REGEXMATCH(S182, ""SP Escola de Teatro""), ""SP Escola de Teatro"",
IF(REGEXMATCH(S182, ""EMC|Espaço Memóri"&amp;"a Carandiru""), ""EMC Espaço Memória Carandiru"",
IF(REGEXMATCH(S182, ""^RAMOS, Nuno|Nuno Ramos""), ""Nuno Ramos"",
IF(REGEXMATCH(S182, ""^VELOSO, Caetano|Caetano Veloso""), ""YouTube (Caetano Veloso)"",
IF(REGEXMATCH(S182, ""^FATOS REAIS""), ""YouTube ("&amp;"Fatos Reais - Topic)"",
IF(REGEXMATCH(S182, ""^SALA SECRETA""), ""Wordpress (Sala Secreta)"",
PROPER(REGEXEXTRACT(S182, ""^([^.]*)\.""))
))))))))))))))))))))))))))))))))))))))))))))))))))))))))"),"Instagram (Memórias Carandiru)")</f>
        <v>Instagram (Memórias Carandiru)</v>
      </c>
      <c r="N182" s="11" t="s">
        <v>47</v>
      </c>
      <c r="O182" s="14" t="s">
        <v>149</v>
      </c>
      <c r="P182" s="186">
        <v>45857.0</v>
      </c>
      <c r="Q182" s="11" t="s">
        <v>154</v>
      </c>
      <c r="R182" s="70" t="str">
        <f t="shared" si="8"/>
        <v>Aqui</v>
      </c>
      <c r="S182" s="75" t="s">
        <v>897</v>
      </c>
    </row>
    <row r="183">
      <c r="A183" s="11">
        <v>181.0</v>
      </c>
      <c r="B183" s="14" t="s">
        <v>799</v>
      </c>
      <c r="C183" s="122" t="s">
        <v>165</v>
      </c>
      <c r="D183" s="13" t="str">
        <f>IFERROR(__xludf.DUMMYFUNCTION("IF(B183="""","""",IF(OR(
  REGEXMATCH(B183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REGEXMATCH(B183,""público|Imediato|artística|teatral|memória"")
),""Público Imediato"",
IF(REGEXMATCH(B183,""Música|Álbum|Filme|Documentário|Série|Podc"&amp;"ast|Rádio|Audiotour|Entrevista|Reportagem|Crônica|Relatório|Abaixo-assinado|Manifesto|Petição|Poema|Livro|Fotografia|Curta|Live|Webinário|Charge|Leitura pública|Vídeo""),
""Público Mediado"","""")))
"),"Público Imediato")</f>
        <v>Público Imediato</v>
      </c>
      <c r="E183" s="13" t="str">
        <f>IFERROR(__xludf.DUMMYFUNCTION("IF(B183="""","""",IF(OR(
  REGEXMATCH(B183,""Live|Webinário|Virtual""),
  REGEXMATCH(B183,""online"")
),""Virtual"",
IF(REGEXMATCH(B183,""Música|Álbum|Filme|Documentário|Série|Podcast|Rádio|Audiotour|Episódio|Reportagem|Curta|Charge|Livro|Vídeo|Entrevista"&amp;"""),
""Midiático"",
IF(REGEXMATCH(B183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3" s="186">
        <v>45409.0</v>
      </c>
      <c r="G183" s="15">
        <f t="shared" si="1"/>
        <v>2024</v>
      </c>
      <c r="H183" s="14" t="s">
        <v>733</v>
      </c>
      <c r="I183" s="175" t="s">
        <v>741</v>
      </c>
      <c r="J183" s="202" t="s">
        <v>898</v>
      </c>
      <c r="K183" s="16" t="s">
        <v>736</v>
      </c>
      <c r="L183" s="18" t="s">
        <v>489</v>
      </c>
      <c r="M183" s="15" t="str">
        <f>IFERROR(__xludf.DUMMYFUNCTION("IF(REGEXMATCH(S183, ""Companhia das Letras""), ""Companhia das Letras"",
IF(REGEXMATCH(S183, ""Labortexto Editorial""), ""Labortexto Editorial"",
IF(REGEXMATCH(S183, ""Geração Editorial""), ""Geração Editorial"",
IF(REGEXMATCH(S183, ""Editora Imprensa Ofi"&amp;"cial|Imprensa Oficial""), ""Editora Imprensa Oficial"",
IF(REGEXMATCH(S183, ""Folha Online""), ""Folha Online"",
IF(REGEXMATCH(S183, ""FGV DIREITO SP|FGV Direito SP""), ""FGV DIREITO SP"",
IF(REGEXMATCH(S183, ""massacrecarandiru\.org\.br""), ""Memória Mas"&amp;"sacre Carandiru"",
IF(REGEXMATCH(S183, ""Itaú Cultural""), ""YouTube (Itaú Cultural)"",
IF(REGEXMATCH(S183, ""Passa Palavra""), ""Vimeo (Passa Palavra)"",
IF(REGEXMATCH(S183, ""rede2deoutubro\.blogspot""), ""Blogspot (Rede 02 de Outubro)"",
IF(REGEXMATCH("&amp;"S183, ""Rede TVT""), ""YouTube (Rede TVT)"",
IF(REGEXMATCH(S183, ""Esquerda Diário""), ""Esquerda Diário"",
IF(REGEXMATCH(S183, ""GZH""), ""GZH"",
IF(REGEXMATCH(S183, ""TVPUC""), ""TVPUC"",
IF(REGEXMATCH(S183, ""Mídia Ninja.*Facebook""), ""Facebook (Mídia"&amp;" Ninja)"",
IF(REGEXMATCH(S183, ""Memórias Carandiru.*Instagram""), ""Instagram (Memórias Carandiru)"",
IF(REGEXMATCH(S183, ""Frente pelo Desencarceramento SP""), ""YouTube (Frente Pelo Desencarceramento SP)"",
IF(REGEXMATCH(S183, ""TV ABA""), ""YouTube (T"&amp;"V ABA)"",
IF(REGEXMATCH(S183, ""TV SENADO""), ""YouTube (TV Senado)"",
IF(REGEXMATCH(S183, ""Google Arts &amp; Culture""), ""Google Arts &amp; Culture (Memória Massacre Carandiru)"",
IF(REGEXMATCH(S183, ""Anistia Internacional|ANISTIA INTERNACIONAL""), ""Anistia "&amp;"Internacional"",
IF(REGEXMATCH(S183, ""47\.mostra|47a Mostra""), ""47a Mostra Internacional de Cinema em São Paulo"",
IF(REGEXMATCH(S183, ""Canal USP""), ""YouTube (Canal USP)"",
IF(AND(
  REGEXMATCH(S183, ""(?i)(teses?\.usp\.br|dissertacoes?\.usp\.br|rep"&amp;"ositorio\.usp\.br)""),
  NOT(REGEXMATCH(S183, ""Canal USP""))
), ""Biblioteca Digital de Teses e Dissertações da USP"",
IF(REGEXMATCH(S183, ""SINTRAJUSC""), ""SINTRAJUSC"",
IF(REGEXMATCH(S183, ""Agência Brasil|Agencia Brasil""), ""Agência Brasil"",
IF(REG"&amp;"EXMATCH(S183, ""Brasil de Fato""), ""Brasil de Fato"",
IF(REGEXMATCH(S183, ""Ponte Jornalismo|pontejornalismo""), ""Ponte Jornalismo"",
IF(REGEXMATCH(S183, ""letras\.mus\.br|Letras,""), ""Letras"",
IF(REGEXMATCH(S183, ""YouTube|youtube""), 
   ""YouTube "&amp;"(""&amp;
   IF(REGEXMATCH(S183, ""Itaú Cultural""), ""Itaú Cultural"",
   IF(REGEXMATCH(S183, ""Rede TVT""), ""Rede TVT"",
   IF(REGEXMATCH(S183, ""Frente pelo Desencarceramento SP""), ""Frente Pelo Desencarceramento SP"",
   IF(REGEXMATCH(S183, ""TV ABA""), "&amp;"""TV ABA"",
   IF(REGEXMATCH(S183, ""TV SENADO""), ""TV Senado"",
   IF(REGEXMATCH(S183, ""Canal USP""), ""Canal USP"",
   IF(REGEXMATCH(S183, ""Douer, Zack|Zack Douer""), ""Douer Zack"",
   IF(REGEXMATCH(S183, ""PRISIONEIRO 84\.901|PRISIONEIRO 84""), ""P"&amp;"risioneiro 84.901"",
   IF(REGEXMATCH(S183, ""^[^,]*, ""), 
        PROPER(REGEXREPLACE(REGEXEXTRACT(S183, ""^([^.]*)\.""), ""^([^,]*), (.*)"", ""$2 $1"")),
        PROPER(REGEXEXTRACT(S183, ""^([^.]*)\.""))
   )))))))))&amp;"")"",
IF(REGEXMATCH(S183, ""Spot"&amp;"ify|spotify""), 
   ""Spotify (""&amp;
   IF(REGEXMATCH(S183, ""ESTRANHO SORRISO""), ""Estranho Sorriso"",
   PROPER(REGEXEXTRACT(S183, ""^([^.]*)\.""))
   )&amp;"")"",
IF(REGEXMATCH(S183, ""Vimeo|vimeo""), 
   ""Vimeo (""&amp;
   IF(REGEXMATCH(S183, ""Passa Palavra"&amp;"""), ""Passa Palavra"",
   PROPER(REGEXEXTRACT(S183, ""^([^.]*)\.""))
   )&amp;"")"",
IF(REGEXMATCH(S183, ""Blogspot""), 
   ""Blogspot (""&amp;
   IF(REGEXMATCH(S183, ""rede2deoutubro""), ""Rede 02 de Outubro"",
   PROPER(REGEXEXTRACT(S183, ""^([^.]*)\.""))
   "&amp;")&amp;"")"",
IF(REGEXMATCH(S183, ""Facebook""), 
   ""Facebook (""&amp;
   IF(REGEXMATCH(S183, ""Mídia Ninja""), ""Mídia Ninja"",
   PROPER(REGEXEXTRACT(S183, ""^([^.]*)\.""))
   )&amp;"")"",
IF(REGEXMATCH(S183, ""Instagram""), 
   ""Instagram (""&amp;
   IF(REGEXMATCH"&amp;"(S183, ""Memórias Carandiru""), ""Memórias Carandiru"",
   PROPER(REGEXEXTRACT(S183, ""^([^.]*)\.""))
   )&amp;"")"",
IF(REGEXMATCH(S183, ""Folha de S\. Paulo|FOLHA DE S\. PAULO""), ""Folha de S. Paulo"",
IF(REGEXMATCH(S183, ""O Estado de S\. Paulo|ESTADAO"""&amp;"), ""O Estado de S. Paulo"",
IF(REGEXMATCH(S183, ""salasecreta""), ""Wordpress (Sala Secreta)"",
IF(REGEXMATCH(S183, ""Wikipedia|Wikipédia|WIKIPÉDIA""), ""Wikipedia"",
IF(REGEXMATCH(S183, ""VEJA|Veja""), ""Veja Abril"",
IF(REGEXMATCH(S455, ""Rede Globo|RE"&amp;"DE GLOBO""), ""Rede Globo"",
IF(REGEXMATCH(S455, ""G1|globo\.com""), ""G1"",
IF(REGEXMATCH(S183, ""Deutsche Welle|DW\.com""), ""Deutsche Welle"",
IF(REGEXMATCH(S183, ""CIDH|Comissão Interamericana""), ""Comissão Interamericana de Direitos Humanos (CIDH)"""&amp;",
IF(REGEXMATCH(S183, ""Pastoral Carcerária""), ""Pastoral Carcerária"",
IF(REGEXMATCH(S183, ""Esquerda Web""), ""Esquerda Web"",
IF(REGEXMATCH(S183, ""ONU|Organização das Nações Unidas""), ""ONU Brasil"",
IF(REGEXMATCH(S183, ""Quilombo Invisível""), ""Qu"&amp;"ilombo Invisível"",
IF(REGEXMATCH(S183, ""ALESP|Assembleia Legislativa""), ""ALESP"",
IF(REGEXMATCH(S183, ""Revista Opera""), ""Revista Opera"",
IF(REGEXMATCH(S183, ""SP Escola de Teatro""), ""SP Escola de Teatro"",
IF(REGEXMATCH(S183, ""EMC|Espaço Memóri"&amp;"a Carandiru""), ""EMC Espaço Memória Carandiru"",
IF(REGEXMATCH(S183, ""^RAMOS, Nuno|Nuno Ramos""), ""Nuno Ramos"",
IF(REGEXMATCH(S183, ""^VELOSO, Caetano|Caetano Veloso""), ""YouTube (Caetano Veloso)"",
IF(REGEXMATCH(S183, ""^FATOS REAIS""), ""YouTube ("&amp;"Fatos Reais - Topic)"",
IF(REGEXMATCH(S183, ""^SALA SECRETA""), ""Wordpress (Sala Secreta)"",
PROPER(REGEXEXTRACT(S183, ""^([^.]*)\.""))
))))))))))))))))))))))))))))))))))))))))))))))))))))))))"),"Instagram (Memórias Carandiru)")</f>
        <v>Instagram (Memórias Carandiru)</v>
      </c>
      <c r="N183" s="11" t="s">
        <v>47</v>
      </c>
      <c r="O183" s="14" t="s">
        <v>149</v>
      </c>
      <c r="P183" s="186">
        <v>45857.0</v>
      </c>
      <c r="Q183" s="11" t="s">
        <v>154</v>
      </c>
      <c r="R183" s="70" t="str">
        <f t="shared" si="8"/>
        <v>Aqui</v>
      </c>
      <c r="S183" s="75" t="s">
        <v>899</v>
      </c>
    </row>
    <row r="184">
      <c r="A184" s="11">
        <v>182.0</v>
      </c>
      <c r="B184" s="14" t="s">
        <v>900</v>
      </c>
      <c r="C184" s="12" t="str">
        <f>IFERROR(__xludf.DUMMYFUNCTION("IF(B184="""","""",IF(OR(
  REGEXMATCH(B184,""Performance|Instalação|Álbum|Música|Poema|Livro|Filme|Documentário|Recitação|Espetáculo|Peça|Intervenção|Desfile|Fotografia|Exposição|Charge|Grafite|Leitura pública|Fabricação de cachaça artesanal""),
  REGEXMA"&amp;"TCH(B184,""dança|teatral|artístico|musical|artística"")
),""Manifestação artístico-cultural"",
IF(OR(
  REGEXMATCH(B184,""Crônica|Série|Reportagem|Podcast|Audiotour|Entrevista|Vídeo|Rádio""),
  REGEXMATCH(B184,""midiática"")
),""Produção midiática"","""")"&amp;"))
"),"Produção midiática")</f>
        <v>Produção midiática</v>
      </c>
      <c r="D184" s="13" t="str">
        <f>IFERROR(__xludf.DUMMYFUNCTION("IF(B184="""","""",IF(OR(
  REGEXMATCH(B184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REGEXMATCH(B184,""público|Imediato|artística|teatral|memória"")
),""Público Imediato"",
IF(REGEXMATCH(B184,""Música|Álbum|Filme|Documentário|Série|Podc"&amp;"ast|Rádio|Audiotour|Entrevista|Reportagem|Crônica|Relatório|Abaixo-assinado|Manifesto|Petição|Poema|Livro|Fotografia|Curta|Live|Webinário|Charge|Leitura pública|Vídeo""),
""Público Mediado"","""")))
"),"Público Mediado")</f>
        <v>Público Mediado</v>
      </c>
      <c r="E184" s="13" t="str">
        <f>IFERROR(__xludf.DUMMYFUNCTION("IF(B184="""","""",IF(OR(
  REGEXMATCH(B184,""Live|Webinário|Virtual""),
  REGEXMATCH(B184,""online"")
),""Virtual"",
IF(REGEXMATCH(B184,""Música|Álbum|Filme|Documentário|Série|Podcast|Rádio|Audiotour|Episódio|Reportagem|Curta|Charge|Livro|Vídeo|Entrevista"&amp;"""),
""Midiático"",
IF(REGEXMATCH(B184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84" s="186">
        <v>45426.0</v>
      </c>
      <c r="G184" s="15">
        <f t="shared" si="1"/>
        <v>2024</v>
      </c>
      <c r="H184" s="181" t="s">
        <v>347</v>
      </c>
      <c r="I184" s="175" t="s">
        <v>901</v>
      </c>
      <c r="J184" s="202" t="s">
        <v>902</v>
      </c>
      <c r="K184" s="16" t="s">
        <v>222</v>
      </c>
      <c r="L184" s="18" t="s">
        <v>106</v>
      </c>
      <c r="M184" s="15" t="str">
        <f>IFERROR(__xludf.DUMMYFUNCTION("IF(REGEXMATCH(S184, ""Companhia das Letras""), ""Companhia das Letras"",
IF(REGEXMATCH(S184, ""Labortexto Editorial""), ""Labortexto Editorial"",
IF(REGEXMATCH(S184, ""Geração Editorial""), ""Geração Editorial"",
IF(REGEXMATCH(S184, ""Editora Imprensa Ofi"&amp;"cial|Imprensa Oficial""), ""Editora Imprensa Oficial"",
IF(REGEXMATCH(S184, ""Folha Online""), ""Folha Online"",
IF(REGEXMATCH(S184, ""FGV DIREITO SP|FGV Direito SP""), ""FGV DIREITO SP"",
IF(REGEXMATCH(S184, ""massacrecarandiru\.org\.br""), ""Memória Mas"&amp;"sacre Carandiru"",
IF(REGEXMATCH(S184, ""Itaú Cultural""), ""YouTube (Itaú Cultural)"",
IF(REGEXMATCH(S184, ""Passa Palavra""), ""Vimeo (Passa Palavra)"",
IF(REGEXMATCH(S184, ""rede2deoutubro\.blogspot""), ""Blogspot (Rede 02 de Outubro)"",
IF(REGEXMATCH("&amp;"S184, ""Rede TVT""), ""YouTube (Rede TVT)"",
IF(REGEXMATCH(S184, ""Esquerda Diário""), ""Esquerda Diário"",
IF(REGEXMATCH(S184, ""GZH""), ""GZH"",
IF(REGEXMATCH(S184, ""TVPUC""), ""TVPUC"",
IF(REGEXMATCH(S184, ""Mídia Ninja.*Facebook""), ""Facebook (Mídia"&amp;" Ninja)"",
IF(REGEXMATCH(S184, ""Memórias Carandiru.*Instagram""), ""Instagram (Memórias Carandiru)"",
IF(REGEXMATCH(S184, ""Frente pelo Desencarceramento SP""), ""YouTube (Frente Pelo Desencarceramento SP)"",
IF(REGEXMATCH(S184, ""TV ABA""), ""YouTube (T"&amp;"V ABA)"",
IF(REGEXMATCH(S184, ""TV SENADO""), ""YouTube (TV Senado)"",
IF(REGEXMATCH(S184, ""Google Arts &amp; Culture""), ""Google Arts &amp; Culture (Memória Massacre Carandiru)"",
IF(REGEXMATCH(S184, ""Anistia Internacional|ANISTIA INTERNACIONAL""), ""Anistia "&amp;"Internacional"",
IF(REGEXMATCH(S184, ""47\.mostra|47a Mostra""), ""47a Mostra Internacional de Cinema em São Paulo"",
IF(REGEXMATCH(S184, ""Canal USP""), ""YouTube (Canal USP)"",
IF(AND(
  REGEXMATCH(S184, ""(?i)(teses?\.usp\.br|dissertacoes?\.usp\.br|rep"&amp;"ositorio\.usp\.br)""),
  NOT(REGEXMATCH(S184, ""Canal USP""))
), ""Biblioteca Digital de Teses e Dissertações da USP"",
IF(REGEXMATCH(S184, ""SINTRAJUSC""), ""SINTRAJUSC"",
IF(REGEXMATCH(S184, ""Agência Brasil|Agencia Brasil""), ""Agência Brasil"",
IF(REG"&amp;"EXMATCH(S184, ""Brasil de Fato""), ""Brasil de Fato"",
IF(REGEXMATCH(S184, ""Ponte Jornalismo|pontejornalismo""), ""Ponte Jornalismo"",
IF(REGEXMATCH(S184, ""letras\.mus\.br|Letras,""), ""Letras"",
IF(REGEXMATCH(S184, ""YouTube|youtube""), 
   ""YouTube "&amp;"(""&amp;
   IF(REGEXMATCH(S184, ""Itaú Cultural""), ""Itaú Cultural"",
   IF(REGEXMATCH(S184, ""Rede TVT""), ""Rede TVT"",
   IF(REGEXMATCH(S184, ""Frente pelo Desencarceramento SP""), ""Frente Pelo Desencarceramento SP"",
   IF(REGEXMATCH(S184, ""TV ABA""), "&amp;"""TV ABA"",
   IF(REGEXMATCH(S184, ""TV SENADO""), ""TV Senado"",
   IF(REGEXMATCH(S184, ""Canal USP""), ""Canal USP"",
   IF(REGEXMATCH(S184, ""Douer, Zack|Zack Douer""), ""Douer Zack"",
   IF(REGEXMATCH(S184, ""PRISIONEIRO 84\.901|PRISIONEIRO 84""), ""P"&amp;"risioneiro 84.901"",
   IF(REGEXMATCH(S184, ""^[^,]*, ""), 
        PROPER(REGEXREPLACE(REGEXEXTRACT(S184, ""^([^.]*)\.""), ""^([^,]*), (.*)"", ""$2 $1"")),
        PROPER(REGEXEXTRACT(S184, ""^([^.]*)\.""))
   )))))))))&amp;"")"",
IF(REGEXMATCH(S184, ""Spot"&amp;"ify|spotify""), 
   ""Spotify (""&amp;
   IF(REGEXMATCH(S184, ""ESTRANHO SORRISO""), ""Estranho Sorriso"",
   PROPER(REGEXEXTRACT(S184, ""^([^.]*)\.""))
   )&amp;"")"",
IF(REGEXMATCH(S184, ""Vimeo|vimeo""), 
   ""Vimeo (""&amp;
   IF(REGEXMATCH(S184, ""Passa Palavra"&amp;"""), ""Passa Palavra"",
   PROPER(REGEXEXTRACT(S184, ""^([^.]*)\.""))
   )&amp;"")"",
IF(REGEXMATCH(S184, ""Blogspot""), 
   ""Blogspot (""&amp;
   IF(REGEXMATCH(S184, ""rede2deoutubro""), ""Rede 02 de Outubro"",
   PROPER(REGEXEXTRACT(S184, ""^([^.]*)\.""))
   "&amp;")&amp;"")"",
IF(REGEXMATCH(S184, ""Facebook""), 
   ""Facebook (""&amp;
   IF(REGEXMATCH(S184, ""Mídia Ninja""), ""Mídia Ninja"",
   PROPER(REGEXEXTRACT(S184, ""^([^.]*)\.""))
   )&amp;"")"",
IF(REGEXMATCH(S184, ""Instagram""), 
   ""Instagram (""&amp;
   IF(REGEXMATCH"&amp;"(S184, ""Memórias Carandiru""), ""Memórias Carandiru"",
   PROPER(REGEXEXTRACT(S184, ""^([^.]*)\.""))
   )&amp;"")"",
IF(REGEXMATCH(S184, ""Folha de S\. Paulo|FOLHA DE S\. PAULO""), ""Folha de S. Paulo"",
IF(REGEXMATCH(S184, ""O Estado de S\. Paulo|ESTADAO"""&amp;"), ""O Estado de S. Paulo"",
IF(REGEXMATCH(S184, ""salasecreta""), ""Wordpress (Sala Secreta)"",
IF(REGEXMATCH(S184, ""Wikipedia|Wikipédia|WIKIPÉDIA""), ""Wikipedia"",
IF(REGEXMATCH(S184, ""VEJA|Veja""), ""Veja Abril"",
IF(REGEXMATCH(S456, ""Rede Globo|RE"&amp;"DE GLOBO""), ""Rede Globo"",
IF(REGEXMATCH(S456, ""G1|globo\.com""), ""G1"",
IF(REGEXMATCH(S184, ""Deutsche Welle|DW\.com""), ""Deutsche Welle"",
IF(REGEXMATCH(S184, ""CIDH|Comissão Interamericana""), ""Comissão Interamericana de Direitos Humanos (CIDH)"""&amp;",
IF(REGEXMATCH(S184, ""Pastoral Carcerária""), ""Pastoral Carcerária"",
IF(REGEXMATCH(S184, ""Esquerda Web""), ""Esquerda Web"",
IF(REGEXMATCH(S184, ""ONU|Organização das Nações Unidas""), ""ONU Brasil"",
IF(REGEXMATCH(S184, ""Quilombo Invisível""), ""Qu"&amp;"ilombo Invisível"",
IF(REGEXMATCH(S184, ""ALESP|Assembleia Legislativa""), ""ALESP"",
IF(REGEXMATCH(S184, ""Revista Opera""), ""Revista Opera"",
IF(REGEXMATCH(S184, ""SP Escola de Teatro""), ""SP Escola de Teatro"",
IF(REGEXMATCH(S184, ""EMC|Espaço Memóri"&amp;"a Carandiru""), ""EMC Espaço Memória Carandiru"",
IF(REGEXMATCH(S184, ""^RAMOS, Nuno|Nuno Ramos""), ""Nuno Ramos"",
IF(REGEXMATCH(S184, ""^VELOSO, Caetano|Caetano Veloso""), ""YouTube (Caetano Veloso)"",
IF(REGEXMATCH(S184, ""^FATOS REAIS""), ""YouTube ("&amp;"Fatos Reais - Topic)"",
IF(REGEXMATCH(S184, ""^SALA SECRETA""), ""Wordpress (Sala Secreta)"",
PROPER(REGEXEXTRACT(S184, ""^([^.]*)\.""))
))))))))))))))))))))))))))))))))))))))))))))))))))))))))"),"Spotify (Cola Na Grade)")</f>
        <v>Spotify (Cola Na Grade)</v>
      </c>
      <c r="N184" s="11" t="s">
        <v>47</v>
      </c>
      <c r="O184" s="14" t="s">
        <v>149</v>
      </c>
      <c r="P184" s="186">
        <v>45857.0</v>
      </c>
      <c r="Q184" s="11" t="s">
        <v>154</v>
      </c>
      <c r="R184" s="70" t="str">
        <f t="shared" si="8"/>
        <v>Aqui</v>
      </c>
      <c r="S184" s="75" t="s">
        <v>903</v>
      </c>
    </row>
    <row r="185">
      <c r="A185" s="11">
        <v>183.0</v>
      </c>
      <c r="B185" s="14" t="s">
        <v>799</v>
      </c>
      <c r="C185" s="122" t="s">
        <v>165</v>
      </c>
      <c r="D185" s="13" t="str">
        <f>IFERROR(__xludf.DUMMYFUNCTION("IF(B185="""","""",IF(OR(
  REGEXMATCH(B185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REGEXMATCH(B185,""público|Imediato|artística|teatral|memória"")
),""Público Imediato"",
IF(REGEXMATCH(B185,""Música|Álbum|Filme|Documentário|Série|Podc"&amp;"ast|Rádio|Audiotour|Entrevista|Reportagem|Crônica|Relatório|Abaixo-assinado|Manifesto|Petição|Poema|Livro|Fotografia|Curta|Live|Webinário|Charge|Leitura pública|Vídeo""),
""Público Mediado"","""")))
"),"Público Imediato")</f>
        <v>Público Imediato</v>
      </c>
      <c r="E185" s="13" t="str">
        <f>IFERROR(__xludf.DUMMYFUNCTION("IF(B185="""","""",IF(OR(
  REGEXMATCH(B185,""Live|Webinário|Virtual""),
  REGEXMATCH(B185,""online"")
),""Virtual"",
IF(REGEXMATCH(B185,""Música|Álbum|Filme|Documentário|Série|Podcast|Rádio|Audiotour|Episódio|Reportagem|Curta|Charge|Livro|Vídeo|Entrevista"&amp;"""),
""Midiático"",
IF(REGEXMATCH(B185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5" s="186">
        <v>45427.0</v>
      </c>
      <c r="G185" s="15">
        <f t="shared" si="1"/>
        <v>2024</v>
      </c>
      <c r="H185" s="14" t="s">
        <v>603</v>
      </c>
      <c r="I185" s="175" t="s">
        <v>741</v>
      </c>
      <c r="J185" s="202" t="s">
        <v>904</v>
      </c>
      <c r="K185" s="16" t="s">
        <v>736</v>
      </c>
      <c r="L185" s="18" t="s">
        <v>489</v>
      </c>
      <c r="M185" s="15" t="str">
        <f>IFERROR(__xludf.DUMMYFUNCTION("IF(REGEXMATCH(S185, ""Companhia das Letras""), ""Companhia das Letras"",
IF(REGEXMATCH(S185, ""Labortexto Editorial""), ""Labortexto Editorial"",
IF(REGEXMATCH(S185, ""Geração Editorial""), ""Geração Editorial"",
IF(REGEXMATCH(S185, ""Editora Imprensa Ofi"&amp;"cial|Imprensa Oficial""), ""Editora Imprensa Oficial"",
IF(REGEXMATCH(S185, ""Folha Online""), ""Folha Online"",
IF(REGEXMATCH(S185, ""FGV DIREITO SP|FGV Direito SP""), ""FGV DIREITO SP"",
IF(REGEXMATCH(S185, ""massacrecarandiru\.org\.br""), ""Memória Mas"&amp;"sacre Carandiru"",
IF(REGEXMATCH(S185, ""Itaú Cultural""), ""YouTube (Itaú Cultural)"",
IF(REGEXMATCH(S185, ""Passa Palavra""), ""Vimeo (Passa Palavra)"",
IF(REGEXMATCH(S185, ""rede2deoutubro\.blogspot""), ""Blogspot (Rede 02 de Outubro)"",
IF(REGEXMATCH("&amp;"S185, ""Rede TVT""), ""YouTube (Rede TVT)"",
IF(REGEXMATCH(S185, ""Esquerda Diário""), ""Esquerda Diário"",
IF(REGEXMATCH(S185, ""GZH""), ""GZH"",
IF(REGEXMATCH(S185, ""TVPUC""), ""TVPUC"",
IF(REGEXMATCH(S185, ""Mídia Ninja.*Facebook""), ""Facebook (Mídia"&amp;" Ninja)"",
IF(REGEXMATCH(S185, ""Memórias Carandiru.*Instagram""), ""Instagram (Memórias Carandiru)"",
IF(REGEXMATCH(S185, ""Frente pelo Desencarceramento SP""), ""YouTube (Frente Pelo Desencarceramento SP)"",
IF(REGEXMATCH(S185, ""TV ABA""), ""YouTube (T"&amp;"V ABA)"",
IF(REGEXMATCH(S185, ""TV SENADO""), ""YouTube (TV Senado)"",
IF(REGEXMATCH(S185, ""Google Arts &amp; Culture""), ""Google Arts &amp; Culture (Memória Massacre Carandiru)"",
IF(REGEXMATCH(S185, ""Anistia Internacional|ANISTIA INTERNACIONAL""), ""Anistia "&amp;"Internacional"",
IF(REGEXMATCH(S185, ""47\.mostra|47a Mostra""), ""47a Mostra Internacional de Cinema em São Paulo"",
IF(REGEXMATCH(S185, ""Canal USP""), ""YouTube (Canal USP)"",
IF(AND(
  REGEXMATCH(S185, ""(?i)(teses?\.usp\.br|dissertacoes?\.usp\.br|rep"&amp;"ositorio\.usp\.br)""),
  NOT(REGEXMATCH(S185, ""Canal USP""))
), ""Biblioteca Digital de Teses e Dissertações da USP"",
IF(REGEXMATCH(S185, ""SINTRAJUSC""), ""SINTRAJUSC"",
IF(REGEXMATCH(S185, ""Agência Brasil|Agencia Brasil""), ""Agência Brasil"",
IF(REG"&amp;"EXMATCH(S185, ""Brasil de Fato""), ""Brasil de Fato"",
IF(REGEXMATCH(S185, ""Ponte Jornalismo|pontejornalismo""), ""Ponte Jornalismo"",
IF(REGEXMATCH(S185, ""letras\.mus\.br|Letras,""), ""Letras"",
IF(REGEXMATCH(S185, ""YouTube|youtube""), 
   ""YouTube "&amp;"(""&amp;
   IF(REGEXMATCH(S185, ""Itaú Cultural""), ""Itaú Cultural"",
   IF(REGEXMATCH(S185, ""Rede TVT""), ""Rede TVT"",
   IF(REGEXMATCH(S185, ""Frente pelo Desencarceramento SP""), ""Frente Pelo Desencarceramento SP"",
   IF(REGEXMATCH(S185, ""TV ABA""), "&amp;"""TV ABA"",
   IF(REGEXMATCH(S185, ""TV SENADO""), ""TV Senado"",
   IF(REGEXMATCH(S185, ""Canal USP""), ""Canal USP"",
   IF(REGEXMATCH(S185, ""Douer, Zack|Zack Douer""), ""Douer Zack"",
   IF(REGEXMATCH(S185, ""PRISIONEIRO 84\.901|PRISIONEIRO 84""), ""P"&amp;"risioneiro 84.901"",
   IF(REGEXMATCH(S185, ""^[^,]*, ""), 
        PROPER(REGEXREPLACE(REGEXEXTRACT(S185, ""^([^.]*)\.""), ""^([^,]*), (.*)"", ""$2 $1"")),
        PROPER(REGEXEXTRACT(S185, ""^([^.]*)\.""))
   )))))))))&amp;"")"",
IF(REGEXMATCH(S185, ""Spot"&amp;"ify|spotify""), 
   ""Spotify (""&amp;
   IF(REGEXMATCH(S185, ""ESTRANHO SORRISO""), ""Estranho Sorriso"",
   PROPER(REGEXEXTRACT(S185, ""^([^.]*)\.""))
   )&amp;"")"",
IF(REGEXMATCH(S185, ""Vimeo|vimeo""), 
   ""Vimeo (""&amp;
   IF(REGEXMATCH(S185, ""Passa Palavra"&amp;"""), ""Passa Palavra"",
   PROPER(REGEXEXTRACT(S185, ""^([^.]*)\.""))
   )&amp;"")"",
IF(REGEXMATCH(S185, ""Blogspot""), 
   ""Blogspot (""&amp;
   IF(REGEXMATCH(S185, ""rede2deoutubro""), ""Rede 02 de Outubro"",
   PROPER(REGEXEXTRACT(S185, ""^([^.]*)\.""))
   "&amp;")&amp;"")"",
IF(REGEXMATCH(S185, ""Facebook""), 
   ""Facebook (""&amp;
   IF(REGEXMATCH(S185, ""Mídia Ninja""), ""Mídia Ninja"",
   PROPER(REGEXEXTRACT(S185, ""^([^.]*)\.""))
   )&amp;"")"",
IF(REGEXMATCH(S185, ""Instagram""), 
   ""Instagram (""&amp;
   IF(REGEXMATCH"&amp;"(S185, ""Memórias Carandiru""), ""Memórias Carandiru"",
   PROPER(REGEXEXTRACT(S185, ""^([^.]*)\.""))
   )&amp;"")"",
IF(REGEXMATCH(S185, ""Folha de S\. Paulo|FOLHA DE S\. PAULO""), ""Folha de S. Paulo"",
IF(REGEXMATCH(S185, ""O Estado de S\. Paulo|ESTADAO"""&amp;"), ""O Estado de S. Paulo"",
IF(REGEXMATCH(S185, ""salasecreta""), ""Wordpress (Sala Secreta)"",
IF(REGEXMATCH(S185, ""Wikipedia|Wikipédia|WIKIPÉDIA""), ""Wikipedia"",
IF(REGEXMATCH(S185, ""VEJA|Veja""), ""Veja Abril"",
IF(REGEXMATCH(S457, ""Rede Globo|RE"&amp;"DE GLOBO""), ""Rede Globo"",
IF(REGEXMATCH(S457, ""G1|globo\.com""), ""G1"",
IF(REGEXMATCH(S185, ""Deutsche Welle|DW\.com""), ""Deutsche Welle"",
IF(REGEXMATCH(S185, ""CIDH|Comissão Interamericana""), ""Comissão Interamericana de Direitos Humanos (CIDH)"""&amp;",
IF(REGEXMATCH(S185, ""Pastoral Carcerária""), ""Pastoral Carcerária"",
IF(REGEXMATCH(S185, ""Esquerda Web""), ""Esquerda Web"",
IF(REGEXMATCH(S185, ""ONU|Organização das Nações Unidas""), ""ONU Brasil"",
IF(REGEXMATCH(S185, ""Quilombo Invisível""), ""Qu"&amp;"ilombo Invisível"",
IF(REGEXMATCH(S185, ""ALESP|Assembleia Legislativa""), ""ALESP"",
IF(REGEXMATCH(S185, ""Revista Opera""), ""Revista Opera"",
IF(REGEXMATCH(S185, ""SP Escola de Teatro""), ""SP Escola de Teatro"",
IF(REGEXMATCH(S185, ""EMC|Espaço Memóri"&amp;"a Carandiru""), ""EMC Espaço Memória Carandiru"",
IF(REGEXMATCH(S185, ""^RAMOS, Nuno|Nuno Ramos""), ""Nuno Ramos"",
IF(REGEXMATCH(S185, ""^VELOSO, Caetano|Caetano Veloso""), ""YouTube (Caetano Veloso)"",
IF(REGEXMATCH(S185, ""^FATOS REAIS""), ""YouTube ("&amp;"Fatos Reais - Topic)"",
IF(REGEXMATCH(S185, ""^SALA SECRETA""), ""Wordpress (Sala Secreta)"",
PROPER(REGEXEXTRACT(S185, ""^([^.]*)\.""))
))))))))))))))))))))))))))))))))))))))))))))))))))))))))"),"Instagram (Memórias Carandiru)")</f>
        <v>Instagram (Memórias Carandiru)</v>
      </c>
      <c r="N185" s="11" t="s">
        <v>47</v>
      </c>
      <c r="O185" s="14" t="s">
        <v>149</v>
      </c>
      <c r="P185" s="186">
        <v>45857.0</v>
      </c>
      <c r="Q185" s="11" t="s">
        <v>154</v>
      </c>
      <c r="R185" s="70" t="str">
        <f t="shared" si="8"/>
        <v>Aqui</v>
      </c>
      <c r="S185" s="75" t="s">
        <v>905</v>
      </c>
    </row>
    <row r="186">
      <c r="A186" s="11">
        <v>184.0</v>
      </c>
      <c r="B186" s="14" t="s">
        <v>799</v>
      </c>
      <c r="C186" s="122" t="s">
        <v>165</v>
      </c>
      <c r="D186" s="13" t="str">
        <f>IFERROR(__xludf.DUMMYFUNCTION("IF(B186="""","""",IF(OR(
  REGEXMATCH(B186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REGEXMATCH(B186,""público|Imediato|artística|teatral|memória"")
),""Público Imediato"",
IF(REGEXMATCH(B186,""Música|Álbum|Filme|Documentário|Série|Podc"&amp;"ast|Rádio|Audiotour|Entrevista|Reportagem|Crônica|Relatório|Abaixo-assinado|Manifesto|Petição|Poema|Livro|Fotografia|Curta|Live|Webinário|Charge|Leitura pública|Vídeo""),
""Público Mediado"","""")))
"),"Público Imediato")</f>
        <v>Público Imediato</v>
      </c>
      <c r="E186" s="13" t="str">
        <f>IFERROR(__xludf.DUMMYFUNCTION("IF(B186="""","""",IF(OR(
  REGEXMATCH(B186,""Live|Webinário|Virtual""),
  REGEXMATCH(B186,""online"")
),""Virtual"",
IF(REGEXMATCH(B186,""Música|Álbum|Filme|Documentário|Série|Podcast|Rádio|Audiotour|Episódio|Reportagem|Curta|Charge|Livro|Vídeo|Entrevista"&amp;"""),
""Midiático"",
IF(REGEXMATCH(B186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6" s="186">
        <v>45432.0</v>
      </c>
      <c r="G186" s="15">
        <f t="shared" si="1"/>
        <v>2024</v>
      </c>
      <c r="H186" s="14" t="s">
        <v>603</v>
      </c>
      <c r="I186" s="175" t="s">
        <v>741</v>
      </c>
      <c r="J186" s="202" t="s">
        <v>906</v>
      </c>
      <c r="K186" s="16" t="s">
        <v>736</v>
      </c>
      <c r="L186" s="18" t="s">
        <v>489</v>
      </c>
      <c r="M186" s="15" t="str">
        <f>IFERROR(__xludf.DUMMYFUNCTION("IF(REGEXMATCH(S186, ""Companhia das Letras""), ""Companhia das Letras"",
IF(REGEXMATCH(S186, ""Labortexto Editorial""), ""Labortexto Editorial"",
IF(REGEXMATCH(S186, ""Geração Editorial""), ""Geração Editorial"",
IF(REGEXMATCH(S186, ""Editora Imprensa Ofi"&amp;"cial|Imprensa Oficial""), ""Editora Imprensa Oficial"",
IF(REGEXMATCH(S186, ""Folha Online""), ""Folha Online"",
IF(REGEXMATCH(S186, ""FGV DIREITO SP|FGV Direito SP""), ""FGV DIREITO SP"",
IF(REGEXMATCH(S186, ""massacrecarandiru\.org\.br""), ""Memória Mas"&amp;"sacre Carandiru"",
IF(REGEXMATCH(S186, ""Itaú Cultural""), ""YouTube (Itaú Cultural)"",
IF(REGEXMATCH(S186, ""Passa Palavra""), ""Vimeo (Passa Palavra)"",
IF(REGEXMATCH(S186, ""rede2deoutubro\.blogspot""), ""Blogspot (Rede 02 de Outubro)"",
IF(REGEXMATCH("&amp;"S186, ""Rede TVT""), ""YouTube (Rede TVT)"",
IF(REGEXMATCH(S186, ""Esquerda Diário""), ""Esquerda Diário"",
IF(REGEXMATCH(S186, ""GZH""), ""GZH"",
IF(REGEXMATCH(S186, ""TVPUC""), ""TVPUC"",
IF(REGEXMATCH(S186, ""Mídia Ninja.*Facebook""), ""Facebook (Mídia"&amp;" Ninja)"",
IF(REGEXMATCH(S186, ""Memórias Carandiru.*Instagram""), ""Instagram (Memórias Carandiru)"",
IF(REGEXMATCH(S186, ""Frente pelo Desencarceramento SP""), ""YouTube (Frente Pelo Desencarceramento SP)"",
IF(REGEXMATCH(S186, ""TV ABA""), ""YouTube (T"&amp;"V ABA)"",
IF(REGEXMATCH(S186, ""TV SENADO""), ""YouTube (TV Senado)"",
IF(REGEXMATCH(S186, ""Google Arts &amp; Culture""), ""Google Arts &amp; Culture (Memória Massacre Carandiru)"",
IF(REGEXMATCH(S186, ""Anistia Internacional|ANISTIA INTERNACIONAL""), ""Anistia "&amp;"Internacional"",
IF(REGEXMATCH(S186, ""47\.mostra|47a Mostra""), ""47a Mostra Internacional de Cinema em São Paulo"",
IF(REGEXMATCH(S186, ""Canal USP""), ""YouTube (Canal USP)"",
IF(AND(
  REGEXMATCH(S186, ""(?i)(teses?\.usp\.br|dissertacoes?\.usp\.br|rep"&amp;"ositorio\.usp\.br)""),
  NOT(REGEXMATCH(S186, ""Canal USP""))
), ""Biblioteca Digital de Teses e Dissertações da USP"",
IF(REGEXMATCH(S186, ""SINTRAJUSC""), ""SINTRAJUSC"",
IF(REGEXMATCH(S186, ""Agência Brasil|Agencia Brasil""), ""Agência Brasil"",
IF(REG"&amp;"EXMATCH(S186, ""Brasil de Fato""), ""Brasil de Fato"",
IF(REGEXMATCH(S186, ""Ponte Jornalismo|pontejornalismo""), ""Ponte Jornalismo"",
IF(REGEXMATCH(S186, ""letras\.mus\.br|Letras,""), ""Letras"",
IF(REGEXMATCH(S186, ""YouTube|youtube""), 
   ""YouTube "&amp;"(""&amp;
   IF(REGEXMATCH(S186, ""Itaú Cultural""), ""Itaú Cultural"",
   IF(REGEXMATCH(S186, ""Rede TVT""), ""Rede TVT"",
   IF(REGEXMATCH(S186, ""Frente pelo Desencarceramento SP""), ""Frente Pelo Desencarceramento SP"",
   IF(REGEXMATCH(S186, ""TV ABA""), "&amp;"""TV ABA"",
   IF(REGEXMATCH(S186, ""TV SENADO""), ""TV Senado"",
   IF(REGEXMATCH(S186, ""Canal USP""), ""Canal USP"",
   IF(REGEXMATCH(S186, ""Douer, Zack|Zack Douer""), ""Douer Zack"",
   IF(REGEXMATCH(S186, ""PRISIONEIRO 84\.901|PRISIONEIRO 84""), ""P"&amp;"risioneiro 84.901"",
   IF(REGEXMATCH(S186, ""^[^,]*, ""), 
        PROPER(REGEXREPLACE(REGEXEXTRACT(S186, ""^([^.]*)\.""), ""^([^,]*), (.*)"", ""$2 $1"")),
        PROPER(REGEXEXTRACT(S186, ""^([^.]*)\.""))
   )))))))))&amp;"")"",
IF(REGEXMATCH(S186, ""Spot"&amp;"ify|spotify""), 
   ""Spotify (""&amp;
   IF(REGEXMATCH(S186, ""ESTRANHO SORRISO""), ""Estranho Sorriso"",
   PROPER(REGEXEXTRACT(S186, ""^([^.]*)\.""))
   )&amp;"")"",
IF(REGEXMATCH(S186, ""Vimeo|vimeo""), 
   ""Vimeo (""&amp;
   IF(REGEXMATCH(S186, ""Passa Palavra"&amp;"""), ""Passa Palavra"",
   PROPER(REGEXEXTRACT(S186, ""^([^.]*)\.""))
   )&amp;"")"",
IF(REGEXMATCH(S186, ""Blogspot""), 
   ""Blogspot (""&amp;
   IF(REGEXMATCH(S186, ""rede2deoutubro""), ""Rede 02 de Outubro"",
   PROPER(REGEXEXTRACT(S186, ""^([^.]*)\.""))
   "&amp;")&amp;"")"",
IF(REGEXMATCH(S186, ""Facebook""), 
   ""Facebook (""&amp;
   IF(REGEXMATCH(S186, ""Mídia Ninja""), ""Mídia Ninja"",
   PROPER(REGEXEXTRACT(S186, ""^([^.]*)\.""))
   )&amp;"")"",
IF(REGEXMATCH(S186, ""Instagram""), 
   ""Instagram (""&amp;
   IF(REGEXMATCH"&amp;"(S186, ""Memórias Carandiru""), ""Memórias Carandiru"",
   PROPER(REGEXEXTRACT(S186, ""^([^.]*)\.""))
   )&amp;"")"",
IF(REGEXMATCH(S186, ""Folha de S\. Paulo|FOLHA DE S\. PAULO""), ""Folha de S. Paulo"",
IF(REGEXMATCH(S186, ""O Estado de S\. Paulo|ESTADAO"""&amp;"), ""O Estado de S. Paulo"",
IF(REGEXMATCH(S186, ""salasecreta""), ""Wordpress (Sala Secreta)"",
IF(REGEXMATCH(S186, ""Wikipedia|Wikipédia|WIKIPÉDIA""), ""Wikipedia"",
IF(REGEXMATCH(S186, ""VEJA|Veja""), ""Veja Abril"",
IF(REGEXMATCH(S458, ""Rede Globo|RE"&amp;"DE GLOBO""), ""Rede Globo"",
IF(REGEXMATCH(S458, ""G1|globo\.com""), ""G1"",
IF(REGEXMATCH(S186, ""Deutsche Welle|DW\.com""), ""Deutsche Welle"",
IF(REGEXMATCH(S186, ""CIDH|Comissão Interamericana""), ""Comissão Interamericana de Direitos Humanos (CIDH)"""&amp;",
IF(REGEXMATCH(S186, ""Pastoral Carcerária""), ""Pastoral Carcerária"",
IF(REGEXMATCH(S186, ""Esquerda Web""), ""Esquerda Web"",
IF(REGEXMATCH(S186, ""ONU|Organização das Nações Unidas""), ""ONU Brasil"",
IF(REGEXMATCH(S186, ""Quilombo Invisível""), ""Qu"&amp;"ilombo Invisível"",
IF(REGEXMATCH(S186, ""ALESP|Assembleia Legislativa""), ""ALESP"",
IF(REGEXMATCH(S186, ""Revista Opera""), ""Revista Opera"",
IF(REGEXMATCH(S186, ""SP Escola de Teatro""), ""SP Escola de Teatro"",
IF(REGEXMATCH(S186, ""EMC|Espaço Memóri"&amp;"a Carandiru""), ""EMC Espaço Memória Carandiru"",
IF(REGEXMATCH(S186, ""^RAMOS, Nuno|Nuno Ramos""), ""Nuno Ramos"",
IF(REGEXMATCH(S186, ""^VELOSO, Caetano|Caetano Veloso""), ""YouTube (Caetano Veloso)"",
IF(REGEXMATCH(S186, ""^FATOS REAIS""), ""YouTube ("&amp;"Fatos Reais - Topic)"",
IF(REGEXMATCH(S186, ""^SALA SECRETA""), ""Wordpress (Sala Secreta)"",
PROPER(REGEXEXTRACT(S186, ""^([^.]*)\.""))
))))))))))))))))))))))))))))))))))))))))))))))))))))))))"),"Instagram (Memórias Carandiru)")</f>
        <v>Instagram (Memórias Carandiru)</v>
      </c>
      <c r="N186" s="11" t="s">
        <v>47</v>
      </c>
      <c r="O186" s="14" t="s">
        <v>149</v>
      </c>
      <c r="P186" s="186">
        <v>45857.0</v>
      </c>
      <c r="Q186" s="11" t="s">
        <v>154</v>
      </c>
      <c r="R186" s="70" t="str">
        <f t="shared" si="8"/>
        <v>Aqui</v>
      </c>
      <c r="S186" s="75" t="s">
        <v>907</v>
      </c>
    </row>
    <row r="187">
      <c r="A187" s="11">
        <v>185.0</v>
      </c>
      <c r="B187" s="14" t="s">
        <v>812</v>
      </c>
      <c r="C187" s="122" t="s">
        <v>165</v>
      </c>
      <c r="D187" s="13" t="str">
        <f>IFERROR(__xludf.DUMMYFUNCTION("IF(B187="""","""",IF(OR(
  REGEXMATCH(B187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REGEXMATCH(B187,""público|Imediato|artística|teatral|memória"")
),""Público Imediato"",
IF(REGEXMATCH(B187,""Música|Álbum|Filme|Documentário|Série|Podc"&amp;"ast|Rádio|Audiotour|Entrevista|Reportagem|Crônica|Relatório|Abaixo-assinado|Manifesto|Petição|Poema|Livro|Fotografia|Curta|Live|Webinário|Charge|Leitura pública|Vídeo""),
""Público Mediado"","""")))
"),"Público Imediato")</f>
        <v>Público Imediato</v>
      </c>
      <c r="E187" s="13" t="str">
        <f>IFERROR(__xludf.DUMMYFUNCTION("IF(B187="""","""",IF(OR(
  REGEXMATCH(B187,""Live|Webinário|Virtual""),
  REGEXMATCH(B187,""online"")
),""Virtual"",
IF(REGEXMATCH(B187,""Música|Álbum|Filme|Documentário|Série|Podcast|Rádio|Audiotour|Episódio|Reportagem|Curta|Charge|Livro|Vídeo|Entrevista"&amp;"""),
""Midiático"",
IF(REGEXMATCH(B187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7" s="186">
        <v>45457.0</v>
      </c>
      <c r="G187" s="15">
        <f t="shared" si="1"/>
        <v>2024</v>
      </c>
      <c r="H187" s="14" t="s">
        <v>842</v>
      </c>
      <c r="I187" s="175" t="s">
        <v>741</v>
      </c>
      <c r="J187" s="202" t="s">
        <v>908</v>
      </c>
      <c r="K187" s="16" t="s">
        <v>736</v>
      </c>
      <c r="L187" s="18" t="s">
        <v>489</v>
      </c>
      <c r="M187" s="15" t="str">
        <f>IFERROR(__xludf.DUMMYFUNCTION("IF(REGEXMATCH(S187, ""Companhia das Letras""), ""Companhia das Letras"",
IF(REGEXMATCH(S187, ""Labortexto Editorial""), ""Labortexto Editorial"",
IF(REGEXMATCH(S187, ""Geração Editorial""), ""Geração Editorial"",
IF(REGEXMATCH(S187, ""Editora Imprensa Ofi"&amp;"cial|Imprensa Oficial""), ""Editora Imprensa Oficial"",
IF(REGEXMATCH(S187, ""Folha Online""), ""Folha Online"",
IF(REGEXMATCH(S187, ""FGV DIREITO SP|FGV Direito SP""), ""FGV DIREITO SP"",
IF(REGEXMATCH(S187, ""massacrecarandiru\.org\.br""), ""Memória Mas"&amp;"sacre Carandiru"",
IF(REGEXMATCH(S187, ""Itaú Cultural""), ""YouTube (Itaú Cultural)"",
IF(REGEXMATCH(S187, ""Passa Palavra""), ""Vimeo (Passa Palavra)"",
IF(REGEXMATCH(S187, ""rede2deoutubro\.blogspot""), ""Blogspot (Rede 02 de Outubro)"",
IF(REGEXMATCH("&amp;"S187, ""Rede TVT""), ""YouTube (Rede TVT)"",
IF(REGEXMATCH(S187, ""Esquerda Diário""), ""Esquerda Diário"",
IF(REGEXMATCH(S187, ""GZH""), ""GZH"",
IF(REGEXMATCH(S187, ""TVPUC""), ""TVPUC"",
IF(REGEXMATCH(S187, ""Mídia Ninja.*Facebook""), ""Facebook (Mídia"&amp;" Ninja)"",
IF(REGEXMATCH(S187, ""Memórias Carandiru.*Instagram""), ""Instagram (Memórias Carandiru)"",
IF(REGEXMATCH(S187, ""Frente pelo Desencarceramento SP""), ""YouTube (Frente Pelo Desencarceramento SP)"",
IF(REGEXMATCH(S187, ""TV ABA""), ""YouTube (T"&amp;"V ABA)"",
IF(REGEXMATCH(S187, ""TV SENADO""), ""YouTube (TV Senado)"",
IF(REGEXMATCH(S187, ""Google Arts &amp; Culture""), ""Google Arts &amp; Culture (Memória Massacre Carandiru)"",
IF(REGEXMATCH(S187, ""Anistia Internacional|ANISTIA INTERNACIONAL""), ""Anistia "&amp;"Internacional"",
IF(REGEXMATCH(S187, ""47\.mostra|47a Mostra""), ""47a Mostra Internacional de Cinema em São Paulo"",
IF(REGEXMATCH(S187, ""Canal USP""), ""YouTube (Canal USP)"",
IF(AND(
  REGEXMATCH(S187, ""(?i)(teses?\.usp\.br|dissertacoes?\.usp\.br|rep"&amp;"ositorio\.usp\.br)""),
  NOT(REGEXMATCH(S187, ""Canal USP""))
), ""Biblioteca Digital de Teses e Dissertações da USP"",
IF(REGEXMATCH(S187, ""SINTRAJUSC""), ""SINTRAJUSC"",
IF(REGEXMATCH(S187, ""Agência Brasil|Agencia Brasil""), ""Agência Brasil"",
IF(REG"&amp;"EXMATCH(S187, ""Brasil de Fato""), ""Brasil de Fato"",
IF(REGEXMATCH(S187, ""Ponte Jornalismo|pontejornalismo""), ""Ponte Jornalismo"",
IF(REGEXMATCH(S187, ""letras\.mus\.br|Letras,""), ""Letras"",
IF(REGEXMATCH(S187, ""YouTube|youtube""), 
   ""YouTube "&amp;"(""&amp;
   IF(REGEXMATCH(S187, ""Itaú Cultural""), ""Itaú Cultural"",
   IF(REGEXMATCH(S187, ""Rede TVT""), ""Rede TVT"",
   IF(REGEXMATCH(S187, ""Frente pelo Desencarceramento SP""), ""Frente Pelo Desencarceramento SP"",
   IF(REGEXMATCH(S187, ""TV ABA""), "&amp;"""TV ABA"",
   IF(REGEXMATCH(S187, ""TV SENADO""), ""TV Senado"",
   IF(REGEXMATCH(S187, ""Canal USP""), ""Canal USP"",
   IF(REGEXMATCH(S187, ""Douer, Zack|Zack Douer""), ""Douer Zack"",
   IF(REGEXMATCH(S187, ""PRISIONEIRO 84\.901|PRISIONEIRO 84""), ""P"&amp;"risioneiro 84.901"",
   IF(REGEXMATCH(S187, ""^[^,]*, ""), 
        PROPER(REGEXREPLACE(REGEXEXTRACT(S187, ""^([^.]*)\.""), ""^([^,]*), (.*)"", ""$2 $1"")),
        PROPER(REGEXEXTRACT(S187, ""^([^.]*)\.""))
   )))))))))&amp;"")"",
IF(REGEXMATCH(S187, ""Spot"&amp;"ify|spotify""), 
   ""Spotify (""&amp;
   IF(REGEXMATCH(S187, ""ESTRANHO SORRISO""), ""Estranho Sorriso"",
   PROPER(REGEXEXTRACT(S187, ""^([^.]*)\.""))
   )&amp;"")"",
IF(REGEXMATCH(S187, ""Vimeo|vimeo""), 
   ""Vimeo (""&amp;
   IF(REGEXMATCH(S187, ""Passa Palavra"&amp;"""), ""Passa Palavra"",
   PROPER(REGEXEXTRACT(S187, ""^([^.]*)\.""))
   )&amp;"")"",
IF(REGEXMATCH(S187, ""Blogspot""), 
   ""Blogspot (""&amp;
   IF(REGEXMATCH(S187, ""rede2deoutubro""), ""Rede 02 de Outubro"",
   PROPER(REGEXEXTRACT(S187, ""^([^.]*)\.""))
   "&amp;")&amp;"")"",
IF(REGEXMATCH(S187, ""Facebook""), 
   ""Facebook (""&amp;
   IF(REGEXMATCH(S187, ""Mídia Ninja""), ""Mídia Ninja"",
   PROPER(REGEXEXTRACT(S187, ""^([^.]*)\.""))
   )&amp;"")"",
IF(REGEXMATCH(S187, ""Instagram""), 
   ""Instagram (""&amp;
   IF(REGEXMATCH"&amp;"(S187, ""Memórias Carandiru""), ""Memórias Carandiru"",
   PROPER(REGEXEXTRACT(S187, ""^([^.]*)\.""))
   )&amp;"")"",
IF(REGEXMATCH(S187, ""Folha de S\. Paulo|FOLHA DE S\. PAULO""), ""Folha de S. Paulo"",
IF(REGEXMATCH(S187, ""O Estado de S\. Paulo|ESTADAO"""&amp;"), ""O Estado de S. Paulo"",
IF(REGEXMATCH(S187, ""salasecreta""), ""Wordpress (Sala Secreta)"",
IF(REGEXMATCH(S187, ""Wikipedia|Wikipédia|WIKIPÉDIA""), ""Wikipedia"",
IF(REGEXMATCH(S187, ""VEJA|Veja""), ""Veja Abril"",
IF(REGEXMATCH(S459, ""Rede Globo|RE"&amp;"DE GLOBO""), ""Rede Globo"",
IF(REGEXMATCH(S459, ""G1|globo\.com""), ""G1"",
IF(REGEXMATCH(S187, ""Deutsche Welle|DW\.com""), ""Deutsche Welle"",
IF(REGEXMATCH(S187, ""CIDH|Comissão Interamericana""), ""Comissão Interamericana de Direitos Humanos (CIDH)"""&amp;",
IF(REGEXMATCH(S187, ""Pastoral Carcerária""), ""Pastoral Carcerária"",
IF(REGEXMATCH(S187, ""Esquerda Web""), ""Esquerda Web"",
IF(REGEXMATCH(S187, ""ONU|Organização das Nações Unidas""), ""ONU Brasil"",
IF(REGEXMATCH(S187, ""Quilombo Invisível""), ""Qu"&amp;"ilombo Invisível"",
IF(REGEXMATCH(S187, ""ALESP|Assembleia Legislativa""), ""ALESP"",
IF(REGEXMATCH(S187, ""Revista Opera""), ""Revista Opera"",
IF(REGEXMATCH(S187, ""SP Escola de Teatro""), ""SP Escola de Teatro"",
IF(REGEXMATCH(S187, ""EMC|Espaço Memóri"&amp;"a Carandiru""), ""EMC Espaço Memória Carandiru"",
IF(REGEXMATCH(S187, ""^RAMOS, Nuno|Nuno Ramos""), ""Nuno Ramos"",
IF(REGEXMATCH(S187, ""^VELOSO, Caetano|Caetano Veloso""), ""YouTube (Caetano Veloso)"",
IF(REGEXMATCH(S187, ""^FATOS REAIS""), ""YouTube ("&amp;"Fatos Reais - Topic)"",
IF(REGEXMATCH(S187, ""^SALA SECRETA""), ""Wordpress (Sala Secreta)"",
PROPER(REGEXEXTRACT(S187, ""^([^.]*)\.""))
))))))))))))))))))))))))))))))))))))))))))))))))))))))))"),"Instagram (Memórias Carandiru)")</f>
        <v>Instagram (Memórias Carandiru)</v>
      </c>
      <c r="N187" s="11" t="s">
        <v>47</v>
      </c>
      <c r="O187" s="14" t="s">
        <v>149</v>
      </c>
      <c r="P187" s="186">
        <v>45857.0</v>
      </c>
      <c r="Q187" s="11" t="s">
        <v>154</v>
      </c>
      <c r="R187" s="70" t="str">
        <f t="shared" si="8"/>
        <v>Aqui</v>
      </c>
      <c r="S187" s="75" t="s">
        <v>909</v>
      </c>
    </row>
    <row r="188">
      <c r="A188" s="11">
        <v>186.0</v>
      </c>
      <c r="B188" s="14" t="s">
        <v>799</v>
      </c>
      <c r="C188" s="122" t="s">
        <v>165</v>
      </c>
      <c r="D188" s="13" t="str">
        <f>IFERROR(__xludf.DUMMYFUNCTION("IF(B188="""","""",IF(OR(
  REGEXMATCH(B188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REGEXMATCH(B188,""público|Imediato|artística|teatral|memória"")
),""Público Imediato"",
IF(REGEXMATCH(B188,""Música|Álbum|Filme|Documentário|Série|Podc"&amp;"ast|Rádio|Audiotour|Entrevista|Reportagem|Crônica|Relatório|Abaixo-assinado|Manifesto|Petição|Poema|Livro|Fotografia|Curta|Live|Webinário|Charge|Leitura pública|Vídeo""),
""Público Mediado"","""")))
"),"Público Imediato")</f>
        <v>Público Imediato</v>
      </c>
      <c r="E188" s="13" t="str">
        <f>IFERROR(__xludf.DUMMYFUNCTION("IF(B188="""","""",IF(OR(
  REGEXMATCH(B188,""Live|Webinário|Virtual""),
  REGEXMATCH(B188,""online"")
),""Virtual"",
IF(REGEXMATCH(B188,""Música|Álbum|Filme|Documentário|Série|Podcast|Rádio|Audiotour|Episódio|Reportagem|Curta|Charge|Livro|Vídeo|Entrevista"&amp;"""),
""Midiático"",
IF(REGEXMATCH(B188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8" s="186">
        <v>45465.0</v>
      </c>
      <c r="G188" s="15">
        <f t="shared" si="1"/>
        <v>2024</v>
      </c>
      <c r="H188" s="14" t="s">
        <v>603</v>
      </c>
      <c r="I188" s="175" t="s">
        <v>741</v>
      </c>
      <c r="J188" s="202" t="s">
        <v>910</v>
      </c>
      <c r="K188" s="16" t="s">
        <v>736</v>
      </c>
      <c r="L188" s="18" t="s">
        <v>489</v>
      </c>
      <c r="M188" s="15" t="str">
        <f>IFERROR(__xludf.DUMMYFUNCTION("IF(REGEXMATCH(S188, ""Companhia das Letras""), ""Companhia das Letras"",
IF(REGEXMATCH(S188, ""Labortexto Editorial""), ""Labortexto Editorial"",
IF(REGEXMATCH(S188, ""Geração Editorial""), ""Geração Editorial"",
IF(REGEXMATCH(S188, ""Editora Imprensa Ofi"&amp;"cial|Imprensa Oficial""), ""Editora Imprensa Oficial"",
IF(REGEXMATCH(S188, ""Folha Online""), ""Folha Online"",
IF(REGEXMATCH(S188, ""FGV DIREITO SP|FGV Direito SP""), ""FGV DIREITO SP"",
IF(REGEXMATCH(S188, ""massacrecarandiru\.org\.br""), ""Memória Mas"&amp;"sacre Carandiru"",
IF(REGEXMATCH(S188, ""Itaú Cultural""), ""YouTube (Itaú Cultural)"",
IF(REGEXMATCH(S188, ""Passa Palavra""), ""Vimeo (Passa Palavra)"",
IF(REGEXMATCH(S188, ""rede2deoutubro\.blogspot""), ""Blogspot (Rede 02 de Outubro)"",
IF(REGEXMATCH("&amp;"S188, ""Rede TVT""), ""YouTube (Rede TVT)"",
IF(REGEXMATCH(S188, ""Esquerda Diário""), ""Esquerda Diário"",
IF(REGEXMATCH(S188, ""GZH""), ""GZH"",
IF(REGEXMATCH(S188, ""TVPUC""), ""TVPUC"",
IF(REGEXMATCH(S188, ""Mídia Ninja.*Facebook""), ""Facebook (Mídia"&amp;" Ninja)"",
IF(REGEXMATCH(S188, ""Memórias Carandiru.*Instagram""), ""Instagram (Memórias Carandiru)"",
IF(REGEXMATCH(S188, ""Frente pelo Desencarceramento SP""), ""YouTube (Frente Pelo Desencarceramento SP)"",
IF(REGEXMATCH(S188, ""TV ABA""), ""YouTube (T"&amp;"V ABA)"",
IF(REGEXMATCH(S188, ""TV SENADO""), ""YouTube (TV Senado)"",
IF(REGEXMATCH(S188, ""Google Arts &amp; Culture""), ""Google Arts &amp; Culture (Memória Massacre Carandiru)"",
IF(REGEXMATCH(S188, ""Anistia Internacional|ANISTIA INTERNACIONAL""), ""Anistia "&amp;"Internacional"",
IF(REGEXMATCH(S188, ""47\.mostra|47a Mostra""), ""47a Mostra Internacional de Cinema em São Paulo"",
IF(REGEXMATCH(S188, ""Canal USP""), ""YouTube (Canal USP)"",
IF(AND(
  REGEXMATCH(S188, ""(?i)(teses?\.usp\.br|dissertacoes?\.usp\.br|rep"&amp;"ositorio\.usp\.br)""),
  NOT(REGEXMATCH(S188, ""Canal USP""))
), ""Biblioteca Digital de Teses e Dissertações da USP"",
IF(REGEXMATCH(S188, ""SINTRAJUSC""), ""SINTRAJUSC"",
IF(REGEXMATCH(S188, ""Agência Brasil|Agencia Brasil""), ""Agência Brasil"",
IF(REG"&amp;"EXMATCH(S188, ""Brasil de Fato""), ""Brasil de Fato"",
IF(REGEXMATCH(S188, ""Ponte Jornalismo|pontejornalismo""), ""Ponte Jornalismo"",
IF(REGEXMATCH(S188, ""letras\.mus\.br|Letras,""), ""Letras"",
IF(REGEXMATCH(S188, ""YouTube|youtube""), 
   ""YouTube "&amp;"(""&amp;
   IF(REGEXMATCH(S188, ""Itaú Cultural""), ""Itaú Cultural"",
   IF(REGEXMATCH(S188, ""Rede TVT""), ""Rede TVT"",
   IF(REGEXMATCH(S188, ""Frente pelo Desencarceramento SP""), ""Frente Pelo Desencarceramento SP"",
   IF(REGEXMATCH(S188, ""TV ABA""), "&amp;"""TV ABA"",
   IF(REGEXMATCH(S188, ""TV SENADO""), ""TV Senado"",
   IF(REGEXMATCH(S188, ""Canal USP""), ""Canal USP"",
   IF(REGEXMATCH(S188, ""Douer, Zack|Zack Douer""), ""Douer Zack"",
   IF(REGEXMATCH(S188, ""PRISIONEIRO 84\.901|PRISIONEIRO 84""), ""P"&amp;"risioneiro 84.901"",
   IF(REGEXMATCH(S188, ""^[^,]*, ""), 
        PROPER(REGEXREPLACE(REGEXEXTRACT(S188, ""^([^.]*)\.""), ""^([^,]*), (.*)"", ""$2 $1"")),
        PROPER(REGEXEXTRACT(S188, ""^([^.]*)\.""))
   )))))))))&amp;"")"",
IF(REGEXMATCH(S188, ""Spot"&amp;"ify|spotify""), 
   ""Spotify (""&amp;
   IF(REGEXMATCH(S188, ""ESTRANHO SORRISO""), ""Estranho Sorriso"",
   PROPER(REGEXEXTRACT(S188, ""^([^.]*)\.""))
   )&amp;"")"",
IF(REGEXMATCH(S188, ""Vimeo|vimeo""), 
   ""Vimeo (""&amp;
   IF(REGEXMATCH(S188, ""Passa Palavra"&amp;"""), ""Passa Palavra"",
   PROPER(REGEXEXTRACT(S188, ""^([^.]*)\.""))
   )&amp;"")"",
IF(REGEXMATCH(S188, ""Blogspot""), 
   ""Blogspot (""&amp;
   IF(REGEXMATCH(S188, ""rede2deoutubro""), ""Rede 02 de Outubro"",
   PROPER(REGEXEXTRACT(S188, ""^([^.]*)\.""))
   "&amp;")&amp;"")"",
IF(REGEXMATCH(S188, ""Facebook""), 
   ""Facebook (""&amp;
   IF(REGEXMATCH(S188, ""Mídia Ninja""), ""Mídia Ninja"",
   PROPER(REGEXEXTRACT(S188, ""^([^.]*)\.""))
   )&amp;"")"",
IF(REGEXMATCH(S188, ""Instagram""), 
   ""Instagram (""&amp;
   IF(REGEXMATCH"&amp;"(S188, ""Memórias Carandiru""), ""Memórias Carandiru"",
   PROPER(REGEXEXTRACT(S188, ""^([^.]*)\.""))
   )&amp;"")"",
IF(REGEXMATCH(S188, ""Folha de S\. Paulo|FOLHA DE S\. PAULO""), ""Folha de S. Paulo"",
IF(REGEXMATCH(S188, ""O Estado de S\. Paulo|ESTADAO"""&amp;"), ""O Estado de S. Paulo"",
IF(REGEXMATCH(S188, ""salasecreta""), ""Wordpress (Sala Secreta)"",
IF(REGEXMATCH(S188, ""Wikipedia|Wikipédia|WIKIPÉDIA""), ""Wikipedia"",
IF(REGEXMATCH(S188, ""VEJA|Veja""), ""Veja Abril"",
IF(REGEXMATCH(S460, ""Rede Globo|RE"&amp;"DE GLOBO""), ""Rede Globo"",
IF(REGEXMATCH(S460, ""G1|globo\.com""), ""G1"",
IF(REGEXMATCH(S188, ""Deutsche Welle|DW\.com""), ""Deutsche Welle"",
IF(REGEXMATCH(S188, ""CIDH|Comissão Interamericana""), ""Comissão Interamericana de Direitos Humanos (CIDH)"""&amp;",
IF(REGEXMATCH(S188, ""Pastoral Carcerária""), ""Pastoral Carcerária"",
IF(REGEXMATCH(S188, ""Esquerda Web""), ""Esquerda Web"",
IF(REGEXMATCH(S188, ""ONU|Organização das Nações Unidas""), ""ONU Brasil"",
IF(REGEXMATCH(S188, ""Quilombo Invisível""), ""Qu"&amp;"ilombo Invisível"",
IF(REGEXMATCH(S188, ""ALESP|Assembleia Legislativa""), ""ALESP"",
IF(REGEXMATCH(S188, ""Revista Opera""), ""Revista Opera"",
IF(REGEXMATCH(S188, ""SP Escola de Teatro""), ""SP Escola de Teatro"",
IF(REGEXMATCH(S188, ""EMC|Espaço Memóri"&amp;"a Carandiru""), ""EMC Espaço Memória Carandiru"",
IF(REGEXMATCH(S188, ""^RAMOS, Nuno|Nuno Ramos""), ""Nuno Ramos"",
IF(REGEXMATCH(S188, ""^VELOSO, Caetano|Caetano Veloso""), ""YouTube (Caetano Veloso)"",
IF(REGEXMATCH(S188, ""^FATOS REAIS""), ""YouTube ("&amp;"Fatos Reais - Topic)"",
IF(REGEXMATCH(S188, ""^SALA SECRETA""), ""Wordpress (Sala Secreta)"",
PROPER(REGEXEXTRACT(S188, ""^([^.]*)\.""))
))))))))))))))))))))))))))))))))))))))))))))))))))))))))"),"Instagram (Memórias Carandiru)")</f>
        <v>Instagram (Memórias Carandiru)</v>
      </c>
      <c r="N188" s="11" t="s">
        <v>47</v>
      </c>
      <c r="O188" s="14" t="s">
        <v>149</v>
      </c>
      <c r="P188" s="201">
        <v>45857.0</v>
      </c>
      <c r="Q188" s="11" t="s">
        <v>154</v>
      </c>
      <c r="R188" s="70" t="str">
        <f t="shared" si="8"/>
        <v>Aqui</v>
      </c>
      <c r="S188" s="75" t="s">
        <v>911</v>
      </c>
    </row>
    <row r="189">
      <c r="A189" s="11">
        <v>187.0</v>
      </c>
      <c r="B189" s="14" t="s">
        <v>812</v>
      </c>
      <c r="C189" s="122" t="s">
        <v>165</v>
      </c>
      <c r="D189" s="13" t="str">
        <f>IFERROR(__xludf.DUMMYFUNCTION("IF(B189="""","""",IF(OR(
  REGEXMATCH(B189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REGEXMATCH(B189,""público|Imediato|artística|teatral|memória"")
),""Público Imediato"",
IF(REGEXMATCH(B189,""Música|Álbum|Filme|Documentário|Série|Podc"&amp;"ast|Rádio|Audiotour|Entrevista|Reportagem|Crônica|Relatório|Abaixo-assinado|Manifesto|Petição|Poema|Livro|Fotografia|Curta|Live|Webinário|Charge|Leitura pública|Vídeo""),
""Público Mediado"","""")))
"),"Público Imediato")</f>
        <v>Público Imediato</v>
      </c>
      <c r="E189" s="13" t="str">
        <f>IFERROR(__xludf.DUMMYFUNCTION("IF(B189="""","""",IF(OR(
  REGEXMATCH(B189,""Live|Webinário|Virtual""),
  REGEXMATCH(B189,""online"")
),""Virtual"",
IF(REGEXMATCH(B189,""Música|Álbum|Filme|Documentário|Série|Podcast|Rádio|Audiotour|Episódio|Reportagem|Curta|Charge|Livro|Vídeo|Entrevista"&amp;"""),
""Midiático"",
IF(REGEXMATCH(B189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9" s="186">
        <v>45466.0</v>
      </c>
      <c r="G189" s="15">
        <f t="shared" si="1"/>
        <v>2024</v>
      </c>
      <c r="H189" s="14" t="s">
        <v>912</v>
      </c>
      <c r="I189" s="175" t="s">
        <v>913</v>
      </c>
      <c r="J189" s="202" t="s">
        <v>914</v>
      </c>
      <c r="K189" s="16" t="s">
        <v>736</v>
      </c>
      <c r="L189" s="18" t="s">
        <v>489</v>
      </c>
      <c r="M189" s="15" t="str">
        <f>IFERROR(__xludf.DUMMYFUNCTION("IF(REGEXMATCH(S189, ""Companhia das Letras""), ""Companhia das Letras"",
IF(REGEXMATCH(S189, ""Labortexto Editorial""), ""Labortexto Editorial"",
IF(REGEXMATCH(S189, ""Geração Editorial""), ""Geração Editorial"",
IF(REGEXMATCH(S189, ""Editora Imprensa Ofi"&amp;"cial|Imprensa Oficial""), ""Editora Imprensa Oficial"",
IF(REGEXMATCH(S189, ""Folha Online""), ""Folha Online"",
IF(REGEXMATCH(S189, ""FGV DIREITO SP|FGV Direito SP""), ""FGV DIREITO SP"",
IF(REGEXMATCH(S189, ""massacrecarandiru\.org\.br""), ""Memória Mas"&amp;"sacre Carandiru"",
IF(REGEXMATCH(S189, ""Itaú Cultural""), ""YouTube (Itaú Cultural)"",
IF(REGEXMATCH(S189, ""Passa Palavra""), ""Vimeo (Passa Palavra)"",
IF(REGEXMATCH(S189, ""rede2deoutubro\.blogspot""), ""Blogspot (Rede 02 de Outubro)"",
IF(REGEXMATCH("&amp;"S189, ""Rede TVT""), ""YouTube (Rede TVT)"",
IF(REGEXMATCH(S189, ""Esquerda Diário""), ""Esquerda Diário"",
IF(REGEXMATCH(S189, ""GZH""), ""GZH"",
IF(REGEXMATCH(S189, ""TVPUC""), ""TVPUC"",
IF(REGEXMATCH(S189, ""Mídia Ninja.*Facebook""), ""Facebook (Mídia"&amp;" Ninja)"",
IF(REGEXMATCH(S189, ""Memórias Carandiru.*Instagram""), ""Instagram (Memórias Carandiru)"",
IF(REGEXMATCH(S189, ""Frente pelo Desencarceramento SP""), ""YouTube (Frente Pelo Desencarceramento SP)"",
IF(REGEXMATCH(S189, ""TV ABA""), ""YouTube (T"&amp;"V ABA)"",
IF(REGEXMATCH(S189, ""TV SENADO""), ""YouTube (TV Senado)"",
IF(REGEXMATCH(S189, ""Google Arts &amp; Culture""), ""Google Arts &amp; Culture (Memória Massacre Carandiru)"",
IF(REGEXMATCH(S189, ""Anistia Internacional|ANISTIA INTERNACIONAL""), ""Anistia "&amp;"Internacional"",
IF(REGEXMATCH(S189, ""47\.mostra|47a Mostra""), ""47a Mostra Internacional de Cinema em São Paulo"",
IF(REGEXMATCH(S189, ""Canal USP""), ""YouTube (Canal USP)"",
IF(AND(
  REGEXMATCH(S189, ""(?i)(teses?\.usp\.br|dissertacoes?\.usp\.br|rep"&amp;"ositorio\.usp\.br)""),
  NOT(REGEXMATCH(S189, ""Canal USP""))
), ""Biblioteca Digital de Teses e Dissertações da USP"",
IF(REGEXMATCH(S189, ""SINTRAJUSC""), ""SINTRAJUSC"",
IF(REGEXMATCH(S189, ""Agência Brasil|Agencia Brasil""), ""Agência Brasil"",
IF(REG"&amp;"EXMATCH(S189, ""Brasil de Fato""), ""Brasil de Fato"",
IF(REGEXMATCH(S189, ""Ponte Jornalismo|pontejornalismo""), ""Ponte Jornalismo"",
IF(REGEXMATCH(S189, ""letras\.mus\.br|Letras,""), ""Letras"",
IF(REGEXMATCH(S189, ""YouTube|youtube""), 
   ""YouTube "&amp;"(""&amp;
   IF(REGEXMATCH(S189, ""Itaú Cultural""), ""Itaú Cultural"",
   IF(REGEXMATCH(S189, ""Rede TVT""), ""Rede TVT"",
   IF(REGEXMATCH(S189, ""Frente pelo Desencarceramento SP""), ""Frente Pelo Desencarceramento SP"",
   IF(REGEXMATCH(S189, ""TV ABA""), "&amp;"""TV ABA"",
   IF(REGEXMATCH(S189, ""TV SENADO""), ""TV Senado"",
   IF(REGEXMATCH(S189, ""Canal USP""), ""Canal USP"",
   IF(REGEXMATCH(S189, ""Douer, Zack|Zack Douer""), ""Douer Zack"",
   IF(REGEXMATCH(S189, ""PRISIONEIRO 84\.901|PRISIONEIRO 84""), ""P"&amp;"risioneiro 84.901"",
   IF(REGEXMATCH(S189, ""^[^,]*, ""), 
        PROPER(REGEXREPLACE(REGEXEXTRACT(S189, ""^([^.]*)\.""), ""^([^,]*), (.*)"", ""$2 $1"")),
        PROPER(REGEXEXTRACT(S189, ""^([^.]*)\.""))
   )))))))))&amp;"")"",
IF(REGEXMATCH(S189, ""Spot"&amp;"ify|spotify""), 
   ""Spotify (""&amp;
   IF(REGEXMATCH(S189, ""ESTRANHO SORRISO""), ""Estranho Sorriso"",
   PROPER(REGEXEXTRACT(S189, ""^([^.]*)\.""))
   )&amp;"")"",
IF(REGEXMATCH(S189, ""Vimeo|vimeo""), 
   ""Vimeo (""&amp;
   IF(REGEXMATCH(S189, ""Passa Palavra"&amp;"""), ""Passa Palavra"",
   PROPER(REGEXEXTRACT(S189, ""^([^.]*)\.""))
   )&amp;"")"",
IF(REGEXMATCH(S189, ""Blogspot""), 
   ""Blogspot (""&amp;
   IF(REGEXMATCH(S189, ""rede2deoutubro""), ""Rede 02 de Outubro"",
   PROPER(REGEXEXTRACT(S189, ""^([^.]*)\.""))
   "&amp;")&amp;"")"",
IF(REGEXMATCH(S189, ""Facebook""), 
   ""Facebook (""&amp;
   IF(REGEXMATCH(S189, ""Mídia Ninja""), ""Mídia Ninja"",
   PROPER(REGEXEXTRACT(S189, ""^([^.]*)\.""))
   )&amp;"")"",
IF(REGEXMATCH(S189, ""Instagram""), 
   ""Instagram (""&amp;
   IF(REGEXMATCH"&amp;"(S189, ""Memórias Carandiru""), ""Memórias Carandiru"",
   PROPER(REGEXEXTRACT(S189, ""^([^.]*)\.""))
   )&amp;"")"",
IF(REGEXMATCH(S189, ""Folha de S\. Paulo|FOLHA DE S\. PAULO""), ""Folha de S. Paulo"",
IF(REGEXMATCH(S189, ""O Estado de S\. Paulo|ESTADAO"""&amp;"), ""O Estado de S. Paulo"",
IF(REGEXMATCH(S189, ""salasecreta""), ""Wordpress (Sala Secreta)"",
IF(REGEXMATCH(S189, ""Wikipedia|Wikipédia|WIKIPÉDIA""), ""Wikipedia"",
IF(REGEXMATCH(S189, ""VEJA|Veja""), ""Veja Abril"",
IF(REGEXMATCH(S461, ""Rede Globo|RE"&amp;"DE GLOBO""), ""Rede Globo"",
IF(REGEXMATCH(S461, ""G1|globo\.com""), ""G1"",
IF(REGEXMATCH(S189, ""Deutsche Welle|DW\.com""), ""Deutsche Welle"",
IF(REGEXMATCH(S189, ""CIDH|Comissão Interamericana""), ""Comissão Interamericana de Direitos Humanos (CIDH)"""&amp;",
IF(REGEXMATCH(S189, ""Pastoral Carcerária""), ""Pastoral Carcerária"",
IF(REGEXMATCH(S189, ""Esquerda Web""), ""Esquerda Web"",
IF(REGEXMATCH(S189, ""ONU|Organização das Nações Unidas""), ""ONU Brasil"",
IF(REGEXMATCH(S189, ""Quilombo Invisível""), ""Qu"&amp;"ilombo Invisível"",
IF(REGEXMATCH(S189, ""ALESP|Assembleia Legislativa""), ""ALESP"",
IF(REGEXMATCH(S189, ""Revista Opera""), ""Revista Opera"",
IF(REGEXMATCH(S189, ""SP Escola de Teatro""), ""SP Escola de Teatro"",
IF(REGEXMATCH(S189, ""EMC|Espaço Memóri"&amp;"a Carandiru""), ""EMC Espaço Memória Carandiru"",
IF(REGEXMATCH(S189, ""^RAMOS, Nuno|Nuno Ramos""), ""Nuno Ramos"",
IF(REGEXMATCH(S189, ""^VELOSO, Caetano|Caetano Veloso""), ""YouTube (Caetano Veloso)"",
IF(REGEXMATCH(S189, ""^FATOS REAIS""), ""YouTube ("&amp;"Fatos Reais - Topic)"",
IF(REGEXMATCH(S189, ""^SALA SECRETA""), ""Wordpress (Sala Secreta)"",
PROPER(REGEXEXTRACT(S189, ""^([^.]*)\.""))
))))))))))))))))))))))))))))))))))))))))))))))))))))))))"),"Instagram (Memórias Carandiru)")</f>
        <v>Instagram (Memórias Carandiru)</v>
      </c>
      <c r="N189" s="11" t="s">
        <v>47</v>
      </c>
      <c r="O189" s="14" t="s">
        <v>149</v>
      </c>
      <c r="P189" s="186">
        <v>45857.0</v>
      </c>
      <c r="Q189" s="11" t="s">
        <v>154</v>
      </c>
      <c r="R189" s="70" t="str">
        <f t="shared" si="8"/>
        <v>Aqui</v>
      </c>
      <c r="S189" s="75" t="s">
        <v>915</v>
      </c>
    </row>
    <row r="190">
      <c r="A190" s="11">
        <v>188.0</v>
      </c>
      <c r="B190" s="14" t="s">
        <v>799</v>
      </c>
      <c r="C190" s="122" t="s">
        <v>165</v>
      </c>
      <c r="D190" s="13" t="str">
        <f>IFERROR(__xludf.DUMMYFUNCTION("IF(B190="""","""",IF(OR(
  REGEXMATCH(B190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REGEXMATCH(B190,""público|Imediato|artística|teatral|memória"")
),""Público Imediato"",
IF(REGEXMATCH(B190,""Música|Álbum|Filme|Documentário|Série|Podc"&amp;"ast|Rádio|Audiotour|Entrevista|Reportagem|Crônica|Relatório|Abaixo-assinado|Manifesto|Petição|Poema|Livro|Fotografia|Curta|Live|Webinário|Charge|Leitura pública|Vídeo""),
""Público Mediado"","""")))
"),"Público Imediato")</f>
        <v>Público Imediato</v>
      </c>
      <c r="E190" s="13" t="str">
        <f>IFERROR(__xludf.DUMMYFUNCTION("IF(B190="""","""",IF(OR(
  REGEXMATCH(B190,""Live|Webinário|Virtual""),
  REGEXMATCH(B190,""online"")
),""Virtual"",
IF(REGEXMATCH(B190,""Música|Álbum|Filme|Documentário|Série|Podcast|Rádio|Audiotour|Episódio|Reportagem|Curta|Charge|Livro|Vídeo|Entrevista"&amp;"""),
""Midiático"",
IF(REGEXMATCH(B190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0" s="186">
        <v>45472.0</v>
      </c>
      <c r="G190" s="15">
        <f t="shared" si="1"/>
        <v>2024</v>
      </c>
      <c r="H190" s="14" t="s">
        <v>603</v>
      </c>
      <c r="I190" s="175" t="s">
        <v>741</v>
      </c>
      <c r="J190" s="202" t="s">
        <v>916</v>
      </c>
      <c r="K190" s="16" t="s">
        <v>736</v>
      </c>
      <c r="L190" s="18" t="s">
        <v>489</v>
      </c>
      <c r="M190" s="15" t="str">
        <f>IFERROR(__xludf.DUMMYFUNCTION("IF(REGEXMATCH(S190, ""Companhia das Letras""), ""Companhia das Letras"",
IF(REGEXMATCH(S190, ""Labortexto Editorial""), ""Labortexto Editorial"",
IF(REGEXMATCH(S190, ""Geração Editorial""), ""Geração Editorial"",
IF(REGEXMATCH(S190, ""Editora Imprensa Ofi"&amp;"cial|Imprensa Oficial""), ""Editora Imprensa Oficial"",
IF(REGEXMATCH(S190, ""Folha Online""), ""Folha Online"",
IF(REGEXMATCH(S190, ""FGV DIREITO SP|FGV Direito SP""), ""FGV DIREITO SP"",
IF(REGEXMATCH(S190, ""massacrecarandiru\.org\.br""), ""Memória Mas"&amp;"sacre Carandiru"",
IF(REGEXMATCH(S190, ""Itaú Cultural""), ""YouTube (Itaú Cultural)"",
IF(REGEXMATCH(S190, ""Passa Palavra""), ""Vimeo (Passa Palavra)"",
IF(REGEXMATCH(S190, ""rede2deoutubro\.blogspot""), ""Blogspot (Rede 02 de Outubro)"",
IF(REGEXMATCH("&amp;"S190, ""Rede TVT""), ""YouTube (Rede TVT)"",
IF(REGEXMATCH(S190, ""Esquerda Diário""), ""Esquerda Diário"",
IF(REGEXMATCH(S190, ""GZH""), ""GZH"",
IF(REGEXMATCH(S190, ""TVPUC""), ""TVPUC"",
IF(REGEXMATCH(S190, ""Mídia Ninja.*Facebook""), ""Facebook (Mídia"&amp;" Ninja)"",
IF(REGEXMATCH(S190, ""Memórias Carandiru.*Instagram""), ""Instagram (Memórias Carandiru)"",
IF(REGEXMATCH(S190, ""Frente pelo Desencarceramento SP""), ""YouTube (Frente Pelo Desencarceramento SP)"",
IF(REGEXMATCH(S190, ""TV ABA""), ""YouTube (T"&amp;"V ABA)"",
IF(REGEXMATCH(S190, ""TV SENADO""), ""YouTube (TV Senado)"",
IF(REGEXMATCH(S190, ""Google Arts &amp; Culture""), ""Google Arts &amp; Culture (Memória Massacre Carandiru)"",
IF(REGEXMATCH(S190, ""Anistia Internacional|ANISTIA INTERNACIONAL""), ""Anistia "&amp;"Internacional"",
IF(REGEXMATCH(S190, ""47\.mostra|47a Mostra""), ""47a Mostra Internacional de Cinema em São Paulo"",
IF(REGEXMATCH(S190, ""Canal USP""), ""YouTube (Canal USP)"",
IF(AND(
  REGEXMATCH(S190, ""(?i)(teses?\.usp\.br|dissertacoes?\.usp\.br|rep"&amp;"ositorio\.usp\.br)""),
  NOT(REGEXMATCH(S190, ""Canal USP""))
), ""Biblioteca Digital de Teses e Dissertações da USP"",
IF(REGEXMATCH(S190, ""SINTRAJUSC""), ""SINTRAJUSC"",
IF(REGEXMATCH(S190, ""Agência Brasil|Agencia Brasil""), ""Agência Brasil"",
IF(REG"&amp;"EXMATCH(S190, ""Brasil de Fato""), ""Brasil de Fato"",
IF(REGEXMATCH(S190, ""Ponte Jornalismo|pontejornalismo""), ""Ponte Jornalismo"",
IF(REGEXMATCH(S190, ""letras\.mus\.br|Letras,""), ""Letras"",
IF(REGEXMATCH(S190, ""YouTube|youtube""), 
   ""YouTube "&amp;"(""&amp;
   IF(REGEXMATCH(S190, ""Itaú Cultural""), ""Itaú Cultural"",
   IF(REGEXMATCH(S190, ""Rede TVT""), ""Rede TVT"",
   IF(REGEXMATCH(S190, ""Frente pelo Desencarceramento SP""), ""Frente Pelo Desencarceramento SP"",
   IF(REGEXMATCH(S190, ""TV ABA""), "&amp;"""TV ABA"",
   IF(REGEXMATCH(S190, ""TV SENADO""), ""TV Senado"",
   IF(REGEXMATCH(S190, ""Canal USP""), ""Canal USP"",
   IF(REGEXMATCH(S190, ""Douer, Zack|Zack Douer""), ""Douer Zack"",
   IF(REGEXMATCH(S190, ""PRISIONEIRO 84\.901|PRISIONEIRO 84""), ""P"&amp;"risioneiro 84.901"",
   IF(REGEXMATCH(S190, ""^[^,]*, ""), 
        PROPER(REGEXREPLACE(REGEXEXTRACT(S190, ""^([^.]*)\.""), ""^([^,]*), (.*)"", ""$2 $1"")),
        PROPER(REGEXEXTRACT(S190, ""^([^.]*)\.""))
   )))))))))&amp;"")"",
IF(REGEXMATCH(S190, ""Spot"&amp;"ify|spotify""), 
   ""Spotify (""&amp;
   IF(REGEXMATCH(S190, ""ESTRANHO SORRISO""), ""Estranho Sorriso"",
   PROPER(REGEXEXTRACT(S190, ""^([^.]*)\.""))
   )&amp;"")"",
IF(REGEXMATCH(S190, ""Vimeo|vimeo""), 
   ""Vimeo (""&amp;
   IF(REGEXMATCH(S190, ""Passa Palavra"&amp;"""), ""Passa Palavra"",
   PROPER(REGEXEXTRACT(S190, ""^([^.]*)\.""))
   )&amp;"")"",
IF(REGEXMATCH(S190, ""Blogspot""), 
   ""Blogspot (""&amp;
   IF(REGEXMATCH(S190, ""rede2deoutubro""), ""Rede 02 de Outubro"",
   PROPER(REGEXEXTRACT(S190, ""^([^.]*)\.""))
   "&amp;")&amp;"")"",
IF(REGEXMATCH(S190, ""Facebook""), 
   ""Facebook (""&amp;
   IF(REGEXMATCH(S190, ""Mídia Ninja""), ""Mídia Ninja"",
   PROPER(REGEXEXTRACT(S190, ""^([^.]*)\.""))
   )&amp;"")"",
IF(REGEXMATCH(S190, ""Instagram""), 
   ""Instagram (""&amp;
   IF(REGEXMATCH"&amp;"(S190, ""Memórias Carandiru""), ""Memórias Carandiru"",
   PROPER(REGEXEXTRACT(S190, ""^([^.]*)\.""))
   )&amp;"")"",
IF(REGEXMATCH(S190, ""Folha de S\. Paulo|FOLHA DE S\. PAULO""), ""Folha de S. Paulo"",
IF(REGEXMATCH(S190, ""O Estado de S\. Paulo|ESTADAO"""&amp;"), ""O Estado de S. Paulo"",
IF(REGEXMATCH(S190, ""salasecreta""), ""Wordpress (Sala Secreta)"",
IF(REGEXMATCH(S190, ""Wikipedia|Wikipédia|WIKIPÉDIA""), ""Wikipedia"",
IF(REGEXMATCH(S190, ""VEJA|Veja""), ""Veja Abril"",
IF(REGEXMATCH(S462, ""Rede Globo|RE"&amp;"DE GLOBO""), ""Rede Globo"",
IF(REGEXMATCH(S462, ""G1|globo\.com""), ""G1"",
IF(REGEXMATCH(S190, ""Deutsche Welle|DW\.com""), ""Deutsche Welle"",
IF(REGEXMATCH(S190, ""CIDH|Comissão Interamericana""), ""Comissão Interamericana de Direitos Humanos (CIDH)"""&amp;",
IF(REGEXMATCH(S190, ""Pastoral Carcerária""), ""Pastoral Carcerária"",
IF(REGEXMATCH(S190, ""Esquerda Web""), ""Esquerda Web"",
IF(REGEXMATCH(S190, ""ONU|Organização das Nações Unidas""), ""ONU Brasil"",
IF(REGEXMATCH(S190, ""Quilombo Invisível""), ""Qu"&amp;"ilombo Invisível"",
IF(REGEXMATCH(S190, ""ALESP|Assembleia Legislativa""), ""ALESP"",
IF(REGEXMATCH(S190, ""Revista Opera""), ""Revista Opera"",
IF(REGEXMATCH(S190, ""SP Escola de Teatro""), ""SP Escola de Teatro"",
IF(REGEXMATCH(S190, ""EMC|Espaço Memóri"&amp;"a Carandiru""), ""EMC Espaço Memória Carandiru"",
IF(REGEXMATCH(S190, ""^RAMOS, Nuno|Nuno Ramos""), ""Nuno Ramos"",
IF(REGEXMATCH(S190, ""^VELOSO, Caetano|Caetano Veloso""), ""YouTube (Caetano Veloso)"",
IF(REGEXMATCH(S190, ""^FATOS REAIS""), ""YouTube ("&amp;"Fatos Reais - Topic)"",
IF(REGEXMATCH(S190, ""^SALA SECRETA""), ""Wordpress (Sala Secreta)"",
PROPER(REGEXEXTRACT(S190, ""^([^.]*)\.""))
))))))))))))))))))))))))))))))))))))))))))))))))))))))))"),"Instagram (Memórias Carandiru)")</f>
        <v>Instagram (Memórias Carandiru)</v>
      </c>
      <c r="N190" s="11" t="s">
        <v>47</v>
      </c>
      <c r="O190" s="14" t="s">
        <v>149</v>
      </c>
      <c r="P190" s="201">
        <v>45856.0</v>
      </c>
      <c r="Q190" s="11" t="s">
        <v>154</v>
      </c>
      <c r="R190" s="70" t="str">
        <f t="shared" si="8"/>
        <v>Aqui</v>
      </c>
      <c r="S190" s="75" t="s">
        <v>917</v>
      </c>
    </row>
    <row r="191">
      <c r="A191" s="11">
        <v>189.0</v>
      </c>
      <c r="B191" s="14" t="s">
        <v>799</v>
      </c>
      <c r="C191" s="122" t="s">
        <v>165</v>
      </c>
      <c r="D191" s="13" t="str">
        <f>IFERROR(__xludf.DUMMYFUNCTION("IF(B191="""","""",IF(OR(
  REGEXMATCH(B191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REGEXMATCH(B191,""público|Imediato|artística|teatral|memória"")
),""Público Imediato"",
IF(REGEXMATCH(B191,""Música|Álbum|Filme|Documentário|Série|Podc"&amp;"ast|Rádio|Audiotour|Entrevista|Reportagem|Crônica|Relatório|Abaixo-assinado|Manifesto|Petição|Poema|Livro|Fotografia|Curta|Live|Webinário|Charge|Leitura pública|Vídeo""),
""Público Mediado"","""")))
"),"Público Imediato")</f>
        <v>Público Imediato</v>
      </c>
      <c r="E191" s="13" t="str">
        <f>IFERROR(__xludf.DUMMYFUNCTION("IF(B191="""","""",IF(OR(
  REGEXMATCH(B191,""Live|Webinário|Virtual""),
  REGEXMATCH(B191,""online"")
),""Virtual"",
IF(REGEXMATCH(B191,""Música|Álbum|Filme|Documentário|Série|Podcast|Rádio|Audiotour|Episódio|Reportagem|Curta|Charge|Livro|Vídeo|Entrevista"&amp;"""),
""Midiático"",
IF(REGEXMATCH(B191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1" s="186">
        <v>45532.0</v>
      </c>
      <c r="G191" s="15">
        <f t="shared" si="1"/>
        <v>2024</v>
      </c>
      <c r="H191" s="14" t="s">
        <v>918</v>
      </c>
      <c r="I191" s="175" t="s">
        <v>741</v>
      </c>
      <c r="J191" s="202" t="s">
        <v>919</v>
      </c>
      <c r="K191" s="16" t="s">
        <v>736</v>
      </c>
      <c r="L191" s="18" t="s">
        <v>489</v>
      </c>
      <c r="M191" s="15" t="str">
        <f>IFERROR(__xludf.DUMMYFUNCTION("IF(REGEXMATCH(S191, ""Companhia das Letras""), ""Companhia das Letras"",
IF(REGEXMATCH(S191, ""Labortexto Editorial""), ""Labortexto Editorial"",
IF(REGEXMATCH(S191, ""Geração Editorial""), ""Geração Editorial"",
IF(REGEXMATCH(S191, ""Editora Imprensa Ofi"&amp;"cial|Imprensa Oficial""), ""Editora Imprensa Oficial"",
IF(REGEXMATCH(S191, ""Folha Online""), ""Folha Online"",
IF(REGEXMATCH(S191, ""FGV DIREITO SP|FGV Direito SP""), ""FGV DIREITO SP"",
IF(REGEXMATCH(S191, ""massacrecarandiru\.org\.br""), ""Memória Mas"&amp;"sacre Carandiru"",
IF(REGEXMATCH(S191, ""Itaú Cultural""), ""YouTube (Itaú Cultural)"",
IF(REGEXMATCH(S191, ""Passa Palavra""), ""Vimeo (Passa Palavra)"",
IF(REGEXMATCH(S191, ""rede2deoutubro\.blogspot""), ""Blogspot (Rede 02 de Outubro)"",
IF(REGEXMATCH("&amp;"S191, ""Rede TVT""), ""YouTube (Rede TVT)"",
IF(REGEXMATCH(S191, ""Esquerda Diário""), ""Esquerda Diário"",
IF(REGEXMATCH(S191, ""GZH""), ""GZH"",
IF(REGEXMATCH(S191, ""TVPUC""), ""TVPUC"",
IF(REGEXMATCH(S191, ""Mídia Ninja.*Facebook""), ""Facebook (Mídia"&amp;" Ninja)"",
IF(REGEXMATCH(S191, ""Memórias Carandiru.*Instagram""), ""Instagram (Memórias Carandiru)"",
IF(REGEXMATCH(S191, ""Frente pelo Desencarceramento SP""), ""YouTube (Frente Pelo Desencarceramento SP)"",
IF(REGEXMATCH(S191, ""TV ABA""), ""YouTube (T"&amp;"V ABA)"",
IF(REGEXMATCH(S191, ""TV SENADO""), ""YouTube (TV Senado)"",
IF(REGEXMATCH(S191, ""Google Arts &amp; Culture""), ""Google Arts &amp; Culture (Memória Massacre Carandiru)"",
IF(REGEXMATCH(S191, ""Anistia Internacional|ANISTIA INTERNACIONAL""), ""Anistia "&amp;"Internacional"",
IF(REGEXMATCH(S191, ""47\.mostra|47a Mostra""), ""47a Mostra Internacional de Cinema em São Paulo"",
IF(REGEXMATCH(S191, ""Canal USP""), ""YouTube (Canal USP)"",
IF(AND(
  REGEXMATCH(S191, ""(?i)(teses?\.usp\.br|dissertacoes?\.usp\.br|rep"&amp;"ositorio\.usp\.br)""),
  NOT(REGEXMATCH(S191, ""Canal USP""))
), ""Biblioteca Digital de Teses e Dissertações da USP"",
IF(REGEXMATCH(S191, ""SINTRAJUSC""), ""SINTRAJUSC"",
IF(REGEXMATCH(S191, ""Agência Brasil|Agencia Brasil""), ""Agência Brasil"",
IF(REG"&amp;"EXMATCH(S191, ""Brasil de Fato""), ""Brasil de Fato"",
IF(REGEXMATCH(S191, ""Ponte Jornalismo|pontejornalismo""), ""Ponte Jornalismo"",
IF(REGEXMATCH(S191, ""letras\.mus\.br|Letras,""), ""Letras"",
IF(REGEXMATCH(S191, ""YouTube|youtube""), 
   ""YouTube "&amp;"(""&amp;
   IF(REGEXMATCH(S191, ""Itaú Cultural""), ""Itaú Cultural"",
   IF(REGEXMATCH(S191, ""Rede TVT""), ""Rede TVT"",
   IF(REGEXMATCH(S191, ""Frente pelo Desencarceramento SP""), ""Frente Pelo Desencarceramento SP"",
   IF(REGEXMATCH(S191, ""TV ABA""), "&amp;"""TV ABA"",
   IF(REGEXMATCH(S191, ""TV SENADO""), ""TV Senado"",
   IF(REGEXMATCH(S191, ""Canal USP""), ""Canal USP"",
   IF(REGEXMATCH(S191, ""Douer, Zack|Zack Douer""), ""Douer Zack"",
   IF(REGEXMATCH(S191, ""PRISIONEIRO 84\.901|PRISIONEIRO 84""), ""P"&amp;"risioneiro 84.901"",
   IF(REGEXMATCH(S191, ""^[^,]*, ""), 
        PROPER(REGEXREPLACE(REGEXEXTRACT(S191, ""^([^.]*)\.""), ""^([^,]*), (.*)"", ""$2 $1"")),
        PROPER(REGEXEXTRACT(S191, ""^([^.]*)\.""))
   )))))))))&amp;"")"",
IF(REGEXMATCH(S191, ""Spot"&amp;"ify|spotify""), 
   ""Spotify (""&amp;
   IF(REGEXMATCH(S191, ""ESTRANHO SORRISO""), ""Estranho Sorriso"",
   PROPER(REGEXEXTRACT(S191, ""^([^.]*)\.""))
   )&amp;"")"",
IF(REGEXMATCH(S191, ""Vimeo|vimeo""), 
   ""Vimeo (""&amp;
   IF(REGEXMATCH(S191, ""Passa Palavra"&amp;"""), ""Passa Palavra"",
   PROPER(REGEXEXTRACT(S191, ""^([^.]*)\.""))
   )&amp;"")"",
IF(REGEXMATCH(S191, ""Blogspot""), 
   ""Blogspot (""&amp;
   IF(REGEXMATCH(S191, ""rede2deoutubro""), ""Rede 02 de Outubro"",
   PROPER(REGEXEXTRACT(S191, ""^([^.]*)\.""))
   "&amp;")&amp;"")"",
IF(REGEXMATCH(S191, ""Facebook""), 
   ""Facebook (""&amp;
   IF(REGEXMATCH(S191, ""Mídia Ninja""), ""Mídia Ninja"",
   PROPER(REGEXEXTRACT(S191, ""^([^.]*)\.""))
   )&amp;"")"",
IF(REGEXMATCH(S191, ""Instagram""), 
   ""Instagram (""&amp;
   IF(REGEXMATCH"&amp;"(S191, ""Memórias Carandiru""), ""Memórias Carandiru"",
   PROPER(REGEXEXTRACT(S191, ""^([^.]*)\.""))
   )&amp;"")"",
IF(REGEXMATCH(S191, ""Folha de S\. Paulo|FOLHA DE S\. PAULO""), ""Folha de S. Paulo"",
IF(REGEXMATCH(S191, ""O Estado de S\. Paulo|ESTADAO"""&amp;"), ""O Estado de S. Paulo"",
IF(REGEXMATCH(S191, ""salasecreta""), ""Wordpress (Sala Secreta)"",
IF(REGEXMATCH(S191, ""Wikipedia|Wikipédia|WIKIPÉDIA""), ""Wikipedia"",
IF(REGEXMATCH(S191, ""VEJA|Veja""), ""Veja Abril"",
IF(REGEXMATCH(S463, ""Rede Globo|RE"&amp;"DE GLOBO""), ""Rede Globo"",
IF(REGEXMATCH(S463, ""G1|globo\.com""), ""G1"",
IF(REGEXMATCH(S191, ""Deutsche Welle|DW\.com""), ""Deutsche Welle"",
IF(REGEXMATCH(S191, ""CIDH|Comissão Interamericana""), ""Comissão Interamericana de Direitos Humanos (CIDH)"""&amp;",
IF(REGEXMATCH(S191, ""Pastoral Carcerária""), ""Pastoral Carcerária"",
IF(REGEXMATCH(S191, ""Esquerda Web""), ""Esquerda Web"",
IF(REGEXMATCH(S191, ""ONU|Organização das Nações Unidas""), ""ONU Brasil"",
IF(REGEXMATCH(S191, ""Quilombo Invisível""), ""Qu"&amp;"ilombo Invisível"",
IF(REGEXMATCH(S191, ""ALESP|Assembleia Legislativa""), ""ALESP"",
IF(REGEXMATCH(S191, ""Revista Opera""), ""Revista Opera"",
IF(REGEXMATCH(S191, ""SP Escola de Teatro""), ""SP Escola de Teatro"",
IF(REGEXMATCH(S191, ""EMC|Espaço Memóri"&amp;"a Carandiru""), ""EMC Espaço Memória Carandiru"",
IF(REGEXMATCH(S191, ""^RAMOS, Nuno|Nuno Ramos""), ""Nuno Ramos"",
IF(REGEXMATCH(S191, ""^VELOSO, Caetano|Caetano Veloso""), ""YouTube (Caetano Veloso)"",
IF(REGEXMATCH(S191, ""^FATOS REAIS""), ""YouTube ("&amp;"Fatos Reais - Topic)"",
IF(REGEXMATCH(S191, ""^SALA SECRETA""), ""Wordpress (Sala Secreta)"",
PROPER(REGEXEXTRACT(S191, ""^([^.]*)\.""))
))))))))))))))))))))))))))))))))))))))))))))))))))))))))"),"Instagram (Memórias Carandiru)")</f>
        <v>Instagram (Memórias Carandiru)</v>
      </c>
      <c r="N191" s="11" t="s">
        <v>47</v>
      </c>
      <c r="O191" s="14" t="s">
        <v>149</v>
      </c>
      <c r="P191" s="186">
        <v>45857.0</v>
      </c>
      <c r="Q191" s="11" t="s">
        <v>154</v>
      </c>
      <c r="R191" s="70" t="str">
        <f t="shared" si="8"/>
        <v>Aqui</v>
      </c>
      <c r="S191" s="75" t="s">
        <v>920</v>
      </c>
    </row>
    <row r="192">
      <c r="A192" s="11">
        <v>190.0</v>
      </c>
      <c r="B192" s="14" t="s">
        <v>462</v>
      </c>
      <c r="C192" s="122" t="s">
        <v>165</v>
      </c>
      <c r="D192" s="13" t="str">
        <f>IFERROR(__xludf.DUMMYFUNCTION("IF(B192="""","""",IF(OR(
  REGEXMATCH(B192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REGEXMATCH(B192,""público|Imediato|artística|teatral|memória"")
),""Público Imediato"",
IF(REGEXMATCH(B192,""Música|Álbum|Filme|Documentário|Série|Podc"&amp;"ast|Rádio|Audiotour|Entrevista|Reportagem|Crônica|Relatório|Abaixo-assinado|Manifesto|Petição|Poema|Livro|Fotografia|Curta|Live|Webinário|Charge|Leitura pública|Vídeo""),
""Público Mediado"","""")))
"),"Público Mediado")</f>
        <v>Público Mediado</v>
      </c>
      <c r="E192" s="13" t="str">
        <f>IFERROR(__xludf.DUMMYFUNCTION("IF(B192="""","""",IF(OR(
  REGEXMATCH(B192,""Live|Webinário|Virtual""),
  REGEXMATCH(B192,""online"")
),""Virtual"",
IF(REGEXMATCH(B192,""Música|Álbum|Filme|Documentário|Série|Podcast|Rádio|Audiotour|Episódio|Reportagem|Curta|Charge|Livro|Vídeo|Entrevista"&amp;"""),
""Midiático"",
IF(REGEXMATCH(B192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2" s="186">
        <v>45536.0</v>
      </c>
      <c r="G192" s="15">
        <f t="shared" si="1"/>
        <v>2024</v>
      </c>
      <c r="H192" s="14" t="s">
        <v>921</v>
      </c>
      <c r="I192" s="175" t="s">
        <v>922</v>
      </c>
      <c r="J192" s="202" t="s">
        <v>923</v>
      </c>
      <c r="K192" s="16" t="s">
        <v>736</v>
      </c>
      <c r="L192" s="18" t="s">
        <v>489</v>
      </c>
      <c r="M192" s="15" t="str">
        <f>IFERROR(__xludf.DUMMYFUNCTION("IF(REGEXMATCH(S192, ""Companhia das Letras""), ""Companhia das Letras"",
IF(REGEXMATCH(S192, ""Labortexto Editorial""), ""Labortexto Editorial"",
IF(REGEXMATCH(S192, ""Geração Editorial""), ""Geração Editorial"",
IF(REGEXMATCH(S192, ""Editora Imprensa Ofi"&amp;"cial|Imprensa Oficial""), ""Editora Imprensa Oficial"",
IF(REGEXMATCH(S192, ""Folha Online""), ""Folha Online"",
IF(REGEXMATCH(S192, ""FGV DIREITO SP|FGV Direito SP""), ""FGV DIREITO SP"",
IF(REGEXMATCH(S192, ""massacrecarandiru\.org\.br""), ""Memória Mas"&amp;"sacre Carandiru"",
IF(REGEXMATCH(S192, ""Itaú Cultural""), ""YouTube (Itaú Cultural)"",
IF(REGEXMATCH(S192, ""Passa Palavra""), ""Vimeo (Passa Palavra)"",
IF(REGEXMATCH(S192, ""rede2deoutubro\.blogspot""), ""Blogspot (Rede 02 de Outubro)"",
IF(REGEXMATCH("&amp;"S192, ""Rede TVT""), ""YouTube (Rede TVT)"",
IF(REGEXMATCH(S192, ""Esquerda Diário""), ""Esquerda Diário"",
IF(REGEXMATCH(S192, ""GZH""), ""GZH"",
IF(REGEXMATCH(S192, ""TVPUC""), ""TVPUC"",
IF(REGEXMATCH(S192, ""Mídia Ninja.*Facebook""), ""Facebook (Mídia"&amp;" Ninja)"",
IF(REGEXMATCH(S192, ""Memórias Carandiru.*Instagram""), ""Instagram (Memórias Carandiru)"",
IF(REGEXMATCH(S192, ""Frente pelo Desencarceramento SP""), ""YouTube (Frente Pelo Desencarceramento SP)"",
IF(REGEXMATCH(S192, ""TV ABA""), ""YouTube (T"&amp;"V ABA)"",
IF(REGEXMATCH(S192, ""TV SENADO""), ""YouTube (TV Senado)"",
IF(REGEXMATCH(S192, ""Google Arts &amp; Culture""), ""Google Arts &amp; Culture (Memória Massacre Carandiru)"",
IF(REGEXMATCH(S192, ""Anistia Internacional|ANISTIA INTERNACIONAL""), ""Anistia "&amp;"Internacional"",
IF(REGEXMATCH(S192, ""47\.mostra|47a Mostra""), ""47a Mostra Internacional de Cinema em São Paulo"",
IF(REGEXMATCH(S192, ""Canal USP""), ""YouTube (Canal USP)"",
IF(AND(
  REGEXMATCH(S192, ""(?i)(teses?\.usp\.br|dissertacoes?\.usp\.br|rep"&amp;"ositorio\.usp\.br)""),
  NOT(REGEXMATCH(S192, ""Canal USP""))
), ""Biblioteca Digital de Teses e Dissertações da USP"",
IF(REGEXMATCH(S192, ""SINTRAJUSC""), ""SINTRAJUSC"",
IF(REGEXMATCH(S192, ""Agência Brasil|Agencia Brasil""), ""Agência Brasil"",
IF(REG"&amp;"EXMATCH(S192, ""Brasil de Fato""), ""Brasil de Fato"",
IF(REGEXMATCH(S192, ""Ponte Jornalismo|pontejornalismo""), ""Ponte Jornalismo"",
IF(REGEXMATCH(S192, ""letras\.mus\.br|Letras,""), ""Letras"",
IF(REGEXMATCH(S192, ""YouTube|youtube""), 
   ""YouTube "&amp;"(""&amp;
   IF(REGEXMATCH(S192, ""Itaú Cultural""), ""Itaú Cultural"",
   IF(REGEXMATCH(S192, ""Rede TVT""), ""Rede TVT"",
   IF(REGEXMATCH(S192, ""Frente pelo Desencarceramento SP""), ""Frente Pelo Desencarceramento SP"",
   IF(REGEXMATCH(S192, ""TV ABA""), "&amp;"""TV ABA"",
   IF(REGEXMATCH(S192, ""TV SENADO""), ""TV Senado"",
   IF(REGEXMATCH(S192, ""Canal USP""), ""Canal USP"",
   IF(REGEXMATCH(S192, ""Douer, Zack|Zack Douer""), ""Douer Zack"",
   IF(REGEXMATCH(S192, ""PRISIONEIRO 84\.901|PRISIONEIRO 84""), ""P"&amp;"risioneiro 84.901"",
   IF(REGEXMATCH(S192, ""^[^,]*, ""), 
        PROPER(REGEXREPLACE(REGEXEXTRACT(S192, ""^([^.]*)\.""), ""^([^,]*), (.*)"", ""$2 $1"")),
        PROPER(REGEXEXTRACT(S192, ""^([^.]*)\.""))
   )))))))))&amp;"")"",
IF(REGEXMATCH(S192, ""Spot"&amp;"ify|spotify""), 
   ""Spotify (""&amp;
   IF(REGEXMATCH(S192, ""ESTRANHO SORRISO""), ""Estranho Sorriso"",
   PROPER(REGEXEXTRACT(S192, ""^([^.]*)\.""))
   )&amp;"")"",
IF(REGEXMATCH(S192, ""Vimeo|vimeo""), 
   ""Vimeo (""&amp;
   IF(REGEXMATCH(S192, ""Passa Palavra"&amp;"""), ""Passa Palavra"",
   PROPER(REGEXEXTRACT(S192, ""^([^.]*)\.""))
   )&amp;"")"",
IF(REGEXMATCH(S192, ""Blogspot""), 
   ""Blogspot (""&amp;
   IF(REGEXMATCH(S192, ""rede2deoutubro""), ""Rede 02 de Outubro"",
   PROPER(REGEXEXTRACT(S192, ""^([^.]*)\.""))
   "&amp;")&amp;"")"",
IF(REGEXMATCH(S192, ""Facebook""), 
   ""Facebook (""&amp;
   IF(REGEXMATCH(S192, ""Mídia Ninja""), ""Mídia Ninja"",
   PROPER(REGEXEXTRACT(S192, ""^([^.]*)\.""))
   )&amp;"")"",
IF(REGEXMATCH(S192, ""Instagram""), 
   ""Instagram (""&amp;
   IF(REGEXMATCH"&amp;"(S192, ""Memórias Carandiru""), ""Memórias Carandiru"",
   PROPER(REGEXEXTRACT(S192, ""^([^.]*)\.""))
   )&amp;"")"",
IF(REGEXMATCH(S192, ""Folha de S\. Paulo|FOLHA DE S\. PAULO""), ""Folha de S. Paulo"",
IF(REGEXMATCH(S192, ""O Estado de S\. Paulo|ESTADAO"""&amp;"), ""O Estado de S. Paulo"",
IF(REGEXMATCH(S192, ""salasecreta""), ""Wordpress (Sala Secreta)"",
IF(REGEXMATCH(S192, ""Wikipedia|Wikipédia|WIKIPÉDIA""), ""Wikipedia"",
IF(REGEXMATCH(S192, ""VEJA|Veja""), ""Veja Abril"",
IF(REGEXMATCH(S464, ""Rede Globo|RE"&amp;"DE GLOBO""), ""Rede Globo"",
IF(REGEXMATCH(S464, ""G1|globo\.com""), ""G1"",
IF(REGEXMATCH(S192, ""Deutsche Welle|DW\.com""), ""Deutsche Welle"",
IF(REGEXMATCH(S192, ""CIDH|Comissão Interamericana""), ""Comissão Interamericana de Direitos Humanos (CIDH)"""&amp;",
IF(REGEXMATCH(S192, ""Pastoral Carcerária""), ""Pastoral Carcerária"",
IF(REGEXMATCH(S192, ""Esquerda Web""), ""Esquerda Web"",
IF(REGEXMATCH(S192, ""ONU|Organização das Nações Unidas""), ""ONU Brasil"",
IF(REGEXMATCH(S192, ""Quilombo Invisível""), ""Qu"&amp;"ilombo Invisível"",
IF(REGEXMATCH(S192, ""ALESP|Assembleia Legislativa""), ""ALESP"",
IF(REGEXMATCH(S192, ""Revista Opera""), ""Revista Opera"",
IF(REGEXMATCH(S192, ""SP Escola de Teatro""), ""SP Escola de Teatro"",
IF(REGEXMATCH(S192, ""EMC|Espaço Memóri"&amp;"a Carandiru""), ""EMC Espaço Memória Carandiru"",
IF(REGEXMATCH(S192, ""^RAMOS, Nuno|Nuno Ramos""), ""Nuno Ramos"",
IF(REGEXMATCH(S192, ""^VELOSO, Caetano|Caetano Veloso""), ""YouTube (Caetano Veloso)"",
IF(REGEXMATCH(S192, ""^FATOS REAIS""), ""YouTube ("&amp;"Fatos Reais - Topic)"",
IF(REGEXMATCH(S192, ""^SALA SECRETA""), ""Wordpress (Sala Secreta)"",
PROPER(REGEXEXTRACT(S192, ""^([^.]*)\.""))
))))))))))))))))))))))))))))))))))))))))))))))))))))))))"),"Instagram (Mauricio Monteiro)")</f>
        <v>Instagram (Mauricio Monteiro)</v>
      </c>
      <c r="N192" s="11" t="s">
        <v>47</v>
      </c>
      <c r="O192" s="14" t="s">
        <v>149</v>
      </c>
      <c r="P192" s="186">
        <v>45857.0</v>
      </c>
      <c r="Q192" s="11" t="s">
        <v>154</v>
      </c>
      <c r="R192" s="70" t="str">
        <f t="shared" si="8"/>
        <v>Aqui</v>
      </c>
      <c r="S192" s="172" t="s">
        <v>924</v>
      </c>
    </row>
    <row r="193">
      <c r="A193" s="11">
        <v>191.0</v>
      </c>
      <c r="B193" s="14" t="s">
        <v>729</v>
      </c>
      <c r="C193" s="122" t="s">
        <v>165</v>
      </c>
      <c r="D193" s="13" t="str">
        <f>IFERROR(__xludf.DUMMYFUNCTION("IF(B193="""","""",IF(OR(
  REGEXMATCH(B193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REGEXMATCH(B193,""público|Imediato|artística|teatral|memória"")
),""Público Imediato"",
IF(REGEXMATCH(B193,""Música|Álbum|Filme|Documentário|Série|Podc"&amp;"ast|Rádio|Audiotour|Entrevista|Reportagem|Crônica|Relatório|Abaixo-assinado|Manifesto|Petição|Poema|Livro|Fotografia|Curta|Live|Webinário|Charge|Leitura pública|Vídeo""),
""Público Mediado"","""")))
"),"Público Imediato")</f>
        <v>Público Imediato</v>
      </c>
      <c r="E193" s="13" t="str">
        <f>IFERROR(__xludf.DUMMYFUNCTION("IF(B193="""","""",IF(OR(
  REGEXMATCH(B193,""Live|Webinário|Virtual""),
  REGEXMATCH(B193,""online"")
),""Virtual"",
IF(REGEXMATCH(B193,""Música|Álbum|Filme|Documentário|Série|Podcast|Rádio|Audiotour|Episódio|Reportagem|Curta|Charge|Livro|Vídeo|Entrevista"&amp;"""),
""Midiático"",
IF(REGEXMATCH(B193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3" s="186">
        <v>45549.0</v>
      </c>
      <c r="G193" s="15">
        <f t="shared" si="1"/>
        <v>2024</v>
      </c>
      <c r="H193" s="14" t="s">
        <v>925</v>
      </c>
      <c r="I193" s="175" t="s">
        <v>741</v>
      </c>
      <c r="J193" s="202" t="s">
        <v>926</v>
      </c>
      <c r="K193" s="16" t="s">
        <v>736</v>
      </c>
      <c r="L193" s="18" t="s">
        <v>489</v>
      </c>
      <c r="M193" s="15" t="str">
        <f>IFERROR(__xludf.DUMMYFUNCTION("IF(REGEXMATCH(S193, ""Companhia das Letras""), ""Companhia das Letras"",
IF(REGEXMATCH(S193, ""Labortexto Editorial""), ""Labortexto Editorial"",
IF(REGEXMATCH(S193, ""Geração Editorial""), ""Geração Editorial"",
IF(REGEXMATCH(S193, ""Editora Imprensa Ofi"&amp;"cial|Imprensa Oficial""), ""Editora Imprensa Oficial"",
IF(REGEXMATCH(S193, ""Folha Online""), ""Folha Online"",
IF(REGEXMATCH(S193, ""FGV DIREITO SP|FGV Direito SP""), ""FGV DIREITO SP"",
IF(REGEXMATCH(S193, ""massacrecarandiru\.org\.br""), ""Memória Mas"&amp;"sacre Carandiru"",
IF(REGEXMATCH(S193, ""Itaú Cultural""), ""YouTube (Itaú Cultural)"",
IF(REGEXMATCH(S193, ""Passa Palavra""), ""Vimeo (Passa Palavra)"",
IF(REGEXMATCH(S193, ""rede2deoutubro\.blogspot""), ""Blogspot (Rede 02 de Outubro)"",
IF(REGEXMATCH("&amp;"S193, ""Rede TVT""), ""YouTube (Rede TVT)"",
IF(REGEXMATCH(S193, ""Esquerda Diário""), ""Esquerda Diário"",
IF(REGEXMATCH(S193, ""GZH""), ""GZH"",
IF(REGEXMATCH(S193, ""TVPUC""), ""TVPUC"",
IF(REGEXMATCH(S193, ""Mídia Ninja.*Facebook""), ""Facebook (Mídia"&amp;" Ninja)"",
IF(REGEXMATCH(S193, ""Memórias Carandiru.*Instagram""), ""Instagram (Memórias Carandiru)"",
IF(REGEXMATCH(S193, ""Frente pelo Desencarceramento SP""), ""YouTube (Frente Pelo Desencarceramento SP)"",
IF(REGEXMATCH(S193, ""TV ABA""), ""YouTube (T"&amp;"V ABA)"",
IF(REGEXMATCH(S193, ""TV SENADO""), ""YouTube (TV Senado)"",
IF(REGEXMATCH(S193, ""Google Arts &amp; Culture""), ""Google Arts &amp; Culture (Memória Massacre Carandiru)"",
IF(REGEXMATCH(S193, ""Anistia Internacional|ANISTIA INTERNACIONAL""), ""Anistia "&amp;"Internacional"",
IF(REGEXMATCH(S193, ""47\.mostra|47a Mostra""), ""47a Mostra Internacional de Cinema em São Paulo"",
IF(REGEXMATCH(S193, ""Canal USP""), ""YouTube (Canal USP)"",
IF(AND(
  REGEXMATCH(S193, ""(?i)(teses?\.usp\.br|dissertacoes?\.usp\.br|rep"&amp;"ositorio\.usp\.br)""),
  NOT(REGEXMATCH(S193, ""Canal USP""))
), ""Biblioteca Digital de Teses e Dissertações da USP"",
IF(REGEXMATCH(S193, ""SINTRAJUSC""), ""SINTRAJUSC"",
IF(REGEXMATCH(S193, ""Agência Brasil|Agencia Brasil""), ""Agência Brasil"",
IF(REG"&amp;"EXMATCH(S193, ""Brasil de Fato""), ""Brasil de Fato"",
IF(REGEXMATCH(S193, ""Ponte Jornalismo|pontejornalismo""), ""Ponte Jornalismo"",
IF(REGEXMATCH(S193, ""letras\.mus\.br|Letras,""), ""Letras"",
IF(REGEXMATCH(S193, ""YouTube|youtube""), 
   ""YouTube "&amp;"(""&amp;
   IF(REGEXMATCH(S193, ""Itaú Cultural""), ""Itaú Cultural"",
   IF(REGEXMATCH(S193, ""Rede TVT""), ""Rede TVT"",
   IF(REGEXMATCH(S193, ""Frente pelo Desencarceramento SP""), ""Frente Pelo Desencarceramento SP"",
   IF(REGEXMATCH(S193, ""TV ABA""), "&amp;"""TV ABA"",
   IF(REGEXMATCH(S193, ""TV SENADO""), ""TV Senado"",
   IF(REGEXMATCH(S193, ""Canal USP""), ""Canal USP"",
   IF(REGEXMATCH(S193, ""Douer, Zack|Zack Douer""), ""Douer Zack"",
   IF(REGEXMATCH(S193, ""PRISIONEIRO 84\.901|PRISIONEIRO 84""), ""P"&amp;"risioneiro 84.901"",
   IF(REGEXMATCH(S193, ""^[^,]*, ""), 
        PROPER(REGEXREPLACE(REGEXEXTRACT(S193, ""^([^.]*)\.""), ""^([^,]*), (.*)"", ""$2 $1"")),
        PROPER(REGEXEXTRACT(S193, ""^([^.]*)\.""))
   )))))))))&amp;"")"",
IF(REGEXMATCH(S193, ""Spot"&amp;"ify|spotify""), 
   ""Spotify (""&amp;
   IF(REGEXMATCH(S193, ""ESTRANHO SORRISO""), ""Estranho Sorriso"",
   PROPER(REGEXEXTRACT(S193, ""^([^.]*)\.""))
   )&amp;"")"",
IF(REGEXMATCH(S193, ""Vimeo|vimeo""), 
   ""Vimeo (""&amp;
   IF(REGEXMATCH(S193, ""Passa Palavra"&amp;"""), ""Passa Palavra"",
   PROPER(REGEXEXTRACT(S193, ""^([^.]*)\.""))
   )&amp;"")"",
IF(REGEXMATCH(S193, ""Blogspot""), 
   ""Blogspot (""&amp;
   IF(REGEXMATCH(S193, ""rede2deoutubro""), ""Rede 02 de Outubro"",
   PROPER(REGEXEXTRACT(S193, ""^([^.]*)\.""))
   "&amp;")&amp;"")"",
IF(REGEXMATCH(S193, ""Facebook""), 
   ""Facebook (""&amp;
   IF(REGEXMATCH(S193, ""Mídia Ninja""), ""Mídia Ninja"",
   PROPER(REGEXEXTRACT(S193, ""^([^.]*)\.""))
   )&amp;"")"",
IF(REGEXMATCH(S193, ""Instagram""), 
   ""Instagram (""&amp;
   IF(REGEXMATCH"&amp;"(S193, ""Memórias Carandiru""), ""Memórias Carandiru"",
   PROPER(REGEXEXTRACT(S193, ""^([^.]*)\.""))
   )&amp;"")"",
IF(REGEXMATCH(S193, ""Folha de S\. Paulo|FOLHA DE S\. PAULO""), ""Folha de S. Paulo"",
IF(REGEXMATCH(S193, ""O Estado de S\. Paulo|ESTADAO"""&amp;"), ""O Estado de S. Paulo"",
IF(REGEXMATCH(S193, ""salasecreta""), ""Wordpress (Sala Secreta)"",
IF(REGEXMATCH(S193, ""Wikipedia|Wikipédia|WIKIPÉDIA""), ""Wikipedia"",
IF(REGEXMATCH(S193, ""VEJA|Veja""), ""Veja Abril"",
IF(REGEXMATCH(S465, ""Rede Globo|RE"&amp;"DE GLOBO""), ""Rede Globo"",
IF(REGEXMATCH(S465, ""G1|globo\.com""), ""G1"",
IF(REGEXMATCH(S193, ""Deutsche Welle|DW\.com""), ""Deutsche Welle"",
IF(REGEXMATCH(S193, ""CIDH|Comissão Interamericana""), ""Comissão Interamericana de Direitos Humanos (CIDH)"""&amp;",
IF(REGEXMATCH(S193, ""Pastoral Carcerária""), ""Pastoral Carcerária"",
IF(REGEXMATCH(S193, ""Esquerda Web""), ""Esquerda Web"",
IF(REGEXMATCH(S193, ""ONU|Organização das Nações Unidas""), ""ONU Brasil"",
IF(REGEXMATCH(S193, ""Quilombo Invisível""), ""Qu"&amp;"ilombo Invisível"",
IF(REGEXMATCH(S193, ""ALESP|Assembleia Legislativa""), ""ALESP"",
IF(REGEXMATCH(S193, ""Revista Opera""), ""Revista Opera"",
IF(REGEXMATCH(S193, ""SP Escola de Teatro""), ""SP Escola de Teatro"",
IF(REGEXMATCH(S193, ""EMC|Espaço Memóri"&amp;"a Carandiru""), ""EMC Espaço Memória Carandiru"",
IF(REGEXMATCH(S193, ""^RAMOS, Nuno|Nuno Ramos""), ""Nuno Ramos"",
IF(REGEXMATCH(S193, ""^VELOSO, Caetano|Caetano Veloso""), ""YouTube (Caetano Veloso)"",
IF(REGEXMATCH(S193, ""^FATOS REAIS""), ""YouTube ("&amp;"Fatos Reais - Topic)"",
IF(REGEXMATCH(S193, ""^SALA SECRETA""), ""Wordpress (Sala Secreta)"",
PROPER(REGEXEXTRACT(S193, ""^([^.]*)\.""))
))))))))))))))))))))))))))))))))))))))))))))))))))))))))"),"Instagram (Memórias Carandiru)")</f>
        <v>Instagram (Memórias Carandiru)</v>
      </c>
      <c r="N193" s="11" t="s">
        <v>47</v>
      </c>
      <c r="O193" s="14" t="s">
        <v>149</v>
      </c>
      <c r="P193" s="186">
        <v>45857.0</v>
      </c>
      <c r="Q193" s="11" t="s">
        <v>154</v>
      </c>
      <c r="R193" s="70" t="str">
        <f t="shared" si="8"/>
        <v>Aqui</v>
      </c>
      <c r="S193" s="75" t="s">
        <v>927</v>
      </c>
    </row>
    <row r="194">
      <c r="A194" s="11">
        <v>192.0</v>
      </c>
      <c r="B194" s="14" t="s">
        <v>799</v>
      </c>
      <c r="C194" s="122" t="s">
        <v>165</v>
      </c>
      <c r="D194" s="13" t="str">
        <f>IFERROR(__xludf.DUMMYFUNCTION("IF(B194="""","""",IF(OR(
  REGEXMATCH(B194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REGEXMATCH(B194,""público|Imediato|artística|teatral|memória"")
),""Público Imediato"",
IF(REGEXMATCH(B194,""Música|Álbum|Filme|Documentário|Série|Podc"&amp;"ast|Rádio|Audiotour|Entrevista|Reportagem|Crônica|Relatório|Abaixo-assinado|Manifesto|Petição|Poema|Livro|Fotografia|Curta|Live|Webinário|Charge|Leitura pública|Vídeo""),
""Público Mediado"","""")))
"),"Público Imediato")</f>
        <v>Público Imediato</v>
      </c>
      <c r="E194" s="13" t="str">
        <f>IFERROR(__xludf.DUMMYFUNCTION("IF(B194="""","""",IF(OR(
  REGEXMATCH(B194,""Live|Webinário|Virtual""),
  REGEXMATCH(B194,""online"")
),""Virtual"",
IF(REGEXMATCH(B194,""Música|Álbum|Filme|Documentário|Série|Podcast|Rádio|Audiotour|Episódio|Reportagem|Curta|Charge|Livro|Vídeo|Entrevista"&amp;"""),
""Midiático"",
IF(REGEXMATCH(B194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4" s="186">
        <v>45557.0</v>
      </c>
      <c r="G194" s="15">
        <f t="shared" si="1"/>
        <v>2024</v>
      </c>
      <c r="H194" s="14" t="s">
        <v>733</v>
      </c>
      <c r="I194" s="175" t="s">
        <v>741</v>
      </c>
      <c r="J194" s="202" t="s">
        <v>928</v>
      </c>
      <c r="K194" s="16" t="s">
        <v>736</v>
      </c>
      <c r="L194" s="18" t="s">
        <v>489</v>
      </c>
      <c r="M194" s="15" t="str">
        <f>IFERROR(__xludf.DUMMYFUNCTION("IF(REGEXMATCH(S194, ""Companhia das Letras""), ""Companhia das Letras"",
IF(REGEXMATCH(S194, ""Labortexto Editorial""), ""Labortexto Editorial"",
IF(REGEXMATCH(S194, ""Geração Editorial""), ""Geração Editorial"",
IF(REGEXMATCH(S194, ""Editora Imprensa Ofi"&amp;"cial|Imprensa Oficial""), ""Editora Imprensa Oficial"",
IF(REGEXMATCH(S194, ""Folha Online""), ""Folha Online"",
IF(REGEXMATCH(S194, ""FGV DIREITO SP|FGV Direito SP""), ""FGV DIREITO SP"",
IF(REGEXMATCH(S194, ""massacrecarandiru\.org\.br""), ""Memória Mas"&amp;"sacre Carandiru"",
IF(REGEXMATCH(S194, ""Itaú Cultural""), ""YouTube (Itaú Cultural)"",
IF(REGEXMATCH(S194, ""Passa Palavra""), ""Vimeo (Passa Palavra)"",
IF(REGEXMATCH(S194, ""rede2deoutubro\.blogspot""), ""Blogspot (Rede 02 de Outubro)"",
IF(REGEXMATCH("&amp;"S194, ""Rede TVT""), ""YouTube (Rede TVT)"",
IF(REGEXMATCH(S194, ""Esquerda Diário""), ""Esquerda Diário"",
IF(REGEXMATCH(S194, ""GZH""), ""GZH"",
IF(REGEXMATCH(S194, ""TVPUC""), ""TVPUC"",
IF(REGEXMATCH(S194, ""Mídia Ninja.*Facebook""), ""Facebook (Mídia"&amp;" Ninja)"",
IF(REGEXMATCH(S194, ""Memórias Carandiru.*Instagram""), ""Instagram (Memórias Carandiru)"",
IF(REGEXMATCH(S194, ""Frente pelo Desencarceramento SP""), ""YouTube (Frente Pelo Desencarceramento SP)"",
IF(REGEXMATCH(S194, ""TV ABA""), ""YouTube (T"&amp;"V ABA)"",
IF(REGEXMATCH(S194, ""TV SENADO""), ""YouTube (TV Senado)"",
IF(REGEXMATCH(S194, ""Google Arts &amp; Culture""), ""Google Arts &amp; Culture (Memória Massacre Carandiru)"",
IF(REGEXMATCH(S194, ""Anistia Internacional|ANISTIA INTERNACIONAL""), ""Anistia "&amp;"Internacional"",
IF(REGEXMATCH(S194, ""47\.mostra|47a Mostra""), ""47a Mostra Internacional de Cinema em São Paulo"",
IF(REGEXMATCH(S194, ""Canal USP""), ""YouTube (Canal USP)"",
IF(AND(
  REGEXMATCH(S194, ""(?i)(teses?\.usp\.br|dissertacoes?\.usp\.br|rep"&amp;"ositorio\.usp\.br)""),
  NOT(REGEXMATCH(S194, ""Canal USP""))
), ""Biblioteca Digital de Teses e Dissertações da USP"",
IF(REGEXMATCH(S194, ""SINTRAJUSC""), ""SINTRAJUSC"",
IF(REGEXMATCH(S194, ""Agência Brasil|Agencia Brasil""), ""Agência Brasil"",
IF(REG"&amp;"EXMATCH(S194, ""Brasil de Fato""), ""Brasil de Fato"",
IF(REGEXMATCH(S194, ""Ponte Jornalismo|pontejornalismo""), ""Ponte Jornalismo"",
IF(REGEXMATCH(S194, ""letras\.mus\.br|Letras,""), ""Letras"",
IF(REGEXMATCH(S194, ""YouTube|youtube""), 
   ""YouTube "&amp;"(""&amp;
   IF(REGEXMATCH(S194, ""Itaú Cultural""), ""Itaú Cultural"",
   IF(REGEXMATCH(S194, ""Rede TVT""), ""Rede TVT"",
   IF(REGEXMATCH(S194, ""Frente pelo Desencarceramento SP""), ""Frente Pelo Desencarceramento SP"",
   IF(REGEXMATCH(S194, ""TV ABA""), "&amp;"""TV ABA"",
   IF(REGEXMATCH(S194, ""TV SENADO""), ""TV Senado"",
   IF(REGEXMATCH(S194, ""Canal USP""), ""Canal USP"",
   IF(REGEXMATCH(S194, ""Douer, Zack|Zack Douer""), ""Douer Zack"",
   IF(REGEXMATCH(S194, ""PRISIONEIRO 84\.901|PRISIONEIRO 84""), ""P"&amp;"risioneiro 84.901"",
   IF(REGEXMATCH(S194, ""^[^,]*, ""), 
        PROPER(REGEXREPLACE(REGEXEXTRACT(S194, ""^([^.]*)\.""), ""^([^,]*), (.*)"", ""$2 $1"")),
        PROPER(REGEXEXTRACT(S194, ""^([^.]*)\.""))
   )))))))))&amp;"")"",
IF(REGEXMATCH(S194, ""Spot"&amp;"ify|spotify""), 
   ""Spotify (""&amp;
   IF(REGEXMATCH(S194, ""ESTRANHO SORRISO""), ""Estranho Sorriso"",
   PROPER(REGEXEXTRACT(S194, ""^([^.]*)\.""))
   )&amp;"")"",
IF(REGEXMATCH(S194, ""Vimeo|vimeo""), 
   ""Vimeo (""&amp;
   IF(REGEXMATCH(S194, ""Passa Palavra"&amp;"""), ""Passa Palavra"",
   PROPER(REGEXEXTRACT(S194, ""^([^.]*)\.""))
   )&amp;"")"",
IF(REGEXMATCH(S194, ""Blogspot""), 
   ""Blogspot (""&amp;
   IF(REGEXMATCH(S194, ""rede2deoutubro""), ""Rede 02 de Outubro"",
   PROPER(REGEXEXTRACT(S194, ""^([^.]*)\.""))
   "&amp;")&amp;"")"",
IF(REGEXMATCH(S194, ""Facebook""), 
   ""Facebook (""&amp;
   IF(REGEXMATCH(S194, ""Mídia Ninja""), ""Mídia Ninja"",
   PROPER(REGEXEXTRACT(S194, ""^([^.]*)\.""))
   )&amp;"")"",
IF(REGEXMATCH(S194, ""Instagram""), 
   ""Instagram (""&amp;
   IF(REGEXMATCH"&amp;"(S194, ""Memórias Carandiru""), ""Memórias Carandiru"",
   PROPER(REGEXEXTRACT(S194, ""^([^.]*)\.""))
   )&amp;"")"",
IF(REGEXMATCH(S194, ""Folha de S\. Paulo|FOLHA DE S\. PAULO""), ""Folha de S. Paulo"",
IF(REGEXMATCH(S194, ""O Estado de S\. Paulo|ESTADAO"""&amp;"), ""O Estado de S. Paulo"",
IF(REGEXMATCH(S194, ""salasecreta""), ""Wordpress (Sala Secreta)"",
IF(REGEXMATCH(S194, ""Wikipedia|Wikipédia|WIKIPÉDIA""), ""Wikipedia"",
IF(REGEXMATCH(S194, ""VEJA|Veja""), ""Veja Abril"",
IF(REGEXMATCH(S467, ""Rede Globo|RE"&amp;"DE GLOBO""), ""Rede Globo"",
IF(REGEXMATCH(S467, ""G1|globo\.com""), ""G1"",
IF(REGEXMATCH(S194, ""Deutsche Welle|DW\.com""), ""Deutsche Welle"",
IF(REGEXMATCH(S194, ""CIDH|Comissão Interamericana""), ""Comissão Interamericana de Direitos Humanos (CIDH)"""&amp;",
IF(REGEXMATCH(S194, ""Pastoral Carcerária""), ""Pastoral Carcerária"",
IF(REGEXMATCH(S194, ""Esquerda Web""), ""Esquerda Web"",
IF(REGEXMATCH(S194, ""ONU|Organização das Nações Unidas""), ""ONU Brasil"",
IF(REGEXMATCH(S194, ""Quilombo Invisível""), ""Qu"&amp;"ilombo Invisível"",
IF(REGEXMATCH(S194, ""ALESP|Assembleia Legislativa""), ""ALESP"",
IF(REGEXMATCH(S194, ""Revista Opera""), ""Revista Opera"",
IF(REGEXMATCH(S194, ""SP Escola de Teatro""), ""SP Escola de Teatro"",
IF(REGEXMATCH(S194, ""EMC|Espaço Memóri"&amp;"a Carandiru""), ""EMC Espaço Memória Carandiru"",
IF(REGEXMATCH(S194, ""^RAMOS, Nuno|Nuno Ramos""), ""Nuno Ramos"",
IF(REGEXMATCH(S194, ""^VELOSO, Caetano|Caetano Veloso""), ""YouTube (Caetano Veloso)"",
IF(REGEXMATCH(S194, ""^FATOS REAIS""), ""YouTube ("&amp;"Fatos Reais - Topic)"",
IF(REGEXMATCH(S194, ""^SALA SECRETA""), ""Wordpress (Sala Secreta)"",
PROPER(REGEXEXTRACT(S194, ""^([^.]*)\.""))
))))))))))))))))))))))))))))))))))))))))))))))))))))))))"),"Instagram (Memórias Carandiru)")</f>
        <v>Instagram (Memórias Carandiru)</v>
      </c>
      <c r="N194" s="11" t="s">
        <v>47</v>
      </c>
      <c r="O194" s="14" t="s">
        <v>149</v>
      </c>
      <c r="P194" s="186">
        <v>45857.0</v>
      </c>
      <c r="Q194" s="11" t="s">
        <v>154</v>
      </c>
      <c r="R194" s="70" t="str">
        <f t="shared" si="8"/>
        <v>Aqui</v>
      </c>
      <c r="S194" s="75" t="s">
        <v>929</v>
      </c>
    </row>
    <row r="195">
      <c r="A195" s="11">
        <v>193.0</v>
      </c>
      <c r="B195" s="11" t="s">
        <v>930</v>
      </c>
      <c r="C195" s="122" t="s">
        <v>165</v>
      </c>
      <c r="D195" s="13" t="str">
        <f>IFERROR(__xludf.DUMMYFUNCTION("IF(B195="""","""",IF(OR(
  REGEXMATCH(B195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REGEXMATCH(B195,""público|Imediato|artística|teatral|memória"")
),""Público Imediato"",
IF(REGEXMATCH(B195,""Música|Álbum|Filme|Documentário|Série|Podc"&amp;"ast|Rádio|Audiotour|Entrevista|Reportagem|Crônica|Relatório|Abaixo-assinado|Manifesto|Petição|Poema|Livro|Fotografia|Curta|Live|Webinário|Charge|Leitura pública|Vídeo""),
""Público Mediado"","""")))
"),"Público Imediato")</f>
        <v>Público Imediato</v>
      </c>
      <c r="E195" s="13" t="str">
        <f>IFERROR(__xludf.DUMMYFUNCTION("IF(B195="""","""",IF(OR(
  REGEXMATCH(B195,""Live|Webinário|Virtual""),
  REGEXMATCH(B195,""online"")
),""Virtual"",
IF(REGEXMATCH(B195,""Música|Álbum|Filme|Documentário|Série|Podcast|Rádio|Audiotour|Episódio|Reportagem|Curta|Charge|Livro|Vídeo|Entrevista"&amp;"""),
""Midiático"",
IF(REGEXMATCH(B195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5" s="183">
        <v>45566.0</v>
      </c>
      <c r="G195" s="15">
        <f t="shared" si="1"/>
        <v>2024</v>
      </c>
      <c r="H195" s="11" t="s">
        <v>931</v>
      </c>
      <c r="I195" s="16" t="s">
        <v>932</v>
      </c>
      <c r="J195" s="17" t="s">
        <v>933</v>
      </c>
      <c r="K195" s="16" t="s">
        <v>233</v>
      </c>
      <c r="L195" s="18" t="s">
        <v>325</v>
      </c>
      <c r="M195" s="15" t="str">
        <f>IFERROR(__xludf.DUMMYFUNCTION("IF(REGEXMATCH(S195, ""Companhia das Letras""), ""Companhia das Letras"",
IF(REGEXMATCH(S195, ""Labortexto Editorial""), ""Labortexto Editorial"",
IF(REGEXMATCH(S195, ""Geração Editorial""), ""Geração Editorial"",
IF(REGEXMATCH(S195, ""Editora Imprensa Ofi"&amp;"cial|Imprensa Oficial""), ""Editora Imprensa Oficial"",
IF(REGEXMATCH(S195, ""Folha Online""), ""Folha Online"",
IF(REGEXMATCH(S195, ""FGV DIREITO SP|FGV Direito SP""), ""FGV DIREITO SP"",
IF(REGEXMATCH(S195, ""massacrecarandiru\.org\.br""), ""Memória Mas"&amp;"sacre Carandiru"",
IF(REGEXMATCH(S195, ""Itaú Cultural""), ""YouTube (Itaú Cultural)"",
IF(REGEXMATCH(S195, ""Passa Palavra""), ""Vimeo (Passa Palavra)"",
IF(REGEXMATCH(S195, ""rede2deoutubro\.blogspot""), ""Blogspot (Rede 02 de Outubro)"",
IF(REGEXMATCH("&amp;"S195, ""Rede TVT""), ""YouTube (Rede TVT)"",
IF(REGEXMATCH(S195, ""Esquerda Diário""), ""Esquerda Diário"",
IF(REGEXMATCH(S195, ""GZH""), ""GZH"",
IF(REGEXMATCH(S195, ""TVPUC""), ""TVPUC"",
IF(REGEXMATCH(S195, ""Mídia Ninja.*Facebook""), ""Facebook (Mídia"&amp;" Ninja)"",
IF(REGEXMATCH(S195, ""Memórias Carandiru.*Instagram""), ""Instagram (Memórias Carandiru)"",
IF(REGEXMATCH(S195, ""Frente pelo Desencarceramento SP""), ""YouTube (Frente Pelo Desencarceramento SP)"",
IF(REGEXMATCH(S195, ""TV ABA""), ""YouTube (T"&amp;"V ABA)"",
IF(REGEXMATCH(S195, ""TV SENADO""), ""YouTube (TV Senado)"",
IF(REGEXMATCH(S195, ""Google Arts &amp; Culture""), ""Google Arts &amp; Culture (Memória Massacre Carandiru)"",
IF(REGEXMATCH(S195, ""Anistia Internacional|ANISTIA INTERNACIONAL""), ""Anistia "&amp;"Internacional"",
IF(REGEXMATCH(S195, ""47\.mostra|47a Mostra""), ""47a Mostra Internacional de Cinema em São Paulo"",
IF(REGEXMATCH(S195, ""Canal USP""), ""YouTube (Canal USP)"",
IF(AND(
  REGEXMATCH(S195, ""(?i)(teses?\.usp\.br|dissertacoes?\.usp\.br|rep"&amp;"ositorio\.usp\.br)""),
  NOT(REGEXMATCH(S195, ""Canal USP""))
), ""Biblioteca Digital de Teses e Dissertações da USP"",
IF(REGEXMATCH(S195, ""SINTRAJUSC""), ""SINTRAJUSC"",
IF(REGEXMATCH(S195, ""Agência Brasil|Agencia Brasil""), ""Agência Brasil"",
IF(REG"&amp;"EXMATCH(S195, ""Brasil de Fato""), ""Brasil de Fato"",
IF(REGEXMATCH(S195, ""Ponte Jornalismo|pontejornalismo""), ""Ponte Jornalismo"",
IF(REGEXMATCH(S195, ""letras\.mus\.br|Letras,""), ""Letras"",
IF(REGEXMATCH(S195, ""YouTube|youtube""), 
   ""YouTube "&amp;"(""&amp;
   IF(REGEXMATCH(S195, ""Itaú Cultural""), ""Itaú Cultural"",
   IF(REGEXMATCH(S195, ""Rede TVT""), ""Rede TVT"",
   IF(REGEXMATCH(S195, ""Frente pelo Desencarceramento SP""), ""Frente Pelo Desencarceramento SP"",
   IF(REGEXMATCH(S195, ""TV ABA""), "&amp;"""TV ABA"",
   IF(REGEXMATCH(S195, ""TV SENADO""), ""TV Senado"",
   IF(REGEXMATCH(S195, ""Canal USP""), ""Canal USP"",
   IF(REGEXMATCH(S195, ""Douer, Zack|Zack Douer""), ""Douer Zack"",
   IF(REGEXMATCH(S195, ""PRISIONEIRO 84\.901|PRISIONEIRO 84""), ""P"&amp;"risioneiro 84.901"",
   IF(REGEXMATCH(S195, ""^[^,]*, ""), 
        PROPER(REGEXREPLACE(REGEXEXTRACT(S195, ""^([^.]*)\.""), ""^([^,]*), (.*)"", ""$2 $1"")),
        PROPER(REGEXEXTRACT(S195, ""^([^.]*)\.""))
   )))))))))&amp;"")"",
IF(REGEXMATCH(S195, ""Spot"&amp;"ify|spotify""), 
   ""Spotify (""&amp;
   IF(REGEXMATCH(S195, ""ESTRANHO SORRISO""), ""Estranho Sorriso"",
   PROPER(REGEXEXTRACT(S195, ""^([^.]*)\.""))
   )&amp;"")"",
IF(REGEXMATCH(S195, ""Vimeo|vimeo""), 
   ""Vimeo (""&amp;
   IF(REGEXMATCH(S195, ""Passa Palavra"&amp;"""), ""Passa Palavra"",
   PROPER(REGEXEXTRACT(S195, ""^([^.]*)\.""))
   )&amp;"")"",
IF(REGEXMATCH(S195, ""Blogspot""), 
   ""Blogspot (""&amp;
   IF(REGEXMATCH(S195, ""rede2deoutubro""), ""Rede 02 de Outubro"",
   PROPER(REGEXEXTRACT(S195, ""^([^.]*)\.""))
   "&amp;")&amp;"")"",
IF(REGEXMATCH(S195, ""Facebook""), 
   ""Facebook (""&amp;
   IF(REGEXMATCH(S195, ""Mídia Ninja""), ""Mídia Ninja"",
   PROPER(REGEXEXTRACT(S195, ""^([^.]*)\.""))
   )&amp;"")"",
IF(REGEXMATCH(S195, ""Instagram""), 
   ""Instagram (""&amp;
   IF(REGEXMATCH"&amp;"(S195, ""Memórias Carandiru""), ""Memórias Carandiru"",
   PROPER(REGEXEXTRACT(S195, ""^([^.]*)\.""))
   )&amp;"")"",
IF(REGEXMATCH(S195, ""Folha de S\. Paulo|FOLHA DE S\. PAULO""), ""Folha de S. Paulo"",
IF(REGEXMATCH(S195, ""O Estado de S\. Paulo|ESTADAO"""&amp;"), ""O Estado de S. Paulo"",
IF(REGEXMATCH(S195, ""salasecreta""), ""Wordpress (Sala Secreta)"",
IF(REGEXMATCH(S195, ""Wikipedia|Wikipédia|WIKIPÉDIA""), ""Wikipedia"",
IF(REGEXMATCH(S195, ""VEJA|Veja""), ""Veja Abril"",
IF(REGEXMATCH(S468, ""Rede Globo|RE"&amp;"DE GLOBO""), ""Rede Globo"",
IF(REGEXMATCH(S468, ""G1|globo\.com""), ""G1"",
IF(REGEXMATCH(S195, ""Deutsche Welle|DW\.com""), ""Deutsche Welle"",
IF(REGEXMATCH(S195, ""CIDH|Comissão Interamericana""), ""Comissão Interamericana de Direitos Humanos (CIDH)"""&amp;",
IF(REGEXMATCH(S195, ""Pastoral Carcerária""), ""Pastoral Carcerária"",
IF(REGEXMATCH(S195, ""Esquerda Web""), ""Esquerda Web"",
IF(REGEXMATCH(S195, ""ONU|Organização das Nações Unidas""), ""ONU Brasil"",
IF(REGEXMATCH(S195, ""Quilombo Invisível""), ""Qu"&amp;"ilombo Invisível"",
IF(REGEXMATCH(S195, ""ALESP|Assembleia Legislativa""), ""ALESP"",
IF(REGEXMATCH(S195, ""Revista Opera""), ""Revista Opera"",
IF(REGEXMATCH(S195, ""SP Escola de Teatro""), ""SP Escola de Teatro"",
IF(REGEXMATCH(S195, ""EMC|Espaço Memóri"&amp;"a Carandiru""), ""EMC Espaço Memória Carandiru"",
IF(REGEXMATCH(S195, ""^RAMOS, Nuno|Nuno Ramos""), ""Nuno Ramos"",
IF(REGEXMATCH(S195, ""^VELOSO, Caetano|Caetano Veloso""), ""YouTube (Caetano Veloso)"",
IF(REGEXMATCH(S195, ""^FATOS REAIS""), ""YouTube ("&amp;"Fatos Reais - Topic)"",
IF(REGEXMATCH(S195, ""^SALA SECRETA""), ""Wordpress (Sala Secreta)"",
PROPER(REGEXEXTRACT(S195, ""^([^.]*)\.""))
))))))))))))))))))))))))))))))))))))))))))))))))))))))))"),"FGV DIREITO SP")</f>
        <v>FGV DIREITO SP</v>
      </c>
      <c r="N195" s="11" t="s">
        <v>47</v>
      </c>
      <c r="O195" s="11" t="s">
        <v>149</v>
      </c>
      <c r="P195" s="51">
        <v>45853.0</v>
      </c>
      <c r="Q195" s="11" t="s">
        <v>154</v>
      </c>
      <c r="R195" s="70" t="str">
        <f t="shared" si="8"/>
        <v>Aqui</v>
      </c>
      <c r="S195" s="75" t="s">
        <v>934</v>
      </c>
    </row>
    <row r="196">
      <c r="A196" s="11">
        <v>194.0</v>
      </c>
      <c r="B196" s="14" t="s">
        <v>935</v>
      </c>
      <c r="C196" s="12" t="str">
        <f>IFERROR(__xludf.DUMMYFUNCTION("IF(B196="""","""",IF(OR(
  REGEXMATCH(B196,""Performance|Instalação|Álbum|Música|Poema|Livro|Filme|Documentário|Recitação|Espetáculo|Peça|Intervenção|Desfile|Fotografia|Exposição|Charge|Grafite|Leitura pública|Fabricação de cachaça artesanal""),
  REGEXMA"&amp;"TCH(B196,""dança|teatral|artístico|musical|artística"")
),""Manifestação artístico-cultural"",
IF(OR(
  REGEXMATCH(B196,""Crônica|Série|Reportagem|Podcast|Audiotour|Entrevista|Vídeo|Rádio""),
  REGEXMATCH(B196,""midiática"")
),""Produção midiática"","""")"&amp;"))
"),"Produção midiática")</f>
        <v>Produção midiática</v>
      </c>
      <c r="D196" s="13" t="str">
        <f>IFERROR(__xludf.DUMMYFUNCTION("IF(B196="""","""",IF(OR(
  REGEXMATCH(B196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REGEXMATCH(B196,""público|Imediato|artística|teatral|memória"")
),""Público Imediato"",
IF(REGEXMATCH(B196,""Música|Álbum|Filme|Documentário|Série|Podc"&amp;"ast|Rádio|Audiotour|Entrevista|Reportagem|Crônica|Relatório|Abaixo-assinado|Manifesto|Petição|Poema|Livro|Fotografia|Curta|Live|Webinário|Charge|Leitura pública|Vídeo""),
""Público Mediado"","""")))
"),"Público Mediado")</f>
        <v>Público Mediado</v>
      </c>
      <c r="E196" s="13" t="str">
        <f>IFERROR(__xludf.DUMMYFUNCTION("IF(B196="""","""",IF(OR(
  REGEXMATCH(B196,""Live|Webinário|Virtual""),
  REGEXMATCH(B196,""online"")
),""Virtual"",
IF(REGEXMATCH(B196,""Música|Álbum|Filme|Documentário|Série|Podcast|Rádio|Audiotour|Episódio|Reportagem|Curta|Charge|Livro|Vídeo|Entrevista"&amp;"""),
""Midiático"",
IF(REGEXMATCH(B196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96" s="186">
        <v>45567.0</v>
      </c>
      <c r="G196" s="15">
        <f t="shared" si="1"/>
        <v>2024</v>
      </c>
      <c r="H196" s="14" t="s">
        <v>733</v>
      </c>
      <c r="I196" s="175" t="s">
        <v>936</v>
      </c>
      <c r="J196" s="202" t="s">
        <v>937</v>
      </c>
      <c r="K196" s="16" t="s">
        <v>736</v>
      </c>
      <c r="L196" s="18" t="s">
        <v>489</v>
      </c>
      <c r="M196" s="15" t="str">
        <f>IFERROR(__xludf.DUMMYFUNCTION("IF(REGEXMATCH(S196, ""Companhia das Letras""), ""Companhia das Letras"",
IF(REGEXMATCH(S196, ""Labortexto Editorial""), ""Labortexto Editorial"",
IF(REGEXMATCH(S196, ""Geração Editorial""), ""Geração Editorial"",
IF(REGEXMATCH(S196, ""Editora Imprensa Ofi"&amp;"cial|Imprensa Oficial""), ""Editora Imprensa Oficial"",
IF(REGEXMATCH(S196, ""Folha Online""), ""Folha Online"",
IF(REGEXMATCH(S196, ""FGV DIREITO SP|FGV Direito SP""), ""FGV DIREITO SP"",
IF(REGEXMATCH(S196, ""massacrecarandiru\.org\.br""), ""Memória Mas"&amp;"sacre Carandiru"",
IF(REGEXMATCH(S196, ""Itaú Cultural""), ""YouTube (Itaú Cultural)"",
IF(REGEXMATCH(S196, ""Passa Palavra""), ""Vimeo (Passa Palavra)"",
IF(REGEXMATCH(S196, ""rede2deoutubro\.blogspot""), ""Blogspot (Rede 02 de Outubro)"",
IF(REGEXMATCH("&amp;"S196, ""Rede TVT""), ""YouTube (Rede TVT)"",
IF(REGEXMATCH(S196, ""Esquerda Diário""), ""Esquerda Diário"",
IF(REGEXMATCH(S196, ""GZH""), ""GZH"",
IF(REGEXMATCH(S196, ""TVPUC""), ""TVPUC"",
IF(REGEXMATCH(S196, ""Mídia Ninja.*Facebook""), ""Facebook (Mídia"&amp;" Ninja)"",
IF(REGEXMATCH(S196, ""Memórias Carandiru.*Instagram""), ""Instagram (Memórias Carandiru)"",
IF(REGEXMATCH(S196, ""Frente pelo Desencarceramento SP""), ""YouTube (Frente Pelo Desencarceramento SP)"",
IF(REGEXMATCH(S196, ""TV ABA""), ""YouTube (T"&amp;"V ABA)"",
IF(REGEXMATCH(S196, ""TV SENADO""), ""YouTube (TV Senado)"",
IF(REGEXMATCH(S196, ""Google Arts &amp; Culture""), ""Google Arts &amp; Culture (Memória Massacre Carandiru)"",
IF(REGEXMATCH(S196, ""Anistia Internacional|ANISTIA INTERNACIONAL""), ""Anistia "&amp;"Internacional"",
IF(REGEXMATCH(S196, ""47\.mostra|47a Mostra""), ""47a Mostra Internacional de Cinema em São Paulo"",
IF(REGEXMATCH(S196, ""Canal USP""), ""YouTube (Canal USP)"",
IF(AND(
  REGEXMATCH(S196, ""(?i)(teses?\.usp\.br|dissertacoes?\.usp\.br|rep"&amp;"ositorio\.usp\.br)""),
  NOT(REGEXMATCH(S196, ""Canal USP""))
), ""Biblioteca Digital de Teses e Dissertações da USP"",
IF(REGEXMATCH(S196, ""SINTRAJUSC""), ""SINTRAJUSC"",
IF(REGEXMATCH(S196, ""Agência Brasil|Agencia Brasil""), ""Agência Brasil"",
IF(REG"&amp;"EXMATCH(S196, ""Brasil de Fato""), ""Brasil de Fato"",
IF(REGEXMATCH(S196, ""Ponte Jornalismo|pontejornalismo""), ""Ponte Jornalismo"",
IF(REGEXMATCH(S196, ""letras\.mus\.br|Letras,""), ""Letras"",
IF(REGEXMATCH(S196, ""YouTube|youtube""), 
   ""YouTube "&amp;"(""&amp;
   IF(REGEXMATCH(S196, ""Itaú Cultural""), ""Itaú Cultural"",
   IF(REGEXMATCH(S196, ""Rede TVT""), ""Rede TVT"",
   IF(REGEXMATCH(S196, ""Frente pelo Desencarceramento SP""), ""Frente Pelo Desencarceramento SP"",
   IF(REGEXMATCH(S196, ""TV ABA""), "&amp;"""TV ABA"",
   IF(REGEXMATCH(S196, ""TV SENADO""), ""TV Senado"",
   IF(REGEXMATCH(S196, ""Canal USP""), ""Canal USP"",
   IF(REGEXMATCH(S196, ""Douer, Zack|Zack Douer""), ""Douer Zack"",
   IF(REGEXMATCH(S196, ""PRISIONEIRO 84\.901|PRISIONEIRO 84""), ""P"&amp;"risioneiro 84.901"",
   IF(REGEXMATCH(S196, ""^[^,]*, ""), 
        PROPER(REGEXREPLACE(REGEXEXTRACT(S196, ""^([^.]*)\.""), ""^([^,]*), (.*)"", ""$2 $1"")),
        PROPER(REGEXEXTRACT(S196, ""^([^.]*)\.""))
   )))))))))&amp;"")"",
IF(REGEXMATCH(S196, ""Spot"&amp;"ify|spotify""), 
   ""Spotify (""&amp;
   IF(REGEXMATCH(S196, ""ESTRANHO SORRISO""), ""Estranho Sorriso"",
   PROPER(REGEXEXTRACT(S196, ""^([^.]*)\.""))
   )&amp;"")"",
IF(REGEXMATCH(S196, ""Vimeo|vimeo""), 
   ""Vimeo (""&amp;
   IF(REGEXMATCH(S196, ""Passa Palavra"&amp;"""), ""Passa Palavra"",
   PROPER(REGEXEXTRACT(S196, ""^([^.]*)\.""))
   )&amp;"")"",
IF(REGEXMATCH(S196, ""Blogspot""), 
   ""Blogspot (""&amp;
   IF(REGEXMATCH(S196, ""rede2deoutubro""), ""Rede 02 de Outubro"",
   PROPER(REGEXEXTRACT(S196, ""^([^.]*)\.""))
   "&amp;")&amp;"")"",
IF(REGEXMATCH(S196, ""Facebook""), 
   ""Facebook (""&amp;
   IF(REGEXMATCH(S196, ""Mídia Ninja""), ""Mídia Ninja"",
   PROPER(REGEXEXTRACT(S196, ""^([^.]*)\.""))
   )&amp;"")"",
IF(REGEXMATCH(S196, ""Instagram""), 
   ""Instagram (""&amp;
   IF(REGEXMATCH"&amp;"(S196, ""Memórias Carandiru""), ""Memórias Carandiru"",
   PROPER(REGEXEXTRACT(S196, ""^([^.]*)\.""))
   )&amp;"")"",
IF(REGEXMATCH(S196, ""Folha de S\. Paulo|FOLHA DE S\. PAULO""), ""Folha de S. Paulo"",
IF(REGEXMATCH(S196, ""O Estado de S\. Paulo|ESTADAO"""&amp;"), ""O Estado de S. Paulo"",
IF(REGEXMATCH(S196, ""salasecreta""), ""Wordpress (Sala Secreta)"",
IF(REGEXMATCH(S196, ""Wikipedia|Wikipédia|WIKIPÉDIA""), ""Wikipedia"",
IF(REGEXMATCH(S196, ""VEJA|Veja""), ""Veja Abril"",
IF(REGEXMATCH(S469, ""Rede Globo|RE"&amp;"DE GLOBO""), ""Rede Globo"",
IF(REGEXMATCH(S469, ""G1|globo\.com""), ""G1"",
IF(REGEXMATCH(S196, ""Deutsche Welle|DW\.com""), ""Deutsche Welle"",
IF(REGEXMATCH(S196, ""CIDH|Comissão Interamericana""), ""Comissão Interamericana de Direitos Humanos (CIDH)"""&amp;",
IF(REGEXMATCH(S196, ""Pastoral Carcerária""), ""Pastoral Carcerária"",
IF(REGEXMATCH(S196, ""Esquerda Web""), ""Esquerda Web"",
IF(REGEXMATCH(S196, ""ONU|Organização das Nações Unidas""), ""ONU Brasil"",
IF(REGEXMATCH(S196, ""Quilombo Invisível""), ""Qu"&amp;"ilombo Invisível"",
IF(REGEXMATCH(S196, ""ALESP|Assembleia Legislativa""), ""ALESP"",
IF(REGEXMATCH(S196, ""Revista Opera""), ""Revista Opera"",
IF(REGEXMATCH(S196, ""SP Escola de Teatro""), ""SP Escola de Teatro"",
IF(REGEXMATCH(S196, ""EMC|Espaço Memóri"&amp;"a Carandiru""), ""EMC Espaço Memória Carandiru"",
IF(REGEXMATCH(S196, ""^RAMOS, Nuno|Nuno Ramos""), ""Nuno Ramos"",
IF(REGEXMATCH(S196, ""^VELOSO, Caetano|Caetano Veloso""), ""YouTube (Caetano Veloso)"",
IF(REGEXMATCH(S196, ""^FATOS REAIS""), ""YouTube ("&amp;"Fatos Reais - Topic)"",
IF(REGEXMATCH(S196, ""^SALA SECRETA""), ""Wordpress (Sala Secreta)"",
PROPER(REGEXEXTRACT(S196, ""^([^.]*)\.""))
))))))))))))))))))))))))))))))))))))))))))))))))))))))))"),"Instagram (Memórias Carandiru)")</f>
        <v>Instagram (Memórias Carandiru)</v>
      </c>
      <c r="N196" s="11" t="s">
        <v>47</v>
      </c>
      <c r="O196" s="14" t="s">
        <v>149</v>
      </c>
      <c r="P196" s="186">
        <v>45857.0</v>
      </c>
      <c r="Q196" s="11" t="s">
        <v>154</v>
      </c>
      <c r="R196" s="70" t="str">
        <f t="shared" si="8"/>
        <v>Aqui</v>
      </c>
      <c r="S196" s="75" t="s">
        <v>938</v>
      </c>
    </row>
    <row r="197">
      <c r="A197" s="11">
        <v>195.0</v>
      </c>
      <c r="B197" s="14" t="s">
        <v>939</v>
      </c>
      <c r="C197" s="12" t="str">
        <f>IFERROR(__xludf.DUMMYFUNCTION("IF(B197="""","""",IF(OR(
  REGEXMATCH(B197,""Performance|Instalação|Álbum|Música|Poema|Livro|Filme|Documentário|Recitação|Espetáculo|Peça|Intervenção|Desfile|Fotografia|Exposição|Charge|Grafite|Leitura pública|Fabricação de cachaça artesanal""),
  REGEXMA"&amp;"TCH(B197,""dança|teatral|artístico|musical|artística"")
),""Manifestação artístico-cultural"",
IF(OR(
  REGEXMATCH(B197,""Crônica|Série|Reportagem|Podcast|Audiotour|Entrevista|Vídeo|Rádio""),
  REGEXMATCH(B197,""midiática"")
),""Produção midiática"","""")"&amp;"))
"),"Produção midiática")</f>
        <v>Produção midiática</v>
      </c>
      <c r="D197" s="13" t="str">
        <f>IFERROR(__xludf.DUMMYFUNCTION("IF(B197="""","""",IF(OR(
  REGEXMATCH(B197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REGEXMATCH(B197,""público|Imediato|artística|teatral|memória"")
),""Público Imediato"",
IF(REGEXMATCH(B197,""Música|Álbum|Filme|Documentário|Série|Podc"&amp;"ast|Rádio|Audiotour|Entrevista|Reportagem|Crônica|Relatório|Abaixo-assinado|Manifesto|Petição|Poema|Livro|Fotografia|Curta|Live|Webinário|Charge|Leitura pública|Vídeo""),
""Público Mediado"","""")))
"),"Público Mediado")</f>
        <v>Público Mediado</v>
      </c>
      <c r="E197" s="13" t="str">
        <f>IFERROR(__xludf.DUMMYFUNCTION("IF(B197="""","""",IF(OR(
  REGEXMATCH(B197,""Live|Webinário|Virtual""),
  REGEXMATCH(B197,""online"")
),""Virtual"",
IF(REGEXMATCH(B197,""Música|Álbum|Filme|Documentário|Série|Podcast|Rádio|Audiotour|Episódio|Reportagem|Curta|Charge|Livro|Vídeo|Entrevista"&amp;"""),
""Midiático"",
IF(REGEXMATCH(B197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97" s="186">
        <v>45568.0</v>
      </c>
      <c r="G197" s="15">
        <f t="shared" si="1"/>
        <v>2024</v>
      </c>
      <c r="H197" s="181" t="s">
        <v>347</v>
      </c>
      <c r="I197" s="175" t="s">
        <v>940</v>
      </c>
      <c r="J197" s="202" t="s">
        <v>941</v>
      </c>
      <c r="K197" s="16" t="s">
        <v>736</v>
      </c>
      <c r="L197" s="18" t="s">
        <v>489</v>
      </c>
      <c r="M197" s="15" t="str">
        <f>IFERROR(__xludf.DUMMYFUNCTION("IF(REGEXMATCH(S197, ""Companhia das Letras""), ""Companhia das Letras"",
IF(REGEXMATCH(S197, ""Labortexto Editorial""), ""Labortexto Editorial"",
IF(REGEXMATCH(S197, ""Geração Editorial""), ""Geração Editorial"",
IF(REGEXMATCH(S197, ""Editora Imprensa Ofi"&amp;"cial|Imprensa Oficial""), ""Editora Imprensa Oficial"",
IF(REGEXMATCH(S197, ""Folha Online""), ""Folha Online"",
IF(REGEXMATCH(S197, ""FGV DIREITO SP|FGV Direito SP""), ""FGV DIREITO SP"",
IF(REGEXMATCH(S197, ""massacrecarandiru\.org\.br""), ""Memória Mas"&amp;"sacre Carandiru"",
IF(REGEXMATCH(S197, ""Itaú Cultural""), ""YouTube (Itaú Cultural)"",
IF(REGEXMATCH(S197, ""Passa Palavra""), ""Vimeo (Passa Palavra)"",
IF(REGEXMATCH(S197, ""rede2deoutubro\.blogspot""), ""Blogspot (Rede 02 de Outubro)"",
IF(REGEXMATCH("&amp;"S197, ""Rede TVT""), ""YouTube (Rede TVT)"",
IF(REGEXMATCH(S197, ""Esquerda Diário""), ""Esquerda Diário"",
IF(REGEXMATCH(S197, ""GZH""), ""GZH"",
IF(REGEXMATCH(S197, ""TVPUC""), ""TVPUC"",
IF(REGEXMATCH(S197, ""Mídia Ninja.*Facebook""), ""Facebook (Mídia"&amp;" Ninja)"",
IF(REGEXMATCH(S197, ""Memórias Carandiru.*Instagram""), ""Instagram (Memórias Carandiru)"",
IF(REGEXMATCH(S197, ""Frente pelo Desencarceramento SP""), ""YouTube (Frente Pelo Desencarceramento SP)"",
IF(REGEXMATCH(S197, ""TV ABA""), ""YouTube (T"&amp;"V ABA)"",
IF(REGEXMATCH(S197, ""TV SENADO""), ""YouTube (TV Senado)"",
IF(REGEXMATCH(S197, ""Google Arts &amp; Culture""), ""Google Arts &amp; Culture (Memória Massacre Carandiru)"",
IF(REGEXMATCH(S197, ""Anistia Internacional|ANISTIA INTERNACIONAL""), ""Anistia "&amp;"Internacional"",
IF(REGEXMATCH(S197, ""47\.mostra|47a Mostra""), ""47a Mostra Internacional de Cinema em São Paulo"",
IF(REGEXMATCH(S197, ""Canal USP""), ""YouTube (Canal USP)"",
IF(AND(
  REGEXMATCH(S197, ""(?i)(teses?\.usp\.br|dissertacoes?\.usp\.br|rep"&amp;"ositorio\.usp\.br)""),
  NOT(REGEXMATCH(S197, ""Canal USP""))
), ""Biblioteca Digital de Teses e Dissertações da USP"",
IF(REGEXMATCH(S197, ""SINTRAJUSC""), ""SINTRAJUSC"",
IF(REGEXMATCH(S197, ""Agência Brasil|Agencia Brasil""), ""Agência Brasil"",
IF(REG"&amp;"EXMATCH(S197, ""Brasil de Fato""), ""Brasil de Fato"",
IF(REGEXMATCH(S197, ""Ponte Jornalismo|pontejornalismo""), ""Ponte Jornalismo"",
IF(REGEXMATCH(S197, ""letras\.mus\.br|Letras,""), ""Letras"",
IF(REGEXMATCH(S197, ""YouTube|youtube""), 
   ""YouTube "&amp;"(""&amp;
   IF(REGEXMATCH(S197, ""Itaú Cultural""), ""Itaú Cultural"",
   IF(REGEXMATCH(S197, ""Rede TVT""), ""Rede TVT"",
   IF(REGEXMATCH(S197, ""Frente pelo Desencarceramento SP""), ""Frente Pelo Desencarceramento SP"",
   IF(REGEXMATCH(S197, ""TV ABA""), "&amp;"""TV ABA"",
   IF(REGEXMATCH(S197, ""TV SENADO""), ""TV Senado"",
   IF(REGEXMATCH(S197, ""Canal USP""), ""Canal USP"",
   IF(REGEXMATCH(S197, ""Douer, Zack|Zack Douer""), ""Douer Zack"",
   IF(REGEXMATCH(S197, ""PRISIONEIRO 84\.901|PRISIONEIRO 84""), ""P"&amp;"risioneiro 84.901"",
   IF(REGEXMATCH(S197, ""^[^,]*, ""), 
        PROPER(REGEXREPLACE(REGEXEXTRACT(S197, ""^([^.]*)\.""), ""^([^,]*), (.*)"", ""$2 $1"")),
        PROPER(REGEXEXTRACT(S197, ""^([^.]*)\.""))
   )))))))))&amp;"")"",
IF(REGEXMATCH(S197, ""Spot"&amp;"ify|spotify""), 
   ""Spotify (""&amp;
   IF(REGEXMATCH(S197, ""ESTRANHO SORRISO""), ""Estranho Sorriso"",
   PROPER(REGEXEXTRACT(S197, ""^([^.]*)\.""))
   )&amp;"")"",
IF(REGEXMATCH(S197, ""Vimeo|vimeo""), 
   ""Vimeo (""&amp;
   IF(REGEXMATCH(S197, ""Passa Palavra"&amp;"""), ""Passa Palavra"",
   PROPER(REGEXEXTRACT(S197, ""^([^.]*)\.""))
   )&amp;"")"",
IF(REGEXMATCH(S197, ""Blogspot""), 
   ""Blogspot (""&amp;
   IF(REGEXMATCH(S197, ""rede2deoutubro""), ""Rede 02 de Outubro"",
   PROPER(REGEXEXTRACT(S197, ""^([^.]*)\.""))
   "&amp;")&amp;"")"",
IF(REGEXMATCH(S197, ""Facebook""), 
   ""Facebook (""&amp;
   IF(REGEXMATCH(S197, ""Mídia Ninja""), ""Mídia Ninja"",
   PROPER(REGEXEXTRACT(S197, ""^([^.]*)\.""))
   )&amp;"")"",
IF(REGEXMATCH(S197, ""Instagram""), 
   ""Instagram (""&amp;
   IF(REGEXMATCH"&amp;"(S197, ""Memórias Carandiru""), ""Memórias Carandiru"",
   PROPER(REGEXEXTRACT(S197, ""^([^.]*)\.""))
   )&amp;"")"",
IF(REGEXMATCH(S197, ""Folha de S\. Paulo|FOLHA DE S\. PAULO""), ""Folha de S. Paulo"",
IF(REGEXMATCH(S197, ""O Estado de S\. Paulo|ESTADAO"""&amp;"), ""O Estado de S. Paulo"",
IF(REGEXMATCH(S197, ""salasecreta""), ""Wordpress (Sala Secreta)"",
IF(REGEXMATCH(S197, ""Wikipedia|Wikipédia|WIKIPÉDIA""), ""Wikipedia"",
IF(REGEXMATCH(S197, ""VEJA|Veja""), ""Veja Abril"",
IF(REGEXMATCH(S470, ""Rede Globo|RE"&amp;"DE GLOBO""), ""Rede Globo"",
IF(REGEXMATCH(S470, ""G1|globo\.com""), ""G1"",
IF(REGEXMATCH(S197, ""Deutsche Welle|DW\.com""), ""Deutsche Welle"",
IF(REGEXMATCH(S197, ""CIDH|Comissão Interamericana""), ""Comissão Interamericana de Direitos Humanos (CIDH)"""&amp;",
IF(REGEXMATCH(S197, ""Pastoral Carcerária""), ""Pastoral Carcerária"",
IF(REGEXMATCH(S197, ""Esquerda Web""), ""Esquerda Web"",
IF(REGEXMATCH(S197, ""ONU|Organização das Nações Unidas""), ""ONU Brasil"",
IF(REGEXMATCH(S197, ""Quilombo Invisível""), ""Qu"&amp;"ilombo Invisível"",
IF(REGEXMATCH(S197, ""ALESP|Assembleia Legislativa""), ""ALESP"",
IF(REGEXMATCH(S197, ""Revista Opera""), ""Revista Opera"",
IF(REGEXMATCH(S197, ""SP Escola de Teatro""), ""SP Escola de Teatro"",
IF(REGEXMATCH(S197, ""EMC|Espaço Memóri"&amp;"a Carandiru""), ""EMC Espaço Memória Carandiru"",
IF(REGEXMATCH(S197, ""^RAMOS, Nuno|Nuno Ramos""), ""Nuno Ramos"",
IF(REGEXMATCH(S197, ""^VELOSO, Caetano|Caetano Veloso""), ""YouTube (Caetano Veloso)"",
IF(REGEXMATCH(S197, ""^FATOS REAIS""), ""YouTube ("&amp;"Fatos Reais - Topic)"",
IF(REGEXMATCH(S197, ""^SALA SECRETA""), ""Wordpress (Sala Secreta)"",
PROPER(REGEXEXTRACT(S197, ""^([^.]*)\.""))
))))))))))))))))))))))))))))))))))))))))))))))))))))))))"),"Instagram (Memórias Carandiru)")</f>
        <v>Instagram (Memórias Carandiru)</v>
      </c>
      <c r="N197" s="11" t="s">
        <v>47</v>
      </c>
      <c r="O197" s="14" t="s">
        <v>149</v>
      </c>
      <c r="P197" s="186">
        <v>45857.0</v>
      </c>
      <c r="Q197" s="11" t="s">
        <v>154</v>
      </c>
      <c r="R197" s="70" t="str">
        <f t="shared" si="8"/>
        <v>Aqui</v>
      </c>
      <c r="S197" s="75" t="s">
        <v>942</v>
      </c>
    </row>
    <row r="198">
      <c r="A198" s="11">
        <v>196.0</v>
      </c>
      <c r="B198" s="14" t="s">
        <v>943</v>
      </c>
      <c r="C198" s="122" t="s">
        <v>165</v>
      </c>
      <c r="D198" s="13" t="str">
        <f>IFERROR(__xludf.DUMMYFUNCTION("IF(B198="""","""",IF(OR(
  REGEXMATCH(B198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REGEXMATCH(B198,""público|Imediato|artística|teatral|memória"")
),""Público Imediato"",
IF(REGEXMATCH(B198,""Música|Álbum|Filme|Documentário|Série|Podc"&amp;"ast|Rádio|Audiotour|Entrevista|Reportagem|Crônica|Relatório|Abaixo-assinado|Manifesto|Petição|Poema|Livro|Fotografia|Curta|Live|Webinário|Charge|Leitura pública|Vídeo""),
""Público Mediado"","""")))
"),"Público Imediato")</f>
        <v>Público Imediato</v>
      </c>
      <c r="E198" s="13" t="str">
        <f>IFERROR(__xludf.DUMMYFUNCTION("IF(B198="""","""",IF(OR(
  REGEXMATCH(B198,""Live|Webinário|Virtual""),
  REGEXMATCH(B198,""online"")
),""Virtual"",
IF(REGEXMATCH(B198,""Música|Álbum|Filme|Documentário|Série|Podcast|Rádio|Audiotour|Episódio|Reportagem|Curta|Charge|Livro|Vídeo|Entrevista"&amp;"""),
""Midiático"",
IF(REGEXMATCH(B198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8" s="186">
        <v>45568.0</v>
      </c>
      <c r="G198" s="15">
        <f t="shared" si="1"/>
        <v>2024</v>
      </c>
      <c r="H198" s="14" t="s">
        <v>733</v>
      </c>
      <c r="I198" s="175" t="s">
        <v>944</v>
      </c>
      <c r="J198" s="202" t="s">
        <v>945</v>
      </c>
      <c r="K198" s="16" t="s">
        <v>736</v>
      </c>
      <c r="L198" s="18" t="s">
        <v>489</v>
      </c>
      <c r="M198" s="15" t="str">
        <f>IFERROR(__xludf.DUMMYFUNCTION("IF(REGEXMATCH(S198, ""Companhia das Letras""), ""Companhia das Letras"",
IF(REGEXMATCH(S198, ""Labortexto Editorial""), ""Labortexto Editorial"",
IF(REGEXMATCH(S198, ""Geração Editorial""), ""Geração Editorial"",
IF(REGEXMATCH(S198, ""Editora Imprensa Ofi"&amp;"cial|Imprensa Oficial""), ""Editora Imprensa Oficial"",
IF(REGEXMATCH(S198, ""Folha Online""), ""Folha Online"",
IF(REGEXMATCH(S198, ""FGV DIREITO SP|FGV Direito SP""), ""FGV DIREITO SP"",
IF(REGEXMATCH(S198, ""massacrecarandiru\.org\.br""), ""Memória Mas"&amp;"sacre Carandiru"",
IF(REGEXMATCH(S198, ""Itaú Cultural""), ""YouTube (Itaú Cultural)"",
IF(REGEXMATCH(S198, ""Passa Palavra""), ""Vimeo (Passa Palavra)"",
IF(REGEXMATCH(S198, ""rede2deoutubro\.blogspot""), ""Blogspot (Rede 02 de Outubro)"",
IF(REGEXMATCH("&amp;"S198, ""Rede TVT""), ""YouTube (Rede TVT)"",
IF(REGEXMATCH(S198, ""Esquerda Diário""), ""Esquerda Diário"",
IF(REGEXMATCH(S198, ""GZH""), ""GZH"",
IF(REGEXMATCH(S198, ""TVPUC""), ""TVPUC"",
IF(REGEXMATCH(S198, ""Mídia Ninja.*Facebook""), ""Facebook (Mídia"&amp;" Ninja)"",
IF(REGEXMATCH(S198, ""Memórias Carandiru.*Instagram""), ""Instagram (Memórias Carandiru)"",
IF(REGEXMATCH(S198, ""Frente pelo Desencarceramento SP""), ""YouTube (Frente Pelo Desencarceramento SP)"",
IF(REGEXMATCH(S198, ""TV ABA""), ""YouTube (T"&amp;"V ABA)"",
IF(REGEXMATCH(S198, ""TV SENADO""), ""YouTube (TV Senado)"",
IF(REGEXMATCH(S198, ""Google Arts &amp; Culture""), ""Google Arts &amp; Culture (Memória Massacre Carandiru)"",
IF(REGEXMATCH(S198, ""Anistia Internacional|ANISTIA INTERNACIONAL""), ""Anistia "&amp;"Internacional"",
IF(REGEXMATCH(S198, ""47\.mostra|47a Mostra""), ""47a Mostra Internacional de Cinema em São Paulo"",
IF(REGEXMATCH(S198, ""Canal USP""), ""YouTube (Canal USP)"",
IF(AND(
  REGEXMATCH(S198, ""(?i)(teses?\.usp\.br|dissertacoes?\.usp\.br|rep"&amp;"ositorio\.usp\.br)""),
  NOT(REGEXMATCH(S198, ""Canal USP""))
), ""Biblioteca Digital de Teses e Dissertações da USP"",
IF(REGEXMATCH(S198, ""SINTRAJUSC""), ""SINTRAJUSC"",
IF(REGEXMATCH(S198, ""Agência Brasil|Agencia Brasil""), ""Agência Brasil"",
IF(REG"&amp;"EXMATCH(S198, ""Brasil de Fato""), ""Brasil de Fato"",
IF(REGEXMATCH(S198, ""Ponte Jornalismo|pontejornalismo""), ""Ponte Jornalismo"",
IF(REGEXMATCH(S198, ""letras\.mus\.br|Letras,""), ""Letras"",
IF(REGEXMATCH(S198, ""YouTube|youtube""), 
   ""YouTube "&amp;"(""&amp;
   IF(REGEXMATCH(S198, ""Itaú Cultural""), ""Itaú Cultural"",
   IF(REGEXMATCH(S198, ""Rede TVT""), ""Rede TVT"",
   IF(REGEXMATCH(S198, ""Frente pelo Desencarceramento SP""), ""Frente Pelo Desencarceramento SP"",
   IF(REGEXMATCH(S198, ""TV ABA""), "&amp;"""TV ABA"",
   IF(REGEXMATCH(S198, ""TV SENADO""), ""TV Senado"",
   IF(REGEXMATCH(S198, ""Canal USP""), ""Canal USP"",
   IF(REGEXMATCH(S198, ""Douer, Zack|Zack Douer""), ""Douer Zack"",
   IF(REGEXMATCH(S198, ""PRISIONEIRO 84\.901|PRISIONEIRO 84""), ""P"&amp;"risioneiro 84.901"",
   IF(REGEXMATCH(S198, ""^[^,]*, ""), 
        PROPER(REGEXREPLACE(REGEXEXTRACT(S198, ""^([^.]*)\.""), ""^([^,]*), (.*)"", ""$2 $1"")),
        PROPER(REGEXEXTRACT(S198, ""^([^.]*)\.""))
   )))))))))&amp;"")"",
IF(REGEXMATCH(S198, ""Spot"&amp;"ify|spotify""), 
   ""Spotify (""&amp;
   IF(REGEXMATCH(S198, ""ESTRANHO SORRISO""), ""Estranho Sorriso"",
   PROPER(REGEXEXTRACT(S198, ""^([^.]*)\.""))
   )&amp;"")"",
IF(REGEXMATCH(S198, ""Vimeo|vimeo""), 
   ""Vimeo (""&amp;
   IF(REGEXMATCH(S198, ""Passa Palavra"&amp;"""), ""Passa Palavra"",
   PROPER(REGEXEXTRACT(S198, ""^([^.]*)\.""))
   )&amp;"")"",
IF(REGEXMATCH(S198, ""Blogspot""), 
   ""Blogspot (""&amp;
   IF(REGEXMATCH(S198, ""rede2deoutubro""), ""Rede 02 de Outubro"",
   PROPER(REGEXEXTRACT(S198, ""^([^.]*)\.""))
   "&amp;")&amp;"")"",
IF(REGEXMATCH(S198, ""Facebook""), 
   ""Facebook (""&amp;
   IF(REGEXMATCH(S198, ""Mídia Ninja""), ""Mídia Ninja"",
   PROPER(REGEXEXTRACT(S198, ""^([^.]*)\.""))
   )&amp;"")"",
IF(REGEXMATCH(S198, ""Instagram""), 
   ""Instagram (""&amp;
   IF(REGEXMATCH"&amp;"(S198, ""Memórias Carandiru""), ""Memórias Carandiru"",
   PROPER(REGEXEXTRACT(S198, ""^([^.]*)\.""))
   )&amp;"")"",
IF(REGEXMATCH(S198, ""Folha de S\. Paulo|FOLHA DE S\. PAULO""), ""Folha de S. Paulo"",
IF(REGEXMATCH(S198, ""O Estado de S\. Paulo|ESTADAO"""&amp;"), ""O Estado de S. Paulo"",
IF(REGEXMATCH(S198, ""salasecreta""), ""Wordpress (Sala Secreta)"",
IF(REGEXMATCH(S198, ""Wikipedia|Wikipédia|WIKIPÉDIA""), ""Wikipedia"",
IF(REGEXMATCH(S198, ""VEJA|Veja""), ""Veja Abril"",
IF(REGEXMATCH(S471, ""Rede Globo|RE"&amp;"DE GLOBO""), ""Rede Globo"",
IF(REGEXMATCH(S471, ""G1|globo\.com""), ""G1"",
IF(REGEXMATCH(S198, ""Deutsche Welle|DW\.com""), ""Deutsche Welle"",
IF(REGEXMATCH(S198, ""CIDH|Comissão Interamericana""), ""Comissão Interamericana de Direitos Humanos (CIDH)"""&amp;",
IF(REGEXMATCH(S198, ""Pastoral Carcerária""), ""Pastoral Carcerária"",
IF(REGEXMATCH(S198, ""Esquerda Web""), ""Esquerda Web"",
IF(REGEXMATCH(S198, ""ONU|Organização das Nações Unidas""), ""ONU Brasil"",
IF(REGEXMATCH(S198, ""Quilombo Invisível""), ""Qu"&amp;"ilombo Invisível"",
IF(REGEXMATCH(S198, ""ALESP|Assembleia Legislativa""), ""ALESP"",
IF(REGEXMATCH(S198, ""Revista Opera""), ""Revista Opera"",
IF(REGEXMATCH(S198, ""SP Escola de Teatro""), ""SP Escola de Teatro"",
IF(REGEXMATCH(S198, ""EMC|Espaço Memóri"&amp;"a Carandiru""), ""EMC Espaço Memória Carandiru"",
IF(REGEXMATCH(S198, ""^RAMOS, Nuno|Nuno Ramos""), ""Nuno Ramos"",
IF(REGEXMATCH(S198, ""^VELOSO, Caetano|Caetano Veloso""), ""YouTube (Caetano Veloso)"",
IF(REGEXMATCH(S198, ""^FATOS REAIS""), ""YouTube ("&amp;"Fatos Reais - Topic)"",
IF(REGEXMATCH(S198, ""^SALA SECRETA""), ""Wordpress (Sala Secreta)"",
PROPER(REGEXEXTRACT(S198, ""^([^.]*)\.""))
))))))))))))))))))))))))))))))))))))))))))))))))))))))))"),"Instagram (Memórias Carandiru)")</f>
        <v>Instagram (Memórias Carandiru)</v>
      </c>
      <c r="N198" s="11" t="s">
        <v>47</v>
      </c>
      <c r="O198" s="14" t="s">
        <v>149</v>
      </c>
      <c r="P198" s="186">
        <v>45857.0</v>
      </c>
      <c r="Q198" s="11" t="s">
        <v>154</v>
      </c>
      <c r="R198" s="70" t="str">
        <f t="shared" si="8"/>
        <v>Aqui</v>
      </c>
      <c r="S198" s="75" t="s">
        <v>946</v>
      </c>
    </row>
    <row r="199">
      <c r="A199" s="11">
        <v>197.0</v>
      </c>
      <c r="B199" s="14" t="s">
        <v>496</v>
      </c>
      <c r="C199" s="122" t="s">
        <v>165</v>
      </c>
      <c r="D199" s="13" t="str">
        <f>IFERROR(__xludf.DUMMYFUNCTION("IF(B199="""","""",IF(OR(
  REGEXMATCH(B199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REGEXMATCH(B199,""público|Imediato|artística|teatral|memória"")
),""Público Imediato"",
IF(REGEXMATCH(B199,""Música|Álbum|Filme|Documentário|Série|Podc"&amp;"ast|Rádio|Audiotour|Entrevista|Reportagem|Crônica|Relatório|Abaixo-assinado|Manifesto|Petição|Poema|Livro|Fotografia|Curta|Live|Webinário|Charge|Leitura pública|Vídeo""),
""Público Mediado"","""")))
"),"Público Imediato")</f>
        <v>Público Imediato</v>
      </c>
      <c r="E199" s="13" t="str">
        <f>IFERROR(__xludf.DUMMYFUNCTION("IF(B199="""","""",IF(OR(
  REGEXMATCH(B199,""Live|Webinário|Virtual""),
  REGEXMATCH(B199,""online"")
),""Virtual"",
IF(REGEXMATCH(B199,""Música|Álbum|Filme|Documentário|Série|Podcast|Rádio|Audiotour|Episódio|Reportagem|Curta|Charge|Livro|Vídeo|Entrevista"&amp;"""),
""Midiático"",
IF(REGEXMATCH(B199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9" s="186">
        <v>45568.0</v>
      </c>
      <c r="G199" s="15">
        <f t="shared" si="1"/>
        <v>2024</v>
      </c>
      <c r="H199" s="14" t="s">
        <v>947</v>
      </c>
      <c r="I199" s="175" t="s">
        <v>948</v>
      </c>
      <c r="J199" s="202" t="s">
        <v>949</v>
      </c>
      <c r="K199" s="16" t="s">
        <v>736</v>
      </c>
      <c r="L199" s="18" t="s">
        <v>489</v>
      </c>
      <c r="M199" s="15" t="str">
        <f>IFERROR(__xludf.DUMMYFUNCTION("IF(REGEXMATCH(S199, ""Companhia das Letras""), ""Companhia das Letras"",
IF(REGEXMATCH(S199, ""Labortexto Editorial""), ""Labortexto Editorial"",
IF(REGEXMATCH(S199, ""Geração Editorial""), ""Geração Editorial"",
IF(REGEXMATCH(S199, ""Editora Imprensa Ofi"&amp;"cial|Imprensa Oficial""), ""Editora Imprensa Oficial"",
IF(REGEXMATCH(S199, ""Folha Online""), ""Folha Online"",
IF(REGEXMATCH(S199, ""FGV DIREITO SP|FGV Direito SP""), ""FGV DIREITO SP"",
IF(REGEXMATCH(S199, ""massacrecarandiru\.org\.br""), ""Memória Mas"&amp;"sacre Carandiru"",
IF(REGEXMATCH(S199, ""Itaú Cultural""), ""YouTube (Itaú Cultural)"",
IF(REGEXMATCH(S199, ""Passa Palavra""), ""Vimeo (Passa Palavra)"",
IF(REGEXMATCH(S199, ""rede2deoutubro\.blogspot""), ""Blogspot (Rede 02 de Outubro)"",
IF(REGEXMATCH("&amp;"S199, ""Rede TVT""), ""YouTube (Rede TVT)"",
IF(REGEXMATCH(S199, ""Esquerda Diário""), ""Esquerda Diário"",
IF(REGEXMATCH(S199, ""GZH""), ""GZH"",
IF(REGEXMATCH(S199, ""TVPUC""), ""TVPUC"",
IF(REGEXMATCH(S199, ""Mídia Ninja.*Facebook""), ""Facebook (Mídia"&amp;" Ninja)"",
IF(REGEXMATCH(S199, ""Memórias Carandiru.*Instagram""), ""Instagram (Memórias Carandiru)"",
IF(REGEXMATCH(S199, ""Frente pelo Desencarceramento SP""), ""YouTube (Frente Pelo Desencarceramento SP)"",
IF(REGEXMATCH(S199, ""TV ABA""), ""YouTube (T"&amp;"V ABA)"",
IF(REGEXMATCH(S199, ""TV SENADO""), ""YouTube (TV Senado)"",
IF(REGEXMATCH(S199, ""Google Arts &amp; Culture""), ""Google Arts &amp; Culture (Memória Massacre Carandiru)"",
IF(REGEXMATCH(S199, ""Anistia Internacional|ANISTIA INTERNACIONAL""), ""Anistia "&amp;"Internacional"",
IF(REGEXMATCH(S199, ""47\.mostra|47a Mostra""), ""47a Mostra Internacional de Cinema em São Paulo"",
IF(REGEXMATCH(S199, ""Canal USP""), ""YouTube (Canal USP)"",
IF(AND(
  REGEXMATCH(S199, ""(?i)(teses?\.usp\.br|dissertacoes?\.usp\.br|rep"&amp;"ositorio\.usp\.br)""),
  NOT(REGEXMATCH(S199, ""Canal USP""))
), ""Biblioteca Digital de Teses e Dissertações da USP"",
IF(REGEXMATCH(S199, ""SINTRAJUSC""), ""SINTRAJUSC"",
IF(REGEXMATCH(S199, ""Agência Brasil|Agencia Brasil""), ""Agência Brasil"",
IF(REG"&amp;"EXMATCH(S199, ""Brasil de Fato""), ""Brasil de Fato"",
IF(REGEXMATCH(S199, ""Ponte Jornalismo|pontejornalismo""), ""Ponte Jornalismo"",
IF(REGEXMATCH(S199, ""letras\.mus\.br|Letras,""), ""Letras"",
IF(REGEXMATCH(S199, ""YouTube|youtube""), 
   ""YouTube "&amp;"(""&amp;
   IF(REGEXMATCH(S199, ""Itaú Cultural""), ""Itaú Cultural"",
   IF(REGEXMATCH(S199, ""Rede TVT""), ""Rede TVT"",
   IF(REGEXMATCH(S199, ""Frente pelo Desencarceramento SP""), ""Frente Pelo Desencarceramento SP"",
   IF(REGEXMATCH(S199, ""TV ABA""), "&amp;"""TV ABA"",
   IF(REGEXMATCH(S199, ""TV SENADO""), ""TV Senado"",
   IF(REGEXMATCH(S199, ""Canal USP""), ""Canal USP"",
   IF(REGEXMATCH(S199, ""Douer, Zack|Zack Douer""), ""Douer Zack"",
   IF(REGEXMATCH(S199, ""PRISIONEIRO 84\.901|PRISIONEIRO 84""), ""P"&amp;"risioneiro 84.901"",
   IF(REGEXMATCH(S199, ""^[^,]*, ""), 
        PROPER(REGEXREPLACE(REGEXEXTRACT(S199, ""^([^.]*)\.""), ""^([^,]*), (.*)"", ""$2 $1"")),
        PROPER(REGEXEXTRACT(S199, ""^([^.]*)\.""))
   )))))))))&amp;"")"",
IF(REGEXMATCH(S199, ""Spot"&amp;"ify|spotify""), 
   ""Spotify (""&amp;
   IF(REGEXMATCH(S199, ""ESTRANHO SORRISO""), ""Estranho Sorriso"",
   PROPER(REGEXEXTRACT(S199, ""^([^.]*)\.""))
   )&amp;"")"",
IF(REGEXMATCH(S199, ""Vimeo|vimeo""), 
   ""Vimeo (""&amp;
   IF(REGEXMATCH(S199, ""Passa Palavra"&amp;"""), ""Passa Palavra"",
   PROPER(REGEXEXTRACT(S199, ""^([^.]*)\.""))
   )&amp;"")"",
IF(REGEXMATCH(S199, ""Blogspot""), 
   ""Blogspot (""&amp;
   IF(REGEXMATCH(S199, ""rede2deoutubro""), ""Rede 02 de Outubro"",
   PROPER(REGEXEXTRACT(S199, ""^([^.]*)\.""))
   "&amp;")&amp;"")"",
IF(REGEXMATCH(S199, ""Facebook""), 
   ""Facebook (""&amp;
   IF(REGEXMATCH(S199, ""Mídia Ninja""), ""Mídia Ninja"",
   PROPER(REGEXEXTRACT(S199, ""^([^.]*)\.""))
   )&amp;"")"",
IF(REGEXMATCH(S199, ""Instagram""), 
   ""Instagram (""&amp;
   IF(REGEXMATCH"&amp;"(S199, ""Memórias Carandiru""), ""Memórias Carandiru"",
   PROPER(REGEXEXTRACT(S199, ""^([^.]*)\.""))
   )&amp;"")"",
IF(REGEXMATCH(S199, ""Folha de S\. Paulo|FOLHA DE S\. PAULO""), ""Folha de S. Paulo"",
IF(REGEXMATCH(S199, ""O Estado de S\. Paulo|ESTADAO"""&amp;"), ""O Estado de S. Paulo"",
IF(REGEXMATCH(S199, ""salasecreta""), ""Wordpress (Sala Secreta)"",
IF(REGEXMATCH(S199, ""Wikipedia|Wikipédia|WIKIPÉDIA""), ""Wikipedia"",
IF(REGEXMATCH(S199, ""VEJA|Veja""), ""Veja Abril"",
IF(REGEXMATCH(S472, ""Rede Globo|RE"&amp;"DE GLOBO""), ""Rede Globo"",
IF(REGEXMATCH(S472, ""G1|globo\.com""), ""G1"",
IF(REGEXMATCH(S199, ""Deutsche Welle|DW\.com""), ""Deutsche Welle"",
IF(REGEXMATCH(S199, ""CIDH|Comissão Interamericana""), ""Comissão Interamericana de Direitos Humanos (CIDH)"""&amp;",
IF(REGEXMATCH(S199, ""Pastoral Carcerária""), ""Pastoral Carcerária"",
IF(REGEXMATCH(S199, ""Esquerda Web""), ""Esquerda Web"",
IF(REGEXMATCH(S199, ""ONU|Organização das Nações Unidas""), ""ONU Brasil"",
IF(REGEXMATCH(S199, ""Quilombo Invisível""), ""Qu"&amp;"ilombo Invisível"",
IF(REGEXMATCH(S199, ""ALESP|Assembleia Legislativa""), ""ALESP"",
IF(REGEXMATCH(S199, ""Revista Opera""), ""Revista Opera"",
IF(REGEXMATCH(S199, ""SP Escola de Teatro""), ""SP Escola de Teatro"",
IF(REGEXMATCH(S199, ""EMC|Espaço Memóri"&amp;"a Carandiru""), ""EMC Espaço Memória Carandiru"",
IF(REGEXMATCH(S199, ""^RAMOS, Nuno|Nuno Ramos""), ""Nuno Ramos"",
IF(REGEXMATCH(S199, ""^VELOSO, Caetano|Caetano Veloso""), ""YouTube (Caetano Veloso)"",
IF(REGEXMATCH(S199, ""^FATOS REAIS""), ""YouTube ("&amp;"Fatos Reais - Topic)"",
IF(REGEXMATCH(S199, ""^SALA SECRETA""), ""Wordpress (Sala Secreta)"",
PROPER(REGEXEXTRACT(S199, ""^([^.]*)\.""))
))))))))))))))))))))))))))))))))))))))))))))))))))))))))"),"Instagram (Memórias Carandiru)")</f>
        <v>Instagram (Memórias Carandiru)</v>
      </c>
      <c r="N199" s="11" t="s">
        <v>47</v>
      </c>
      <c r="O199" s="14" t="s">
        <v>149</v>
      </c>
      <c r="P199" s="186">
        <v>45857.0</v>
      </c>
      <c r="Q199" s="11" t="s">
        <v>154</v>
      </c>
      <c r="R199" s="70" t="str">
        <f t="shared" si="8"/>
        <v>Aqui</v>
      </c>
      <c r="S199" s="75" t="s">
        <v>950</v>
      </c>
    </row>
    <row r="200">
      <c r="A200" s="11">
        <v>198.0</v>
      </c>
      <c r="B200" s="14" t="s">
        <v>748</v>
      </c>
      <c r="C200" s="122" t="s">
        <v>165</v>
      </c>
      <c r="D200" s="13" t="str">
        <f>IFERROR(__xludf.DUMMYFUNCTION("IF(B200="""","""",IF(OR(
  REGEXMATCH(B200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REGEXMATCH(B200,""público|Imediato|artística|teatral|memória"")
),""Público Imediato"",
IF(REGEXMATCH(B200,""Música|Álbum|Filme|Documentário|Série|Podc"&amp;"ast|Rádio|Audiotour|Entrevista|Reportagem|Crônica|Relatório|Abaixo-assinado|Manifesto|Petição|Poema|Livro|Fotografia|Curta|Live|Webinário|Charge|Leitura pública|Vídeo""),
""Público Mediado"","""")))
"),"Público Mediado")</f>
        <v>Público Mediado</v>
      </c>
      <c r="E200" s="13" t="str">
        <f>IFERROR(__xludf.DUMMYFUNCTION("IF(B200="""","""",IF(OR(
  REGEXMATCH(B200,""Live|Webinário|Virtual""),
  REGEXMATCH(B200,""online"")
),""Virtual"",
IF(REGEXMATCH(B200,""Música|Álbum|Filme|Documentário|Série|Podcast|Rádio|Audiotour|Episódio|Reportagem|Curta|Charge|Livro|Vídeo|Entrevista"&amp;"""),
""Midiático"",
IF(REGEXMATCH(B200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200" s="186">
        <v>45580.0</v>
      </c>
      <c r="G200" s="15">
        <f t="shared" si="1"/>
        <v>2024</v>
      </c>
      <c r="H200" s="181" t="s">
        <v>347</v>
      </c>
      <c r="I200" s="175" t="s">
        <v>951</v>
      </c>
      <c r="J200" s="202" t="s">
        <v>952</v>
      </c>
      <c r="K200" s="16" t="s">
        <v>736</v>
      </c>
      <c r="L200" s="18" t="s">
        <v>489</v>
      </c>
      <c r="M200" s="15" t="str">
        <f>IFERROR(__xludf.DUMMYFUNCTION("IF(REGEXMATCH(S200, ""Companhia das Letras""), ""Companhia das Letras"",
IF(REGEXMATCH(S200, ""Labortexto Editorial""), ""Labortexto Editorial"",
IF(REGEXMATCH(S200, ""Geração Editorial""), ""Geração Editorial"",
IF(REGEXMATCH(S200, ""Editora Imprensa Ofi"&amp;"cial|Imprensa Oficial""), ""Editora Imprensa Oficial"",
IF(REGEXMATCH(S200, ""Folha Online""), ""Folha Online"",
IF(REGEXMATCH(S200, ""FGV DIREITO SP|FGV Direito SP""), ""FGV DIREITO SP"",
IF(REGEXMATCH(S200, ""massacrecarandiru\.org\.br""), ""Memória Mas"&amp;"sacre Carandiru"",
IF(REGEXMATCH(S200, ""Itaú Cultural""), ""YouTube (Itaú Cultural)"",
IF(REGEXMATCH(S200, ""Passa Palavra""), ""Vimeo (Passa Palavra)"",
IF(REGEXMATCH(S200, ""rede2deoutubro\.blogspot""), ""Blogspot (Rede 02 de Outubro)"",
IF(REGEXMATCH("&amp;"S200, ""Rede TVT""), ""YouTube (Rede TVT)"",
IF(REGEXMATCH(S200, ""Esquerda Diário""), ""Esquerda Diário"",
IF(REGEXMATCH(S200, ""GZH""), ""GZH"",
IF(REGEXMATCH(S200, ""TVPUC""), ""TVPUC"",
IF(REGEXMATCH(S200, ""Mídia Ninja.*Facebook""), ""Facebook (Mídia"&amp;" Ninja)"",
IF(REGEXMATCH(S200, ""Memórias Carandiru.*Instagram""), ""Instagram (Memórias Carandiru)"",
IF(REGEXMATCH(S200, ""Frente pelo Desencarceramento SP""), ""YouTube (Frente Pelo Desencarceramento SP)"",
IF(REGEXMATCH(S200, ""TV ABA""), ""YouTube (T"&amp;"V ABA)"",
IF(REGEXMATCH(S200, ""TV SENADO""), ""YouTube (TV Senado)"",
IF(REGEXMATCH(S200, ""Google Arts &amp; Culture""), ""Google Arts &amp; Culture (Memória Massacre Carandiru)"",
IF(REGEXMATCH(S200, ""Anistia Internacional|ANISTIA INTERNACIONAL""), ""Anistia "&amp;"Internacional"",
IF(REGEXMATCH(S200, ""47\.mostra|47a Mostra""), ""47a Mostra Internacional de Cinema em São Paulo"",
IF(REGEXMATCH(S200, ""Canal USP""), ""YouTube (Canal USP)"",
IF(AND(
  REGEXMATCH(S200, ""(?i)(teses?\.usp\.br|dissertacoes?\.usp\.br|rep"&amp;"ositorio\.usp\.br)""),
  NOT(REGEXMATCH(S200, ""Canal USP""))
), ""Biblioteca Digital de Teses e Dissertações da USP"",
IF(REGEXMATCH(S200, ""SINTRAJUSC""), ""SINTRAJUSC"",
IF(REGEXMATCH(S200, ""Agência Brasil|Agencia Brasil""), ""Agência Brasil"",
IF(REG"&amp;"EXMATCH(S200, ""Brasil de Fato""), ""Brasil de Fato"",
IF(REGEXMATCH(S200, ""Ponte Jornalismo|pontejornalismo""), ""Ponte Jornalismo"",
IF(REGEXMATCH(S200, ""letras\.mus\.br|Letras,""), ""Letras"",
IF(REGEXMATCH(S200, ""YouTube|youtube""), 
   ""YouTube "&amp;"(""&amp;
   IF(REGEXMATCH(S200, ""Itaú Cultural""), ""Itaú Cultural"",
   IF(REGEXMATCH(S200, ""Rede TVT""), ""Rede TVT"",
   IF(REGEXMATCH(S200, ""Frente pelo Desencarceramento SP""), ""Frente Pelo Desencarceramento SP"",
   IF(REGEXMATCH(S200, ""TV ABA""), "&amp;"""TV ABA"",
   IF(REGEXMATCH(S200, ""TV SENADO""), ""TV Senado"",
   IF(REGEXMATCH(S200, ""Canal USP""), ""Canal USP"",
   IF(REGEXMATCH(S200, ""Douer, Zack|Zack Douer""), ""Douer Zack"",
   IF(REGEXMATCH(S200, ""PRISIONEIRO 84\.901|PRISIONEIRO 84""), ""P"&amp;"risioneiro 84.901"",
   IF(REGEXMATCH(S200, ""^[^,]*, ""), 
        PROPER(REGEXREPLACE(REGEXEXTRACT(S200, ""^([^.]*)\.""), ""^([^,]*), (.*)"", ""$2 $1"")),
        PROPER(REGEXEXTRACT(S200, ""^([^.]*)\.""))
   )))))))))&amp;"")"",
IF(REGEXMATCH(S200, ""Spot"&amp;"ify|spotify""), 
   ""Spotify (""&amp;
   IF(REGEXMATCH(S200, ""ESTRANHO SORRISO""), ""Estranho Sorriso"",
   PROPER(REGEXEXTRACT(S200, ""^([^.]*)\.""))
   )&amp;"")"",
IF(REGEXMATCH(S200, ""Vimeo|vimeo""), 
   ""Vimeo (""&amp;
   IF(REGEXMATCH(S200, ""Passa Palavra"&amp;"""), ""Passa Palavra"",
   PROPER(REGEXEXTRACT(S200, ""^([^.]*)\.""))
   )&amp;"")"",
IF(REGEXMATCH(S200, ""Blogspot""), 
   ""Blogspot (""&amp;
   IF(REGEXMATCH(S200, ""rede2deoutubro""), ""Rede 02 de Outubro"",
   PROPER(REGEXEXTRACT(S200, ""^([^.]*)\.""))
   "&amp;")&amp;"")"",
IF(REGEXMATCH(S200, ""Facebook""), 
   ""Facebook (""&amp;
   IF(REGEXMATCH(S200, ""Mídia Ninja""), ""Mídia Ninja"",
   PROPER(REGEXEXTRACT(S200, ""^([^.]*)\.""))
   )&amp;"")"",
IF(REGEXMATCH(S200, ""Instagram""), 
   ""Instagram (""&amp;
   IF(REGEXMATCH"&amp;"(S200, ""Memórias Carandiru""), ""Memórias Carandiru"",
   PROPER(REGEXEXTRACT(S200, ""^([^.]*)\.""))
   )&amp;"")"",
IF(REGEXMATCH(S200, ""Folha de S\. Paulo|FOLHA DE S\. PAULO""), ""Folha de S. Paulo"",
IF(REGEXMATCH(S200, ""O Estado de S\. Paulo|ESTADAO"""&amp;"), ""O Estado de S. Paulo"",
IF(REGEXMATCH(S200, ""salasecreta""), ""Wordpress (Sala Secreta)"",
IF(REGEXMATCH(S200, ""Wikipedia|Wikipédia|WIKIPÉDIA""), ""Wikipedia"",
IF(REGEXMATCH(S200, ""VEJA|Veja""), ""Veja Abril"",
IF(REGEXMATCH(S473, ""Rede Globo|RE"&amp;"DE GLOBO""), ""Rede Globo"",
IF(REGEXMATCH(S473, ""G1|globo\.com""), ""G1"",
IF(REGEXMATCH(S200, ""Deutsche Welle|DW\.com""), ""Deutsche Welle"",
IF(REGEXMATCH(S200, ""CIDH|Comissão Interamericana""), ""Comissão Interamericana de Direitos Humanos (CIDH)"""&amp;",
IF(REGEXMATCH(S200, ""Pastoral Carcerária""), ""Pastoral Carcerária"",
IF(REGEXMATCH(S200, ""Esquerda Web""), ""Esquerda Web"",
IF(REGEXMATCH(S200, ""ONU|Organização das Nações Unidas""), ""ONU Brasil"",
IF(REGEXMATCH(S200, ""Quilombo Invisível""), ""Qu"&amp;"ilombo Invisível"",
IF(REGEXMATCH(S200, ""ALESP|Assembleia Legislativa""), ""ALESP"",
IF(REGEXMATCH(S200, ""Revista Opera""), ""Revista Opera"",
IF(REGEXMATCH(S200, ""SP Escola de Teatro""), ""SP Escola de Teatro"",
IF(REGEXMATCH(S200, ""EMC|Espaço Memóri"&amp;"a Carandiru""), ""EMC Espaço Memória Carandiru"",
IF(REGEXMATCH(S200, ""^RAMOS, Nuno|Nuno Ramos""), ""Nuno Ramos"",
IF(REGEXMATCH(S200, ""^VELOSO, Caetano|Caetano Veloso""), ""YouTube (Caetano Veloso)"",
IF(REGEXMATCH(S200, ""^FATOS REAIS""), ""YouTube ("&amp;"Fatos Reais - Topic)"",
IF(REGEXMATCH(S200, ""^SALA SECRETA""), ""Wordpress (Sala Secreta)"",
PROPER(REGEXEXTRACT(S200, ""^([^.]*)\.""))
))))))))))))))))))))))))))))))))))))))))))))))))))))))))"),"Instagram (Memórias Carandiru)")</f>
        <v>Instagram (Memórias Carandiru)</v>
      </c>
      <c r="N200" s="11" t="s">
        <v>47</v>
      </c>
      <c r="O200" s="14" t="s">
        <v>149</v>
      </c>
      <c r="P200" s="186">
        <v>45857.0</v>
      </c>
      <c r="Q200" s="11" t="s">
        <v>154</v>
      </c>
      <c r="R200" s="70" t="str">
        <f t="shared" si="8"/>
        <v>Aqui</v>
      </c>
      <c r="S200" s="75" t="s">
        <v>953</v>
      </c>
    </row>
    <row r="201">
      <c r="A201" s="11">
        <v>199.0</v>
      </c>
      <c r="B201" s="14" t="s">
        <v>799</v>
      </c>
      <c r="C201" s="122" t="s">
        <v>165</v>
      </c>
      <c r="D201" s="13" t="str">
        <f>IFERROR(__xludf.DUMMYFUNCTION("IF(B201="""","""",IF(OR(
  REGEXMATCH(B201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REGEXMATCH(B201,""público|Imediato|artística|teatral|memória"")
),""Público Imediato"",
IF(REGEXMATCH(B201,""Música|Álbum|Filme|Documentário|Série|Podc"&amp;"ast|Rádio|Audiotour|Entrevista|Reportagem|Crônica|Relatório|Abaixo-assinado|Manifesto|Petição|Poema|Livro|Fotografia|Curta|Live|Webinário|Charge|Leitura pública|Vídeo""),
""Público Mediado"","""")))
"),"Público Imediato")</f>
        <v>Público Imediato</v>
      </c>
      <c r="E201" s="13" t="str">
        <f>IFERROR(__xludf.DUMMYFUNCTION("IF(B201="""","""",IF(OR(
  REGEXMATCH(B201,""Live|Webinário|Virtual""),
  REGEXMATCH(B201,""online"")
),""Virtual"",
IF(REGEXMATCH(B201,""Música|Álbum|Filme|Documentário|Série|Podcast|Rádio|Audiotour|Episódio|Reportagem|Curta|Charge|Livro|Vídeo|Entrevista"&amp;"""),
""Midiático"",
IF(REGEXMATCH(B201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1" s="186">
        <v>45584.0</v>
      </c>
      <c r="G201" s="15">
        <f t="shared" si="1"/>
        <v>2024</v>
      </c>
      <c r="H201" s="14" t="s">
        <v>733</v>
      </c>
      <c r="I201" s="175" t="s">
        <v>741</v>
      </c>
      <c r="J201" s="202" t="s">
        <v>954</v>
      </c>
      <c r="K201" s="16" t="s">
        <v>736</v>
      </c>
      <c r="L201" s="18" t="s">
        <v>489</v>
      </c>
      <c r="M201" s="15" t="str">
        <f>IFERROR(__xludf.DUMMYFUNCTION("IF(REGEXMATCH(S201, ""Companhia das Letras""), ""Companhia das Letras"",
IF(REGEXMATCH(S201, ""Labortexto Editorial""), ""Labortexto Editorial"",
IF(REGEXMATCH(S201, ""Geração Editorial""), ""Geração Editorial"",
IF(REGEXMATCH(S201, ""Editora Imprensa Ofi"&amp;"cial|Imprensa Oficial""), ""Editora Imprensa Oficial"",
IF(REGEXMATCH(S201, ""Folha Online""), ""Folha Online"",
IF(REGEXMATCH(S201, ""FGV DIREITO SP|FGV Direito SP""), ""FGV DIREITO SP"",
IF(REGEXMATCH(S201, ""massacrecarandiru\.org\.br""), ""Memória Mas"&amp;"sacre Carandiru"",
IF(REGEXMATCH(S201, ""Itaú Cultural""), ""YouTube (Itaú Cultural)"",
IF(REGEXMATCH(S201, ""Passa Palavra""), ""Vimeo (Passa Palavra)"",
IF(REGEXMATCH(S201, ""rede2deoutubro\.blogspot""), ""Blogspot (Rede 02 de Outubro)"",
IF(REGEXMATCH("&amp;"S201, ""Rede TVT""), ""YouTube (Rede TVT)"",
IF(REGEXMATCH(S201, ""Esquerda Diário""), ""Esquerda Diário"",
IF(REGEXMATCH(S201, ""GZH""), ""GZH"",
IF(REGEXMATCH(S201, ""TVPUC""), ""TVPUC"",
IF(REGEXMATCH(S201, ""Mídia Ninja.*Facebook""), ""Facebook (Mídia"&amp;" Ninja)"",
IF(REGEXMATCH(S201, ""Memórias Carandiru.*Instagram""), ""Instagram (Memórias Carandiru)"",
IF(REGEXMATCH(S201, ""Frente pelo Desencarceramento SP""), ""YouTube (Frente Pelo Desencarceramento SP)"",
IF(REGEXMATCH(S201, ""TV ABA""), ""YouTube (T"&amp;"V ABA)"",
IF(REGEXMATCH(S201, ""TV SENADO""), ""YouTube (TV Senado)"",
IF(REGEXMATCH(S201, ""Google Arts &amp; Culture""), ""Google Arts &amp; Culture (Memória Massacre Carandiru)"",
IF(REGEXMATCH(S201, ""Anistia Internacional|ANISTIA INTERNACIONAL""), ""Anistia "&amp;"Internacional"",
IF(REGEXMATCH(S201, ""47\.mostra|47a Mostra""), ""47a Mostra Internacional de Cinema em São Paulo"",
IF(REGEXMATCH(S201, ""Canal USP""), ""YouTube (Canal USP)"",
IF(AND(
  REGEXMATCH(S201, ""(?i)(teses?\.usp\.br|dissertacoes?\.usp\.br|rep"&amp;"ositorio\.usp\.br)""),
  NOT(REGEXMATCH(S201, ""Canal USP""))
), ""Biblioteca Digital de Teses e Dissertações da USP"",
IF(REGEXMATCH(S201, ""SINTRAJUSC""), ""SINTRAJUSC"",
IF(REGEXMATCH(S201, ""Agência Brasil|Agencia Brasil""), ""Agência Brasil"",
IF(REG"&amp;"EXMATCH(S201, ""Brasil de Fato""), ""Brasil de Fato"",
IF(REGEXMATCH(S201, ""Ponte Jornalismo|pontejornalismo""), ""Ponte Jornalismo"",
IF(REGEXMATCH(S201, ""letras\.mus\.br|Letras,""), ""Letras"",
IF(REGEXMATCH(S201, ""YouTube|youtube""), 
   ""YouTube "&amp;"(""&amp;
   IF(REGEXMATCH(S201, ""Itaú Cultural""), ""Itaú Cultural"",
   IF(REGEXMATCH(S201, ""Rede TVT""), ""Rede TVT"",
   IF(REGEXMATCH(S201, ""Frente pelo Desencarceramento SP""), ""Frente Pelo Desencarceramento SP"",
   IF(REGEXMATCH(S201, ""TV ABA""), "&amp;"""TV ABA"",
   IF(REGEXMATCH(S201, ""TV SENADO""), ""TV Senado"",
   IF(REGEXMATCH(S201, ""Canal USP""), ""Canal USP"",
   IF(REGEXMATCH(S201, ""Douer, Zack|Zack Douer""), ""Douer Zack"",
   IF(REGEXMATCH(S201, ""PRISIONEIRO 84\.901|PRISIONEIRO 84""), ""P"&amp;"risioneiro 84.901"",
   IF(REGEXMATCH(S201, ""^[^,]*, ""), 
        PROPER(REGEXREPLACE(REGEXEXTRACT(S201, ""^([^.]*)\.""), ""^([^,]*), (.*)"", ""$2 $1"")),
        PROPER(REGEXEXTRACT(S201, ""^([^.]*)\.""))
   )))))))))&amp;"")"",
IF(REGEXMATCH(S201, ""Spot"&amp;"ify|spotify""), 
   ""Spotify (""&amp;
   IF(REGEXMATCH(S201, ""ESTRANHO SORRISO""), ""Estranho Sorriso"",
   PROPER(REGEXEXTRACT(S201, ""^([^.]*)\.""))
   )&amp;"")"",
IF(REGEXMATCH(S201, ""Vimeo|vimeo""), 
   ""Vimeo (""&amp;
   IF(REGEXMATCH(S201, ""Passa Palavra"&amp;"""), ""Passa Palavra"",
   PROPER(REGEXEXTRACT(S201, ""^([^.]*)\.""))
   )&amp;"")"",
IF(REGEXMATCH(S201, ""Blogspot""), 
   ""Blogspot (""&amp;
   IF(REGEXMATCH(S201, ""rede2deoutubro""), ""Rede 02 de Outubro"",
   PROPER(REGEXEXTRACT(S201, ""^([^.]*)\.""))
   "&amp;")&amp;"")"",
IF(REGEXMATCH(S201, ""Facebook""), 
   ""Facebook (""&amp;
   IF(REGEXMATCH(S201, ""Mídia Ninja""), ""Mídia Ninja"",
   PROPER(REGEXEXTRACT(S201, ""^([^.]*)\.""))
   )&amp;"")"",
IF(REGEXMATCH(S201, ""Instagram""), 
   ""Instagram (""&amp;
   IF(REGEXMATCH"&amp;"(S201, ""Memórias Carandiru""), ""Memórias Carandiru"",
   PROPER(REGEXEXTRACT(S201, ""^([^.]*)\.""))
   )&amp;"")"",
IF(REGEXMATCH(S201, ""Folha de S\. Paulo|FOLHA DE S\. PAULO""), ""Folha de S. Paulo"",
IF(REGEXMATCH(S201, ""O Estado de S\. Paulo|ESTADAO"""&amp;"), ""O Estado de S. Paulo"",
IF(REGEXMATCH(S201, ""salasecreta""), ""Wordpress (Sala Secreta)"",
IF(REGEXMATCH(S201, ""Wikipedia|Wikipédia|WIKIPÉDIA""), ""Wikipedia"",
IF(REGEXMATCH(S201, ""VEJA|Veja""), ""Veja Abril"",
IF(REGEXMATCH(S474, ""Rede Globo|RE"&amp;"DE GLOBO""), ""Rede Globo"",
IF(REGEXMATCH(S474, ""G1|globo\.com""), ""G1"",
IF(REGEXMATCH(S201, ""Deutsche Welle|DW\.com""), ""Deutsche Welle"",
IF(REGEXMATCH(S201, ""CIDH|Comissão Interamericana""), ""Comissão Interamericana de Direitos Humanos (CIDH)"""&amp;",
IF(REGEXMATCH(S201, ""Pastoral Carcerária""), ""Pastoral Carcerária"",
IF(REGEXMATCH(S201, ""Esquerda Web""), ""Esquerda Web"",
IF(REGEXMATCH(S201, ""ONU|Organização das Nações Unidas""), ""ONU Brasil"",
IF(REGEXMATCH(S201, ""Quilombo Invisível""), ""Qu"&amp;"ilombo Invisível"",
IF(REGEXMATCH(S201, ""ALESP|Assembleia Legislativa""), ""ALESP"",
IF(REGEXMATCH(S201, ""Revista Opera""), ""Revista Opera"",
IF(REGEXMATCH(S201, ""SP Escola de Teatro""), ""SP Escola de Teatro"",
IF(REGEXMATCH(S201, ""EMC|Espaço Memóri"&amp;"a Carandiru""), ""EMC Espaço Memória Carandiru"",
IF(REGEXMATCH(S201, ""^RAMOS, Nuno|Nuno Ramos""), ""Nuno Ramos"",
IF(REGEXMATCH(S201, ""^VELOSO, Caetano|Caetano Veloso""), ""YouTube (Caetano Veloso)"",
IF(REGEXMATCH(S201, ""^FATOS REAIS""), ""YouTube ("&amp;"Fatos Reais - Topic)"",
IF(REGEXMATCH(S201, ""^SALA SECRETA""), ""Wordpress (Sala Secreta)"",
PROPER(REGEXEXTRACT(S201, ""^([^.]*)\.""))
))))))))))))))))))))))))))))))))))))))))))))))))))))))))"),"Instagram (Memórias Carandiru)")</f>
        <v>Instagram (Memórias Carandiru)</v>
      </c>
      <c r="N201" s="11" t="s">
        <v>47</v>
      </c>
      <c r="O201" s="14" t="s">
        <v>149</v>
      </c>
      <c r="P201" s="186">
        <v>45857.0</v>
      </c>
      <c r="Q201" s="11" t="s">
        <v>154</v>
      </c>
      <c r="R201" s="70" t="str">
        <f t="shared" si="8"/>
        <v>Aqui</v>
      </c>
      <c r="S201" s="75" t="s">
        <v>955</v>
      </c>
    </row>
    <row r="202">
      <c r="A202" s="11">
        <v>200.0</v>
      </c>
      <c r="B202" s="14" t="s">
        <v>799</v>
      </c>
      <c r="C202" s="122" t="s">
        <v>165</v>
      </c>
      <c r="D202" s="13" t="str">
        <f>IFERROR(__xludf.DUMMYFUNCTION("IF(B202="""","""",IF(OR(
  REGEXMATCH(B202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REGEXMATCH(B202,""público|Imediato|artística|teatral|memória"")
),""Público Imediato"",
IF(REGEXMATCH(B202,""Música|Álbum|Filme|Documentário|Série|Podc"&amp;"ast|Rádio|Audiotour|Entrevista|Reportagem|Crônica|Relatório|Abaixo-assinado|Manifesto|Petição|Poema|Livro|Fotografia|Curta|Live|Webinário|Charge|Leitura pública|Vídeo""),
""Público Mediado"","""")))
"),"Público Imediato")</f>
        <v>Público Imediato</v>
      </c>
      <c r="E202" s="13" t="str">
        <f>IFERROR(__xludf.DUMMYFUNCTION("IF(B202="""","""",IF(OR(
  REGEXMATCH(B202,""Live|Webinário|Virtual""),
  REGEXMATCH(B202,""online"")
),""Virtual"",
IF(REGEXMATCH(B202,""Música|Álbum|Filme|Documentário|Série|Podcast|Rádio|Audiotour|Episódio|Reportagem|Curta|Charge|Livro|Vídeo|Entrevista"&amp;"""),
""Midiático"",
IF(REGEXMATCH(B202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2" s="186">
        <v>45605.0</v>
      </c>
      <c r="G202" s="15">
        <f t="shared" si="1"/>
        <v>2024</v>
      </c>
      <c r="H202" s="14" t="s">
        <v>733</v>
      </c>
      <c r="I202" s="175" t="s">
        <v>956</v>
      </c>
      <c r="J202" s="202" t="s">
        <v>957</v>
      </c>
      <c r="K202" s="16" t="s">
        <v>736</v>
      </c>
      <c r="L202" s="18" t="s">
        <v>489</v>
      </c>
      <c r="M202" s="15" t="str">
        <f>IFERROR(__xludf.DUMMYFUNCTION("IF(REGEXMATCH(S202, ""Companhia das Letras""), ""Companhia das Letras"",
IF(REGEXMATCH(S202, ""Labortexto Editorial""), ""Labortexto Editorial"",
IF(REGEXMATCH(S202, ""Geração Editorial""), ""Geração Editorial"",
IF(REGEXMATCH(S202, ""Editora Imprensa Ofi"&amp;"cial|Imprensa Oficial""), ""Editora Imprensa Oficial"",
IF(REGEXMATCH(S202, ""Folha Online""), ""Folha Online"",
IF(REGEXMATCH(S202, ""FGV DIREITO SP|FGV Direito SP""), ""FGV DIREITO SP"",
IF(REGEXMATCH(S202, ""massacrecarandiru\.org\.br""), ""Memória Mas"&amp;"sacre Carandiru"",
IF(REGEXMATCH(S202, ""Itaú Cultural""), ""YouTube (Itaú Cultural)"",
IF(REGEXMATCH(S202, ""Passa Palavra""), ""Vimeo (Passa Palavra)"",
IF(REGEXMATCH(S202, ""rede2deoutubro\.blogspot""), ""Blogspot (Rede 02 de Outubro)"",
IF(REGEXMATCH("&amp;"S202, ""Rede TVT""), ""YouTube (Rede TVT)"",
IF(REGEXMATCH(S202, ""Esquerda Diário""), ""Esquerda Diário"",
IF(REGEXMATCH(S202, ""GZH""), ""GZH"",
IF(REGEXMATCH(S202, ""TVPUC""), ""TVPUC"",
IF(REGEXMATCH(S202, ""Mídia Ninja.*Facebook""), ""Facebook (Mídia"&amp;" Ninja)"",
IF(REGEXMATCH(S202, ""Memórias Carandiru.*Instagram""), ""Instagram (Memórias Carandiru)"",
IF(REGEXMATCH(S202, ""Frente pelo Desencarceramento SP""), ""YouTube (Frente Pelo Desencarceramento SP)"",
IF(REGEXMATCH(S202, ""TV ABA""), ""YouTube (T"&amp;"V ABA)"",
IF(REGEXMATCH(S202, ""TV SENADO""), ""YouTube (TV Senado)"",
IF(REGEXMATCH(S202, ""Google Arts &amp; Culture""), ""Google Arts &amp; Culture (Memória Massacre Carandiru)"",
IF(REGEXMATCH(S202, ""Anistia Internacional|ANISTIA INTERNACIONAL""), ""Anistia "&amp;"Internacional"",
IF(REGEXMATCH(S202, ""47\.mostra|47a Mostra""), ""47a Mostra Internacional de Cinema em São Paulo"",
IF(REGEXMATCH(S202, ""Canal USP""), ""YouTube (Canal USP)"",
IF(AND(
  REGEXMATCH(S202, ""(?i)(teses?\.usp\.br|dissertacoes?\.usp\.br|rep"&amp;"ositorio\.usp\.br)""),
  NOT(REGEXMATCH(S202, ""Canal USP""))
), ""Biblioteca Digital de Teses e Dissertações da USP"",
IF(REGEXMATCH(S202, ""SINTRAJUSC""), ""SINTRAJUSC"",
IF(REGEXMATCH(S202, ""Agência Brasil|Agencia Brasil""), ""Agência Brasil"",
IF(REG"&amp;"EXMATCH(S202, ""Brasil de Fato""), ""Brasil de Fato"",
IF(REGEXMATCH(S202, ""Ponte Jornalismo|pontejornalismo""), ""Ponte Jornalismo"",
IF(REGEXMATCH(S202, ""letras\.mus\.br|Letras,""), ""Letras"",
IF(REGEXMATCH(S202, ""YouTube|youtube""), 
   ""YouTube "&amp;"(""&amp;
   IF(REGEXMATCH(S202, ""Itaú Cultural""), ""Itaú Cultural"",
   IF(REGEXMATCH(S202, ""Rede TVT""), ""Rede TVT"",
   IF(REGEXMATCH(S202, ""Frente pelo Desencarceramento SP""), ""Frente Pelo Desencarceramento SP"",
   IF(REGEXMATCH(S202, ""TV ABA""), "&amp;"""TV ABA"",
   IF(REGEXMATCH(S202, ""TV SENADO""), ""TV Senado"",
   IF(REGEXMATCH(S202, ""Canal USP""), ""Canal USP"",
   IF(REGEXMATCH(S202, ""Douer, Zack|Zack Douer""), ""Douer Zack"",
   IF(REGEXMATCH(S202, ""PRISIONEIRO 84\.901|PRISIONEIRO 84""), ""P"&amp;"risioneiro 84.901"",
   IF(REGEXMATCH(S202, ""^[^,]*, ""), 
        PROPER(REGEXREPLACE(REGEXEXTRACT(S202, ""^([^.]*)\.""), ""^([^,]*), (.*)"", ""$2 $1"")),
        PROPER(REGEXEXTRACT(S202, ""^([^.]*)\.""))
   )))))))))&amp;"")"",
IF(REGEXMATCH(S202, ""Spot"&amp;"ify|spotify""), 
   ""Spotify (""&amp;
   IF(REGEXMATCH(S202, ""ESTRANHO SORRISO""), ""Estranho Sorriso"",
   PROPER(REGEXEXTRACT(S202, ""^([^.]*)\.""))
   )&amp;"")"",
IF(REGEXMATCH(S202, ""Vimeo|vimeo""), 
   ""Vimeo (""&amp;
   IF(REGEXMATCH(S202, ""Passa Palavra"&amp;"""), ""Passa Palavra"",
   PROPER(REGEXEXTRACT(S202, ""^([^.]*)\.""))
   )&amp;"")"",
IF(REGEXMATCH(S202, ""Blogspot""), 
   ""Blogspot (""&amp;
   IF(REGEXMATCH(S202, ""rede2deoutubro""), ""Rede 02 de Outubro"",
   PROPER(REGEXEXTRACT(S202, ""^([^.]*)\.""))
   "&amp;")&amp;"")"",
IF(REGEXMATCH(S202, ""Facebook""), 
   ""Facebook (""&amp;
   IF(REGEXMATCH(S202, ""Mídia Ninja""), ""Mídia Ninja"",
   PROPER(REGEXEXTRACT(S202, ""^([^.]*)\.""))
   )&amp;"")"",
IF(REGEXMATCH(S202, ""Instagram""), 
   ""Instagram (""&amp;
   IF(REGEXMATCH"&amp;"(S202, ""Memórias Carandiru""), ""Memórias Carandiru"",
   PROPER(REGEXEXTRACT(S202, ""^([^.]*)\.""))
   )&amp;"")"",
IF(REGEXMATCH(S202, ""Folha de S\. Paulo|FOLHA DE S\. PAULO""), ""Folha de S. Paulo"",
IF(REGEXMATCH(S202, ""O Estado de S\. Paulo|ESTADAO"""&amp;"), ""O Estado de S. Paulo"",
IF(REGEXMATCH(S202, ""salasecreta""), ""Wordpress (Sala Secreta)"",
IF(REGEXMATCH(S202, ""Wikipedia|Wikipédia|WIKIPÉDIA""), ""Wikipedia"",
IF(REGEXMATCH(S202, ""VEJA|Veja""), ""Veja Abril"",
IF(REGEXMATCH(S475, ""Rede Globo|RE"&amp;"DE GLOBO""), ""Rede Globo"",
IF(REGEXMATCH(S475, ""G1|globo\.com""), ""G1"",
IF(REGEXMATCH(S202, ""Deutsche Welle|DW\.com""), ""Deutsche Welle"",
IF(REGEXMATCH(S202, ""CIDH|Comissão Interamericana""), ""Comissão Interamericana de Direitos Humanos (CIDH)"""&amp;",
IF(REGEXMATCH(S202, ""Pastoral Carcerária""), ""Pastoral Carcerária"",
IF(REGEXMATCH(S202, ""Esquerda Web""), ""Esquerda Web"",
IF(REGEXMATCH(S202, ""ONU|Organização das Nações Unidas""), ""ONU Brasil"",
IF(REGEXMATCH(S202, ""Quilombo Invisível""), ""Qu"&amp;"ilombo Invisível"",
IF(REGEXMATCH(S202, ""ALESP|Assembleia Legislativa""), ""ALESP"",
IF(REGEXMATCH(S202, ""Revista Opera""), ""Revista Opera"",
IF(REGEXMATCH(S202, ""SP Escola de Teatro""), ""SP Escola de Teatro"",
IF(REGEXMATCH(S202, ""EMC|Espaço Memóri"&amp;"a Carandiru""), ""EMC Espaço Memória Carandiru"",
IF(REGEXMATCH(S202, ""^RAMOS, Nuno|Nuno Ramos""), ""Nuno Ramos"",
IF(REGEXMATCH(S202, ""^VELOSO, Caetano|Caetano Veloso""), ""YouTube (Caetano Veloso)"",
IF(REGEXMATCH(S202, ""^FATOS REAIS""), ""YouTube ("&amp;"Fatos Reais - Topic)"",
IF(REGEXMATCH(S202, ""^SALA SECRETA""), ""Wordpress (Sala Secreta)"",
PROPER(REGEXEXTRACT(S202, ""^([^.]*)\.""))
))))))))))))))))))))))))))))))))))))))))))))))))))))))))"),"Instagram (Memórias Carandiru)")</f>
        <v>Instagram (Memórias Carandiru)</v>
      </c>
      <c r="N202" s="11" t="s">
        <v>47</v>
      </c>
      <c r="O202" s="14" t="s">
        <v>149</v>
      </c>
      <c r="P202" s="186">
        <v>45857.0</v>
      </c>
      <c r="Q202" s="11" t="s">
        <v>154</v>
      </c>
      <c r="R202" s="70" t="str">
        <f t="shared" si="8"/>
        <v>Aqui</v>
      </c>
      <c r="S202" s="75" t="s">
        <v>958</v>
      </c>
    </row>
    <row r="203">
      <c r="A203" s="11">
        <v>201.0</v>
      </c>
      <c r="B203" s="14" t="s">
        <v>799</v>
      </c>
      <c r="C203" s="122" t="s">
        <v>165</v>
      </c>
      <c r="D203" s="13" t="str">
        <f>IFERROR(__xludf.DUMMYFUNCTION("IF(B203="""","""",IF(OR(
  REGEXMATCH(B203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REGEXMATCH(B203,""público|Imediato|artística|teatral|memória"")
),""Público Imediato"",
IF(REGEXMATCH(B203,""Música|Álbum|Filme|Documentário|Série|Podc"&amp;"ast|Rádio|Audiotour|Entrevista|Reportagem|Crônica|Relatório|Abaixo-assinado|Manifesto|Petição|Poema|Livro|Fotografia|Curta|Live|Webinário|Charge|Leitura pública|Vídeo""),
""Público Mediado"","""")))
"),"Público Imediato")</f>
        <v>Público Imediato</v>
      </c>
      <c r="E203" s="13" t="str">
        <f>IFERROR(__xludf.DUMMYFUNCTION("IF(B203="""","""",IF(OR(
  REGEXMATCH(B203,""Live|Webinário|Virtual""),
  REGEXMATCH(B203,""online"")
),""Virtual"",
IF(REGEXMATCH(B203,""Música|Álbum|Filme|Documentário|Série|Podcast|Rádio|Audiotour|Episódio|Reportagem|Curta|Charge|Livro|Vídeo|Entrevista"&amp;"""),
""Midiático"",
IF(REGEXMATCH(B203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3" s="186">
        <v>45640.0</v>
      </c>
      <c r="G203" s="15">
        <f t="shared" si="1"/>
        <v>2024</v>
      </c>
      <c r="H203" s="14" t="s">
        <v>733</v>
      </c>
      <c r="I203" s="175" t="s">
        <v>741</v>
      </c>
      <c r="J203" s="202" t="s">
        <v>959</v>
      </c>
      <c r="K203" s="16" t="s">
        <v>736</v>
      </c>
      <c r="L203" s="18" t="s">
        <v>489</v>
      </c>
      <c r="M203" s="15" t="str">
        <f>IFERROR(__xludf.DUMMYFUNCTION("IF(REGEXMATCH(S203, ""Companhia das Letras""), ""Companhia das Letras"",
IF(REGEXMATCH(S203, ""Labortexto Editorial""), ""Labortexto Editorial"",
IF(REGEXMATCH(S203, ""Geração Editorial""), ""Geração Editorial"",
IF(REGEXMATCH(S203, ""Editora Imprensa Ofi"&amp;"cial|Imprensa Oficial""), ""Editora Imprensa Oficial"",
IF(REGEXMATCH(S203, ""Folha Online""), ""Folha Online"",
IF(REGEXMATCH(S203, ""FGV DIREITO SP|FGV Direito SP""), ""FGV DIREITO SP"",
IF(REGEXMATCH(S203, ""massacrecarandiru\.org\.br""), ""Memória Mas"&amp;"sacre Carandiru"",
IF(REGEXMATCH(S203, ""Itaú Cultural""), ""YouTube (Itaú Cultural)"",
IF(REGEXMATCH(S203, ""Passa Palavra""), ""Vimeo (Passa Palavra)"",
IF(REGEXMATCH(S203, ""rede2deoutubro\.blogspot""), ""Blogspot (Rede 02 de Outubro)"",
IF(REGEXMATCH("&amp;"S203, ""Rede TVT""), ""YouTube (Rede TVT)"",
IF(REGEXMATCH(S203, ""Esquerda Diário""), ""Esquerda Diário"",
IF(REGEXMATCH(S203, ""GZH""), ""GZH"",
IF(REGEXMATCH(S203, ""TVPUC""), ""TVPUC"",
IF(REGEXMATCH(S203, ""Mídia Ninja.*Facebook""), ""Facebook (Mídia"&amp;" Ninja)"",
IF(REGEXMATCH(S203, ""Memórias Carandiru.*Instagram""), ""Instagram (Memórias Carandiru)"",
IF(REGEXMATCH(S203, ""Frente pelo Desencarceramento SP""), ""YouTube (Frente Pelo Desencarceramento SP)"",
IF(REGEXMATCH(S203, ""TV ABA""), ""YouTube (T"&amp;"V ABA)"",
IF(REGEXMATCH(S203, ""TV SENADO""), ""YouTube (TV Senado)"",
IF(REGEXMATCH(S203, ""Google Arts &amp; Culture""), ""Google Arts &amp; Culture (Memória Massacre Carandiru)"",
IF(REGEXMATCH(S203, ""Anistia Internacional|ANISTIA INTERNACIONAL""), ""Anistia "&amp;"Internacional"",
IF(REGEXMATCH(S203, ""47\.mostra|47a Mostra""), ""47a Mostra Internacional de Cinema em São Paulo"",
IF(REGEXMATCH(S203, ""Canal USP""), ""YouTube (Canal USP)"",
IF(AND(
  REGEXMATCH(S203, ""(?i)(teses?\.usp\.br|dissertacoes?\.usp\.br|rep"&amp;"ositorio\.usp\.br)""),
  NOT(REGEXMATCH(S203, ""Canal USP""))
), ""Biblioteca Digital de Teses e Dissertações da USP"",
IF(REGEXMATCH(S203, ""SINTRAJUSC""), ""SINTRAJUSC"",
IF(REGEXMATCH(S203, ""Agência Brasil|Agencia Brasil""), ""Agência Brasil"",
IF(REG"&amp;"EXMATCH(S203, ""Brasil de Fato""), ""Brasil de Fato"",
IF(REGEXMATCH(S203, ""Ponte Jornalismo|pontejornalismo""), ""Ponte Jornalismo"",
IF(REGEXMATCH(S203, ""letras\.mus\.br|Letras,""), ""Letras"",
IF(REGEXMATCH(S203, ""YouTube|youtube""), 
   ""YouTube "&amp;"(""&amp;
   IF(REGEXMATCH(S203, ""Itaú Cultural""), ""Itaú Cultural"",
   IF(REGEXMATCH(S203, ""Rede TVT""), ""Rede TVT"",
   IF(REGEXMATCH(S203, ""Frente pelo Desencarceramento SP""), ""Frente Pelo Desencarceramento SP"",
   IF(REGEXMATCH(S203, ""TV ABA""), "&amp;"""TV ABA"",
   IF(REGEXMATCH(S203, ""TV SENADO""), ""TV Senado"",
   IF(REGEXMATCH(S203, ""Canal USP""), ""Canal USP"",
   IF(REGEXMATCH(S203, ""Douer, Zack|Zack Douer""), ""Douer Zack"",
   IF(REGEXMATCH(S203, ""PRISIONEIRO 84\.901|PRISIONEIRO 84""), ""P"&amp;"risioneiro 84.901"",
   IF(REGEXMATCH(S203, ""^[^,]*, ""), 
        PROPER(REGEXREPLACE(REGEXEXTRACT(S203, ""^([^.]*)\.""), ""^([^,]*), (.*)"", ""$2 $1"")),
        PROPER(REGEXEXTRACT(S203, ""^([^.]*)\.""))
   )))))))))&amp;"")"",
IF(REGEXMATCH(S203, ""Spot"&amp;"ify|spotify""), 
   ""Spotify (""&amp;
   IF(REGEXMATCH(S203, ""ESTRANHO SORRISO""), ""Estranho Sorriso"",
   PROPER(REGEXEXTRACT(S203, ""^([^.]*)\.""))
   )&amp;"")"",
IF(REGEXMATCH(S203, ""Vimeo|vimeo""), 
   ""Vimeo (""&amp;
   IF(REGEXMATCH(S203, ""Passa Palavra"&amp;"""), ""Passa Palavra"",
   PROPER(REGEXEXTRACT(S203, ""^([^.]*)\.""))
   )&amp;"")"",
IF(REGEXMATCH(S203, ""Blogspot""), 
   ""Blogspot (""&amp;
   IF(REGEXMATCH(S203, ""rede2deoutubro""), ""Rede 02 de Outubro"",
   PROPER(REGEXEXTRACT(S203, ""^([^.]*)\.""))
   "&amp;")&amp;"")"",
IF(REGEXMATCH(S203, ""Facebook""), 
   ""Facebook (""&amp;
   IF(REGEXMATCH(S203, ""Mídia Ninja""), ""Mídia Ninja"",
   PROPER(REGEXEXTRACT(S203, ""^([^.]*)\.""))
   )&amp;"")"",
IF(REGEXMATCH(S203, ""Instagram""), 
   ""Instagram (""&amp;
   IF(REGEXMATCH"&amp;"(S203, ""Memórias Carandiru""), ""Memórias Carandiru"",
   PROPER(REGEXEXTRACT(S203, ""^([^.]*)\.""))
   )&amp;"")"",
IF(REGEXMATCH(S203, ""Folha de S\. Paulo|FOLHA DE S\. PAULO""), ""Folha de S. Paulo"",
IF(REGEXMATCH(S203, ""O Estado de S\. Paulo|ESTADAO"""&amp;"), ""O Estado de S. Paulo"",
IF(REGEXMATCH(S203, ""salasecreta""), ""Wordpress (Sala Secreta)"",
IF(REGEXMATCH(S203, ""Wikipedia|Wikipédia|WIKIPÉDIA""), ""Wikipedia"",
IF(REGEXMATCH(S203, ""VEJA|Veja""), ""Veja Abril"",
IF(REGEXMATCH(S476, ""Rede Globo|RE"&amp;"DE GLOBO""), ""Rede Globo"",
IF(REGEXMATCH(S476, ""G1|globo\.com""), ""G1"",
IF(REGEXMATCH(S203, ""Deutsche Welle|DW\.com""), ""Deutsche Welle"",
IF(REGEXMATCH(S203, ""CIDH|Comissão Interamericana""), ""Comissão Interamericana de Direitos Humanos (CIDH)"""&amp;",
IF(REGEXMATCH(S203, ""Pastoral Carcerária""), ""Pastoral Carcerária"",
IF(REGEXMATCH(S203, ""Esquerda Web""), ""Esquerda Web"",
IF(REGEXMATCH(S203, ""ONU|Organização das Nações Unidas""), ""ONU Brasil"",
IF(REGEXMATCH(S203, ""Quilombo Invisível""), ""Qu"&amp;"ilombo Invisível"",
IF(REGEXMATCH(S203, ""ALESP|Assembleia Legislativa""), ""ALESP"",
IF(REGEXMATCH(S203, ""Revista Opera""), ""Revista Opera"",
IF(REGEXMATCH(S203, ""SP Escola de Teatro""), ""SP Escola de Teatro"",
IF(REGEXMATCH(S203, ""EMC|Espaço Memóri"&amp;"a Carandiru""), ""EMC Espaço Memória Carandiru"",
IF(REGEXMATCH(S203, ""^RAMOS, Nuno|Nuno Ramos""), ""Nuno Ramos"",
IF(REGEXMATCH(S203, ""^VELOSO, Caetano|Caetano Veloso""), ""YouTube (Caetano Veloso)"",
IF(REGEXMATCH(S203, ""^FATOS REAIS""), ""YouTube ("&amp;"Fatos Reais - Topic)"",
IF(REGEXMATCH(S203, ""^SALA SECRETA""), ""Wordpress (Sala Secreta)"",
PROPER(REGEXEXTRACT(S203, ""^([^.]*)\.""))
))))))))))))))))))))))))))))))))))))))))))))))))))))))))"),"Instagram (Memórias Carandiru)")</f>
        <v>Instagram (Memórias Carandiru)</v>
      </c>
      <c r="N203" s="11" t="s">
        <v>47</v>
      </c>
      <c r="O203" s="14" t="s">
        <v>149</v>
      </c>
      <c r="P203" s="186">
        <v>45857.0</v>
      </c>
      <c r="Q203" s="11" t="s">
        <v>154</v>
      </c>
      <c r="R203" s="70" t="str">
        <f t="shared" si="8"/>
        <v>Aqui</v>
      </c>
      <c r="S203" s="172" t="s">
        <v>960</v>
      </c>
    </row>
    <row r="204">
      <c r="A204" s="11">
        <v>202.0</v>
      </c>
      <c r="B204" s="14" t="s">
        <v>799</v>
      </c>
      <c r="C204" s="122" t="s">
        <v>961</v>
      </c>
      <c r="D204" s="13" t="str">
        <f>IFERROR(__xludf.DUMMYFUNCTION("IF(B204="""","""",IF(OR(
  REGEXMATCH(B204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REGEXMATCH(B204,""público|Imediato|artística|teatral|memória"")
),""Público Imediato"",
IF(REGEXMATCH(B204,""Música|Álbum|Filme|Documentário|Série|Podc"&amp;"ast|Rádio|Audiotour|Entrevista|Reportagem|Crônica|Relatório|Abaixo-assinado|Manifesto|Petição|Poema|Livro|Fotografia|Curta|Live|Webinário|Charge|Leitura pública|Vídeo""),
""Público Mediado"","""")))
"),"Público Imediato")</f>
        <v>Público Imediato</v>
      </c>
      <c r="E204" s="13" t="str">
        <f>IFERROR(__xludf.DUMMYFUNCTION("IF(B204="""","""",IF(OR(
  REGEXMATCH(B204,""Live|Webinário|Virtual""),
  REGEXMATCH(B204,""online"")
),""Virtual"",
IF(REGEXMATCH(B204,""Música|Álbum|Filme|Documentário|Série|Podcast|Rádio|Audiotour|Episódio|Reportagem|Curta|Charge|Livro|Vídeo|Entrevista"&amp;"""),
""Midiático"",
IF(REGEXMATCH(B204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4" s="186">
        <v>45464.0</v>
      </c>
      <c r="G204" s="15">
        <f t="shared" si="1"/>
        <v>2024</v>
      </c>
      <c r="H204" s="181" t="s">
        <v>347</v>
      </c>
      <c r="I204" s="175" t="s">
        <v>962</v>
      </c>
      <c r="J204" s="202" t="s">
        <v>963</v>
      </c>
      <c r="K204" s="16" t="s">
        <v>964</v>
      </c>
      <c r="L204" s="18" t="s">
        <v>965</v>
      </c>
      <c r="M204" s="15" t="str">
        <f>IFERROR(__xludf.DUMMYFUNCTION("IF(REGEXMATCH(S204, ""Companhia das Letras""), ""Companhia das Letras"",
IF(REGEXMATCH(S204, ""Labortexto Editorial""), ""Labortexto Editorial"",
IF(REGEXMATCH(S204, ""Geração Editorial""), ""Geração Editorial"",
IF(REGEXMATCH(S204, ""Editora Imprensa Ofi"&amp;"cial|Imprensa Oficial""), ""Editora Imprensa Oficial"",
IF(REGEXMATCH(S204, ""Folha Online""), ""Folha Online"",
IF(REGEXMATCH(S204, ""FGV DIREITO SP|FGV Direito SP""), ""FGV DIREITO SP"",
IF(REGEXMATCH(S204, ""massacrecarandiru\.org\.br""), ""Memória Mas"&amp;"sacre Carandiru"",
IF(REGEXMATCH(S204, ""Itaú Cultural""), ""YouTube (Itaú Cultural)"",
IF(REGEXMATCH(S204, ""Passa Palavra""), ""Vimeo (Passa Palavra)"",
IF(REGEXMATCH(S204, ""rede2deoutubro\.blogspot""), ""Blogspot (Rede 02 de Outubro)"",
IF(REGEXMATCH("&amp;"S204, ""Rede TVT""), ""YouTube (Rede TVT)"",
IF(REGEXMATCH(S204, ""Esquerda Diário""), ""Esquerda Diário"",
IF(REGEXMATCH(S204, ""GZH""), ""GZH"",
IF(REGEXMATCH(S204, ""TVPUC""), ""TVPUC"",
IF(REGEXMATCH(S204, ""Mídia Ninja.*Facebook""), ""Facebook (Mídia"&amp;" Ninja)"",
IF(REGEXMATCH(S204, ""Memórias Carandiru.*Instagram""), ""Instagram (Memórias Carandiru)"",
IF(REGEXMATCH(S204, ""Frente pelo Desencarceramento SP""), ""YouTube (Frente Pelo Desencarceramento SP)"",
IF(REGEXMATCH(S204, ""TV ABA""), ""YouTube (T"&amp;"V ABA)"",
IF(REGEXMATCH(S204, ""TV SENADO""), ""YouTube (TV Senado)"",
IF(REGEXMATCH(S204, ""Google Arts &amp; Culture""), ""Google Arts &amp; Culture (Memória Massacre Carandiru)"",
IF(REGEXMATCH(S204, ""Anistia Internacional|ANISTIA INTERNACIONAL""), ""Anistia "&amp;"Internacional"",
IF(REGEXMATCH(S204, ""47\.mostra|47a Mostra""), ""47a Mostra Internacional de Cinema em São Paulo"",
IF(REGEXMATCH(S204, ""Canal USP""), ""YouTube (Canal USP)"",
IF(AND(
  REGEXMATCH(S204, ""(?i)(teses?\.usp\.br|dissertacoes?\.usp\.br|rep"&amp;"ositorio\.usp\.br)""),
  NOT(REGEXMATCH(S204, ""Canal USP""))
), ""Biblioteca Digital de Teses e Dissertações da USP"",
IF(REGEXMATCH(S204, ""SINTRAJUSC""), ""SINTRAJUSC"",
IF(REGEXMATCH(S204, ""Agência Brasil|Agencia Brasil""), ""Agência Brasil"",
IF(REG"&amp;"EXMATCH(S204, ""Brasil de Fato""), ""Brasil de Fato"",
IF(REGEXMATCH(S204, ""Ponte Jornalismo|pontejornalismo""), ""Ponte Jornalismo"",
IF(REGEXMATCH(S204, ""letras\.mus\.br|Letras,""), ""Letras"",
IF(REGEXMATCH(S204, ""YouTube|youtube""), 
   ""YouTube "&amp;"(""&amp;
   IF(REGEXMATCH(S204, ""Itaú Cultural""), ""Itaú Cultural"",
   IF(REGEXMATCH(S204, ""Rede TVT""), ""Rede TVT"",
   IF(REGEXMATCH(S204, ""Frente pelo Desencarceramento SP""), ""Frente Pelo Desencarceramento SP"",
   IF(REGEXMATCH(S204, ""TV ABA""), "&amp;"""TV ABA"",
   IF(REGEXMATCH(S204, ""TV SENADO""), ""TV Senado"",
   IF(REGEXMATCH(S204, ""Canal USP""), ""Canal USP"",
   IF(REGEXMATCH(S204, ""Douer, Zack|Zack Douer""), ""Douer Zack"",
   IF(REGEXMATCH(S204, ""PRISIONEIRO 84\.901|PRISIONEIRO 84""), ""P"&amp;"risioneiro 84.901"",
   IF(REGEXMATCH(S204, ""^[^,]*, ""), 
        PROPER(REGEXREPLACE(REGEXEXTRACT(S204, ""^([^.]*)\.""), ""^([^,]*), (.*)"", ""$2 $1"")),
        PROPER(REGEXEXTRACT(S204, ""^([^.]*)\.""))
   )))))))))&amp;"")"",
IF(REGEXMATCH(S204, ""Spot"&amp;"ify|spotify""), 
   ""Spotify (""&amp;
   IF(REGEXMATCH(S204, ""ESTRANHO SORRISO""), ""Estranho Sorriso"",
   PROPER(REGEXEXTRACT(S204, ""^([^.]*)\.""))
   )&amp;"")"",
IF(REGEXMATCH(S204, ""Vimeo|vimeo""), 
   ""Vimeo (""&amp;
   IF(REGEXMATCH(S204, ""Passa Palavra"&amp;"""), ""Passa Palavra"",
   PROPER(REGEXEXTRACT(S204, ""^([^.]*)\.""))
   )&amp;"")"",
IF(REGEXMATCH(S204, ""Blogspot""), 
   ""Blogspot (""&amp;
   IF(REGEXMATCH(S204, ""rede2deoutubro""), ""Rede 02 de Outubro"",
   PROPER(REGEXEXTRACT(S204, ""^([^.]*)\.""))
   "&amp;")&amp;"")"",
IF(REGEXMATCH(S204, ""Facebook""), 
   ""Facebook (""&amp;
   IF(REGEXMATCH(S204, ""Mídia Ninja""), ""Mídia Ninja"",
   PROPER(REGEXEXTRACT(S204, ""^([^.]*)\.""))
   )&amp;"")"",
IF(REGEXMATCH(S204, ""Instagram""), 
   ""Instagram (""&amp;
   IF(REGEXMATCH"&amp;"(S204, ""Memórias Carandiru""), ""Memórias Carandiru"",
   PROPER(REGEXEXTRACT(S204, ""^([^.]*)\.""))
   )&amp;"")"",
IF(REGEXMATCH(S204, ""Folha de S\. Paulo|FOLHA DE S\. PAULO""), ""Folha de S. Paulo"",
IF(REGEXMATCH(S204, ""O Estado de S\. Paulo|ESTADAO"""&amp;"), ""O Estado de S. Paulo"",
IF(REGEXMATCH(S204, ""salasecreta""), ""Wordpress (Sala Secreta)"",
IF(REGEXMATCH(S204, ""Wikipedia|Wikipédia|WIKIPÉDIA""), ""Wikipedia"",
IF(REGEXMATCH(S204, ""VEJA|Veja""), ""Veja Abril"",
IF(REGEXMATCH(S477, ""Rede Globo|RE"&amp;"DE GLOBO""), ""Rede Globo"",
IF(REGEXMATCH(S477, ""G1|globo\.com""), ""G1"",
IF(REGEXMATCH(S204, ""Deutsche Welle|DW\.com""), ""Deutsche Welle"",
IF(REGEXMATCH(S204, ""CIDH|Comissão Interamericana""), ""Comissão Interamericana de Direitos Humanos (CIDH)"""&amp;",
IF(REGEXMATCH(S204, ""Pastoral Carcerária""), ""Pastoral Carcerária"",
IF(REGEXMATCH(S204, ""Esquerda Web""), ""Esquerda Web"",
IF(REGEXMATCH(S204, ""ONU|Organização das Nações Unidas""), ""ONU Brasil"",
IF(REGEXMATCH(S204, ""Quilombo Invisível""), ""Qu"&amp;"ilombo Invisível"",
IF(REGEXMATCH(S204, ""ALESP|Assembleia Legislativa""), ""ALESP"",
IF(REGEXMATCH(S204, ""Revista Opera""), ""Revista Opera"",
IF(REGEXMATCH(S204, ""SP Escola de Teatro""), ""SP Escola de Teatro"",
IF(REGEXMATCH(S204, ""EMC|Espaço Memóri"&amp;"a Carandiru""), ""EMC Espaço Memória Carandiru"",
IF(REGEXMATCH(S204, ""^RAMOS, Nuno|Nuno Ramos""), ""Nuno Ramos"",
IF(REGEXMATCH(S204, ""^VELOSO, Caetano|Caetano Veloso""), ""YouTube (Caetano Veloso)"",
IF(REGEXMATCH(S204, ""^FATOS REAIS""), ""YouTube ("&amp;"Fatos Reais - Topic)"",
IF(REGEXMATCH(S204, ""^SALA SECRETA""), ""Wordpress (Sala Secreta)"",
PROPER(REGEXEXTRACT(S204, ""^([^.]*)\.""))
))))))))))))))))))))))))))))))))))))))))))))))))))))))))"),"Instagram (Memórias Carandiru)")</f>
        <v>Instagram (Memórias Carandiru)</v>
      </c>
      <c r="N204" s="11" t="s">
        <v>47</v>
      </c>
      <c r="O204" s="14" t="s">
        <v>149</v>
      </c>
      <c r="P204" s="186">
        <v>45857.0</v>
      </c>
      <c r="Q204" s="11" t="s">
        <v>154</v>
      </c>
      <c r="R204" s="70" t="str">
        <f t="shared" si="8"/>
        <v>Aqui</v>
      </c>
      <c r="S204" s="75" t="s">
        <v>966</v>
      </c>
    </row>
    <row r="205">
      <c r="A205" s="11">
        <v>203.0</v>
      </c>
      <c r="B205" s="11" t="s">
        <v>703</v>
      </c>
      <c r="C205" s="12" t="str">
        <f>IFERROR(__xludf.DUMMYFUNCTION("IF(B205="""","""",IF(OR(
  REGEXMATCH(B205,""Performance|Instalação|Álbum|Música|Poema|Livro|Filme|Documentário|Recitação|Espetáculo|Peça|Intervenção|Desfile|Fotografia|Exposição|Charge|Grafite|Leitura pública|Fabricação de cachaça artesanal""),
  REGEXMA"&amp;"TCH(B205,""dança|teatral|artístico|musical|artística"")
),""Manifestação artístico-cultural"",
IF(OR(
  REGEXMATCH(B205,""Crônica|Série|Reportagem|Podcast|Audiotour|Entrevista|Vídeo|Rádio""),
  REGEXMATCH(B205,""midiática"")
),""Produção midiática"","""")"&amp;"))
"),"Produção midiática")</f>
        <v>Produção midiática</v>
      </c>
      <c r="D205" s="13" t="str">
        <f>IFERROR(__xludf.DUMMYFUNCTION("IF(B205="""","""",IF(OR(
  REGEXMATCH(B205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REGEXMATCH(B205,""público|Imediato|artística|teatral|memória"")
),""Público Imediato"",
IF(REGEXMATCH(B205,""Música|Álbum|Filme|Documentário|Série|Podc"&amp;"ast|Rádio|Audiotour|Entrevista|Reportagem|Crônica|Relatório|Abaixo-assinado|Manifesto|Petição|Poema|Livro|Fotografia|Curta|Live|Webinário|Charge|Leitura pública|Vídeo""),
""Público Mediado"","""")))
"),"Público Mediado")</f>
        <v>Público Mediado</v>
      </c>
      <c r="E205" s="13" t="str">
        <f>IFERROR(__xludf.DUMMYFUNCTION("IF(B205="""","""",IF(OR(
  REGEXMATCH(B205,""Live|Webinário|Virtual""),
  REGEXMATCH(B205,""online"")
),""Virtual"",
IF(REGEXMATCH(B205,""Música|Álbum|Filme|Documentário|Série|Podcast|Rádio|Audiotour|Episódio|Reportagem|Curta|Charge|Livro|Vídeo|Entrevista"&amp;"""),
""Midiático"",
IF(REGEXMATCH(B205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5" s="183">
        <v>45466.0</v>
      </c>
      <c r="G205" s="15">
        <f t="shared" si="1"/>
        <v>2024</v>
      </c>
      <c r="H205" s="181" t="s">
        <v>347</v>
      </c>
      <c r="I205" s="16" t="s">
        <v>967</v>
      </c>
      <c r="J205" s="169" t="str">
        <f>IFERROR(__xludf.DUMMYFUNCTION("REGEXEXTRACT(S205, ""\.\s(.*?)\s*YouTube"")"),"Raio X: o massacre do Carandiru como você nunca viu.")</f>
        <v>Raio X: o massacre do Carandiru como você nunca viu.</v>
      </c>
      <c r="K205" s="16" t="s">
        <v>83</v>
      </c>
      <c r="L205" s="18" t="s">
        <v>329</v>
      </c>
      <c r="M205" s="15" t="str">
        <f>IFERROR(__xludf.DUMMYFUNCTION("IF(REGEXMATCH(S205, ""Companhia das Letras""), ""Companhia das Letras"",
IF(REGEXMATCH(S205, ""Labortexto Editorial""), ""Labortexto Editorial"",
IF(REGEXMATCH(S205, ""Geração Editorial""), ""Geração Editorial"",
IF(REGEXMATCH(S205, ""Editora Imprensa Ofi"&amp;"cial|Imprensa Oficial""), ""Editora Imprensa Oficial"",
IF(REGEXMATCH(S205, ""Folha Online""), ""Folha Online"",
IF(REGEXMATCH(S205, ""FGV DIREITO SP|FGV Direito SP""), ""FGV DIREITO SP"",
IF(REGEXMATCH(S205, ""massacrecarandiru\.org\.br""), ""Memória Mas"&amp;"sacre Carandiru"",
IF(REGEXMATCH(S205, ""Itaú Cultural""), ""YouTube (Itaú Cultural)"",
IF(REGEXMATCH(S205, ""Passa Palavra""), ""Vimeo (Passa Palavra)"",
IF(REGEXMATCH(S205, ""rede2deoutubro\.blogspot""), ""Blogspot (Rede 02 de Outubro)"",
IF(REGEXMATCH("&amp;"S205, ""Rede TVT""), ""YouTube (Rede TVT)"",
IF(REGEXMATCH(S205, ""Esquerda Diário""), ""Esquerda Diário"",
IF(REGEXMATCH(S205, ""GZH""), ""GZH"",
IF(REGEXMATCH(S205, ""TVPUC""), ""TVPUC"",
IF(REGEXMATCH(S205, ""Mídia Ninja.*Facebook""), ""Facebook (Mídia"&amp;" Ninja)"",
IF(REGEXMATCH(S205, ""Memórias Carandiru.*Instagram""), ""Instagram (Memórias Carandiru)"",
IF(REGEXMATCH(S205, ""Frente pelo Desencarceramento SP""), ""YouTube (Frente Pelo Desencarceramento SP)"",
IF(REGEXMATCH(S205, ""TV ABA""), ""YouTube (T"&amp;"V ABA)"",
IF(REGEXMATCH(S205, ""TV SENADO""), ""YouTube (TV Senado)"",
IF(REGEXMATCH(S205, ""Google Arts &amp; Culture""), ""Google Arts &amp; Culture (Memória Massacre Carandiru)"",
IF(REGEXMATCH(S205, ""Anistia Internacional|ANISTIA INTERNACIONAL""), ""Anistia "&amp;"Internacional"",
IF(REGEXMATCH(S205, ""47\.mostra|47a Mostra""), ""47a Mostra Internacional de Cinema em São Paulo"",
IF(REGEXMATCH(S205, ""Canal USP""), ""YouTube (Canal USP)"",
IF(AND(
  REGEXMATCH(S205, ""(?i)(teses?\.usp\.br|dissertacoes?\.usp\.br|rep"&amp;"ositorio\.usp\.br)""),
  NOT(REGEXMATCH(S205, ""Canal USP""))
), ""Biblioteca Digital de Teses e Dissertações da USP"",
IF(REGEXMATCH(S205, ""SINTRAJUSC""), ""SINTRAJUSC"",
IF(REGEXMATCH(S205, ""Agência Brasil|Agencia Brasil""), ""Agência Brasil"",
IF(REG"&amp;"EXMATCH(S205, ""Brasil de Fato""), ""Brasil de Fato"",
IF(REGEXMATCH(S205, ""Ponte Jornalismo|pontejornalismo""), ""Ponte Jornalismo"",
IF(REGEXMATCH(S205, ""letras\.mus\.br|Letras,""), ""Letras"",
IF(REGEXMATCH(S205, ""YouTube|youtube""), 
   ""YouTube "&amp;"(""&amp;
   IF(REGEXMATCH(S205, ""Itaú Cultural""), ""Itaú Cultural"",
   IF(REGEXMATCH(S205, ""Rede TVT""), ""Rede TVT"",
   IF(REGEXMATCH(S205, ""Frente pelo Desencarceramento SP""), ""Frente Pelo Desencarceramento SP"",
   IF(REGEXMATCH(S205, ""TV ABA""), "&amp;"""TV ABA"",
   IF(REGEXMATCH(S205, ""TV SENADO""), ""TV Senado"",
   IF(REGEXMATCH(S205, ""Canal USP""), ""Canal USP"",
   IF(REGEXMATCH(S205, ""Douer, Zack|Zack Douer""), ""Douer Zack"",
   IF(REGEXMATCH(S205, ""PRISIONEIRO 84\.901|PRISIONEIRO 84""), ""P"&amp;"risioneiro 84.901"",
   IF(REGEXMATCH(S205, ""^[^,]*, ""), 
        PROPER(REGEXREPLACE(REGEXEXTRACT(S205, ""^([^.]*)\.""), ""^([^,]*), (.*)"", ""$2 $1"")),
        PROPER(REGEXEXTRACT(S205, ""^([^.]*)\.""))
   )))))))))&amp;"")"",
IF(REGEXMATCH(S205, ""Spot"&amp;"ify|spotify""), 
   ""Spotify (""&amp;
   IF(REGEXMATCH(S205, ""ESTRANHO SORRISO""), ""Estranho Sorriso"",
   PROPER(REGEXEXTRACT(S205, ""^([^.]*)\.""))
   )&amp;"")"",
IF(REGEXMATCH(S205, ""Vimeo|vimeo""), 
   ""Vimeo (""&amp;
   IF(REGEXMATCH(S205, ""Passa Palavra"&amp;"""), ""Passa Palavra"",
   PROPER(REGEXEXTRACT(S205, ""^([^.]*)\.""))
   )&amp;"")"",
IF(REGEXMATCH(S205, ""Blogspot""), 
   ""Blogspot (""&amp;
   IF(REGEXMATCH(S205, ""rede2deoutubro""), ""Rede 02 de Outubro"",
   PROPER(REGEXEXTRACT(S205, ""^([^.]*)\.""))
   "&amp;")&amp;"")"",
IF(REGEXMATCH(S205, ""Facebook""), 
   ""Facebook (""&amp;
   IF(REGEXMATCH(S205, ""Mídia Ninja""), ""Mídia Ninja"",
   PROPER(REGEXEXTRACT(S205, ""^([^.]*)\.""))
   )&amp;"")"",
IF(REGEXMATCH(S205, ""Instagram""), 
   ""Instagram (""&amp;
   IF(REGEXMATCH"&amp;"(S205, ""Memórias Carandiru""), ""Memórias Carandiru"",
   PROPER(REGEXEXTRACT(S205, ""^([^.]*)\.""))
   )&amp;"")"",
IF(REGEXMATCH(S205, ""Folha de S\. Paulo|FOLHA DE S\. PAULO""), ""Folha de S. Paulo"",
IF(REGEXMATCH(S205, ""O Estado de S\. Paulo|ESTADAO"""&amp;"), ""O Estado de S. Paulo"",
IF(REGEXMATCH(S205, ""salasecreta""), ""Wordpress (Sala Secreta)"",
IF(REGEXMATCH(S205, ""Wikipedia|Wikipédia|WIKIPÉDIA""), ""Wikipedia"",
IF(REGEXMATCH(S205, ""VEJA|Veja""), ""Veja Abril"",
IF(REGEXMATCH(S478, ""Rede Globo|RE"&amp;"DE GLOBO""), ""Rede Globo"",
IF(REGEXMATCH(S478, ""G1|globo\.com""), ""G1"",
IF(REGEXMATCH(S205, ""Deutsche Welle|DW\.com""), ""Deutsche Welle"",
IF(REGEXMATCH(S205, ""CIDH|Comissão Interamericana""), ""Comissão Interamericana de Direitos Humanos (CIDH)"""&amp;",
IF(REGEXMATCH(S205, ""Pastoral Carcerária""), ""Pastoral Carcerária"",
IF(REGEXMATCH(S205, ""Esquerda Web""), ""Esquerda Web"",
IF(REGEXMATCH(S205, ""ONU|Organização das Nações Unidas""), ""ONU Brasil"",
IF(REGEXMATCH(S205, ""Quilombo Invisível""), ""Qu"&amp;"ilombo Invisível"",
IF(REGEXMATCH(S205, ""ALESP|Assembleia Legislativa""), ""ALESP"",
IF(REGEXMATCH(S205, ""Revista Opera""), ""Revista Opera"",
IF(REGEXMATCH(S205, ""SP Escola de Teatro""), ""SP Escola de Teatro"",
IF(REGEXMATCH(S205, ""EMC|Espaço Memóri"&amp;"a Carandiru""), ""EMC Espaço Memória Carandiru"",
IF(REGEXMATCH(S205, ""^RAMOS, Nuno|Nuno Ramos""), ""Nuno Ramos"",
IF(REGEXMATCH(S205, ""^VELOSO, Caetano|Caetano Veloso""), ""YouTube (Caetano Veloso)"",
IF(REGEXMATCH(S205, ""^FATOS REAIS""), ""YouTube ("&amp;"Fatos Reais - Topic)"",
IF(REGEXMATCH(S205, ""^SALA SECRETA""), ""Wordpress (Sala Secreta)"",
PROPER(REGEXEXTRACT(S205, ""^([^.]*)\.""))
))))))))))))))))))))))))))))))))))))))))))))))))))))))))"),"YouTube (Iconografia Da História)")</f>
        <v>YouTube (Iconografia Da História)</v>
      </c>
      <c r="N205" s="11" t="s">
        <v>47</v>
      </c>
      <c r="O205" s="14" t="s">
        <v>374</v>
      </c>
      <c r="P205" s="171">
        <v>45946.0</v>
      </c>
      <c r="Q205" s="11" t="s">
        <v>154</v>
      </c>
      <c r="R205" s="70" t="str">
        <f t="shared" si="8"/>
        <v>Aqui</v>
      </c>
      <c r="S205" s="204" t="s">
        <v>968</v>
      </c>
    </row>
    <row r="206">
      <c r="A206" s="11">
        <v>204.0</v>
      </c>
      <c r="B206" s="11" t="s">
        <v>703</v>
      </c>
      <c r="C206" s="12" t="str">
        <f>IFERROR(__xludf.DUMMYFUNCTION("IF(B206="""","""",IF(OR(
  REGEXMATCH(B206,""Performance|Instalação|Álbum|Música|Poema|Livro|Filme|Documentário|Recitação|Espetáculo|Peça|Intervenção|Desfile|Fotografia|Exposição|Charge|Grafite|Leitura pública|Fabricação de cachaça artesanal""),
  REGEXMA"&amp;"TCH(B206,""dança|teatral|artístico|musical|artística"")
),""Manifestação artístico-cultural"",
IF(OR(
  REGEXMATCH(B206,""Crônica|Série|Reportagem|Podcast|Audiotour|Entrevista|Vídeo|Rádio""),
  REGEXMATCH(B206,""midiática"")
),""Produção midiática"","""")"&amp;"))
"),"Produção midiática")</f>
        <v>Produção midiática</v>
      </c>
      <c r="D206" s="13" t="str">
        <f>IFERROR(__xludf.DUMMYFUNCTION("IF(B206="""","""",IF(OR(
  REGEXMATCH(B206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REGEXMATCH(B206,""público|Imediato|artística|teatral|memória"")
),""Público Imediato"",
IF(REGEXMATCH(B206,""Música|Álbum|Filme|Documentário|Série|Podc"&amp;"ast|Rádio|Audiotour|Entrevista|Reportagem|Crônica|Relatório|Abaixo-assinado|Manifesto|Petição|Poema|Livro|Fotografia|Curta|Live|Webinário|Charge|Leitura pública|Vídeo""),
""Público Mediado"","""")))
"),"Público Mediado")</f>
        <v>Público Mediado</v>
      </c>
      <c r="E206" s="13" t="str">
        <f>IFERROR(__xludf.DUMMYFUNCTION("IF(B206="""","""",IF(OR(
  REGEXMATCH(B206,""Live|Webinário|Virtual""),
  REGEXMATCH(B206,""online"")
),""Virtual"",
IF(REGEXMATCH(B206,""Música|Álbum|Filme|Documentário|Série|Podcast|Rádio|Audiotour|Episódio|Reportagem|Curta|Charge|Livro|Vídeo|Entrevista"&amp;"""),
""Midiático"",
IF(REGEXMATCH(B206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6" s="183">
        <v>45567.0</v>
      </c>
      <c r="G206" s="15">
        <f t="shared" si="1"/>
        <v>2024</v>
      </c>
      <c r="H206" s="181" t="s">
        <v>347</v>
      </c>
      <c r="I206" s="16" t="s">
        <v>969</v>
      </c>
      <c r="J206" s="169" t="str">
        <f>IFERROR(__xludf.DUMMYFUNCTION("REGEXEXTRACT(S206, ""\.\s(.*?)\s*YouTube"")"),"Carandiru centenário: a história da Casa de Detenção.")</f>
        <v>Carandiru centenário: a história da Casa de Detenção.</v>
      </c>
      <c r="K206" s="16" t="s">
        <v>83</v>
      </c>
      <c r="L206" s="18" t="s">
        <v>329</v>
      </c>
      <c r="M206" s="15" t="str">
        <f>IFERROR(__xludf.DUMMYFUNCTION("IF(REGEXMATCH(S206, ""Companhia das Letras""), ""Companhia das Letras"",
IF(REGEXMATCH(S206, ""Labortexto Editorial""), ""Labortexto Editorial"",
IF(REGEXMATCH(S206, ""Geração Editorial""), ""Geração Editorial"",
IF(REGEXMATCH(S206, ""Editora Imprensa Ofi"&amp;"cial|Imprensa Oficial""), ""Editora Imprensa Oficial"",
IF(REGEXMATCH(S206, ""Folha Online""), ""Folha Online"",
IF(REGEXMATCH(S206, ""FGV DIREITO SP|FGV Direito SP""), ""FGV DIREITO SP"",
IF(REGEXMATCH(S206, ""massacrecarandiru\.org\.br""), ""Memória Mas"&amp;"sacre Carandiru"",
IF(REGEXMATCH(S206, ""Itaú Cultural""), ""YouTube (Itaú Cultural)"",
IF(REGEXMATCH(S206, ""Passa Palavra""), ""Vimeo (Passa Palavra)"",
IF(REGEXMATCH(S206, ""rede2deoutubro\.blogspot""), ""Blogspot (Rede 02 de Outubro)"",
IF(REGEXMATCH("&amp;"S206, ""Rede TVT""), ""YouTube (Rede TVT)"",
IF(REGEXMATCH(S206, ""Esquerda Diário""), ""Esquerda Diário"",
IF(REGEXMATCH(S206, ""GZH""), ""GZH"",
IF(REGEXMATCH(S206, ""TVPUC""), ""TVPUC"",
IF(REGEXMATCH(S206, ""Mídia Ninja.*Facebook""), ""Facebook (Mídia"&amp;" Ninja)"",
IF(REGEXMATCH(S206, ""Memórias Carandiru.*Instagram""), ""Instagram (Memórias Carandiru)"",
IF(REGEXMATCH(S206, ""Frente pelo Desencarceramento SP""), ""YouTube (Frente Pelo Desencarceramento SP)"",
IF(REGEXMATCH(S206, ""TV ABA""), ""YouTube (T"&amp;"V ABA)"",
IF(REGEXMATCH(S206, ""TV SENADO""), ""YouTube (TV Senado)"",
IF(REGEXMATCH(S206, ""Google Arts &amp; Culture""), ""Google Arts &amp; Culture (Memória Massacre Carandiru)"",
IF(REGEXMATCH(S206, ""Anistia Internacional|ANISTIA INTERNACIONAL""), ""Anistia "&amp;"Internacional"",
IF(REGEXMATCH(S206, ""47\.mostra|47a Mostra""), ""47a Mostra Internacional de Cinema em São Paulo"",
IF(REGEXMATCH(S206, ""Canal USP""), ""YouTube (Canal USP)"",
IF(AND(
  REGEXMATCH(S206, ""(?i)(teses?\.usp\.br|dissertacoes?\.usp\.br|rep"&amp;"ositorio\.usp\.br)""),
  NOT(REGEXMATCH(S206, ""Canal USP""))
), ""Biblioteca Digital de Teses e Dissertações da USP"",
IF(REGEXMATCH(S206, ""SINTRAJUSC""), ""SINTRAJUSC"",
IF(REGEXMATCH(S206, ""Agência Brasil|Agencia Brasil""), ""Agência Brasil"",
IF(REG"&amp;"EXMATCH(S206, ""Brasil de Fato""), ""Brasil de Fato"",
IF(REGEXMATCH(S206, ""Ponte Jornalismo|pontejornalismo""), ""Ponte Jornalismo"",
IF(REGEXMATCH(S206, ""letras\.mus\.br|Letras,""), ""Letras"",
IF(REGEXMATCH(S206, ""YouTube|youtube""), 
   ""YouTube "&amp;"(""&amp;
   IF(REGEXMATCH(S206, ""Itaú Cultural""), ""Itaú Cultural"",
   IF(REGEXMATCH(S206, ""Rede TVT""), ""Rede TVT"",
   IF(REGEXMATCH(S206, ""Frente pelo Desencarceramento SP""), ""Frente Pelo Desencarceramento SP"",
   IF(REGEXMATCH(S206, ""TV ABA""), "&amp;"""TV ABA"",
   IF(REGEXMATCH(S206, ""TV SENADO""), ""TV Senado"",
   IF(REGEXMATCH(S206, ""Canal USP""), ""Canal USP"",
   IF(REGEXMATCH(S206, ""Douer, Zack|Zack Douer""), ""Douer Zack"",
   IF(REGEXMATCH(S206, ""PRISIONEIRO 84\.901|PRISIONEIRO 84""), ""P"&amp;"risioneiro 84.901"",
   IF(REGEXMATCH(S206, ""^[^,]*, ""), 
        PROPER(REGEXREPLACE(REGEXEXTRACT(S206, ""^([^.]*)\.""), ""^([^,]*), (.*)"", ""$2 $1"")),
        PROPER(REGEXEXTRACT(S206, ""^([^.]*)\.""))
   )))))))))&amp;"")"",
IF(REGEXMATCH(S206, ""Spot"&amp;"ify|spotify""), 
   ""Spotify (""&amp;
   IF(REGEXMATCH(S206, ""ESTRANHO SORRISO""), ""Estranho Sorriso"",
   PROPER(REGEXEXTRACT(S206, ""^([^.]*)\.""))
   )&amp;"")"",
IF(REGEXMATCH(S206, ""Vimeo|vimeo""), 
   ""Vimeo (""&amp;
   IF(REGEXMATCH(S206, ""Passa Palavra"&amp;"""), ""Passa Palavra"",
   PROPER(REGEXEXTRACT(S206, ""^([^.]*)\.""))
   )&amp;"")"",
IF(REGEXMATCH(S206, ""Blogspot""), 
   ""Blogspot (""&amp;
   IF(REGEXMATCH(S206, ""rede2deoutubro""), ""Rede 02 de Outubro"",
   PROPER(REGEXEXTRACT(S206, ""^([^.]*)\.""))
   "&amp;")&amp;"")"",
IF(REGEXMATCH(S206, ""Facebook""), 
   ""Facebook (""&amp;
   IF(REGEXMATCH(S206, ""Mídia Ninja""), ""Mídia Ninja"",
   PROPER(REGEXEXTRACT(S206, ""^([^.]*)\.""))
   )&amp;"")"",
IF(REGEXMATCH(S206, ""Instagram""), 
   ""Instagram (""&amp;
   IF(REGEXMATCH"&amp;"(S206, ""Memórias Carandiru""), ""Memórias Carandiru"",
   PROPER(REGEXEXTRACT(S206, ""^([^.]*)\.""))
   )&amp;"")"",
IF(REGEXMATCH(S206, ""Folha de S\. Paulo|FOLHA DE S\. PAULO""), ""Folha de S. Paulo"",
IF(REGEXMATCH(S206, ""O Estado de S\. Paulo|ESTADAO"""&amp;"), ""O Estado de S. Paulo"",
IF(REGEXMATCH(S206, ""salasecreta""), ""Wordpress (Sala Secreta)"",
IF(REGEXMATCH(S206, ""Wikipedia|Wikipédia|WIKIPÉDIA""), ""Wikipedia"",
IF(REGEXMATCH(S206, ""VEJA|Veja""), ""Veja Abril"",
IF(REGEXMATCH(S479, ""Rede Globo|RE"&amp;"DE GLOBO""), ""Rede Globo"",
IF(REGEXMATCH(S479, ""G1|globo\.com""), ""G1"",
IF(REGEXMATCH(S206, ""Deutsche Welle|DW\.com""), ""Deutsche Welle"",
IF(REGEXMATCH(S206, ""CIDH|Comissão Interamericana""), ""Comissão Interamericana de Direitos Humanos (CIDH)"""&amp;",
IF(REGEXMATCH(S206, ""Pastoral Carcerária""), ""Pastoral Carcerária"",
IF(REGEXMATCH(S206, ""Esquerda Web""), ""Esquerda Web"",
IF(REGEXMATCH(S206, ""ONU|Organização das Nações Unidas""), ""ONU Brasil"",
IF(REGEXMATCH(S206, ""Quilombo Invisível""), ""Qu"&amp;"ilombo Invisível"",
IF(REGEXMATCH(S206, ""ALESP|Assembleia Legislativa""), ""ALESP"",
IF(REGEXMATCH(S206, ""Revista Opera""), ""Revista Opera"",
IF(REGEXMATCH(S206, ""SP Escola de Teatro""), ""SP Escola de Teatro"",
IF(REGEXMATCH(S206, ""EMC|Espaço Memóri"&amp;"a Carandiru""), ""EMC Espaço Memória Carandiru"",
IF(REGEXMATCH(S206, ""^RAMOS, Nuno|Nuno Ramos""), ""Nuno Ramos"",
IF(REGEXMATCH(S206, ""^VELOSO, Caetano|Caetano Veloso""), ""YouTube (Caetano Veloso)"",
IF(REGEXMATCH(S206, ""^FATOS REAIS""), ""YouTube ("&amp;"Fatos Reais - Topic)"",
IF(REGEXMATCH(S206, ""^SALA SECRETA""), ""Wordpress (Sala Secreta)"",
PROPER(REGEXEXTRACT(S206, ""^([^.]*)\.""))
))))))))))))))))))))))))))))))))))))))))))))))))))))))))"),"YouTube (Canal Usp)")</f>
        <v>YouTube (Canal Usp)</v>
      </c>
      <c r="N206" s="11" t="s">
        <v>47</v>
      </c>
      <c r="O206" s="14" t="s">
        <v>374</v>
      </c>
      <c r="P206" s="171">
        <v>45946.0</v>
      </c>
      <c r="Q206" s="11" t="s">
        <v>154</v>
      </c>
      <c r="R206" s="70" t="str">
        <f t="shared" si="8"/>
        <v>Aqui</v>
      </c>
      <c r="S206" s="75" t="s">
        <v>970</v>
      </c>
    </row>
    <row r="207">
      <c r="A207" s="11">
        <v>205.0</v>
      </c>
      <c r="B207" s="11" t="s">
        <v>703</v>
      </c>
      <c r="C207" s="12" t="str">
        <f>IFERROR(__xludf.DUMMYFUNCTION("IF(B207="""","""",IF(OR(
  REGEXMATCH(B207,""Performance|Instalação|Álbum|Música|Poema|Livro|Filme|Documentário|Recitação|Espetáculo|Peça|Intervenção|Desfile|Fotografia|Exposição|Charge|Grafite|Leitura pública|Fabricação de cachaça artesanal""),
  REGEXMA"&amp;"TCH(B207,""dança|teatral|artístico|musical|artística"")
),""Manifestação artístico-cultural"",
IF(OR(
  REGEXMATCH(B207,""Crônica|Série|Reportagem|Podcast|Audiotour|Entrevista|Vídeo|Rádio""),
  REGEXMATCH(B207,""midiática"")
),""Produção midiática"","""")"&amp;"))
"),"Produção midiática")</f>
        <v>Produção midiática</v>
      </c>
      <c r="D207" s="13" t="str">
        <f>IFERROR(__xludf.DUMMYFUNCTION("IF(B207="""","""",IF(OR(
  REGEXMATCH(B207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REGEXMATCH(B207,""público|Imediato|artística|teatral|memória"")
),""Público Imediato"",
IF(REGEXMATCH(B207,""Música|Álbum|Filme|Documentário|Série|Podc"&amp;"ast|Rádio|Audiotour|Entrevista|Reportagem|Crônica|Relatório|Abaixo-assinado|Manifesto|Petição|Poema|Livro|Fotografia|Curta|Live|Webinário|Charge|Leitura pública|Vídeo""),
""Público Mediado"","""")))
"),"Público Mediado")</f>
        <v>Público Mediado</v>
      </c>
      <c r="E207" s="13" t="str">
        <f>IFERROR(__xludf.DUMMYFUNCTION("IF(B207="""","""",IF(OR(
  REGEXMATCH(B207,""Live|Webinário|Virtual""),
  REGEXMATCH(B207,""online"")
),""Virtual"",
IF(REGEXMATCH(B207,""Música|Álbum|Filme|Documentário|Série|Podcast|Rádio|Audiotour|Episódio|Reportagem|Curta|Charge|Livro|Vídeo|Entrevista"&amp;"""),
""Midiático"",
IF(REGEXMATCH(B207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7" s="171">
        <v>45637.0</v>
      </c>
      <c r="G207" s="15">
        <f t="shared" si="1"/>
        <v>2024</v>
      </c>
      <c r="H207" s="14" t="s">
        <v>23</v>
      </c>
      <c r="I207" s="16" t="s">
        <v>757</v>
      </c>
      <c r="J207" s="169" t="str">
        <f>IFERROR(__xludf.DUMMYFUNCTION("REGEXEXTRACT(S207, ""\.\s(.*?)\s*YouTube"")"),"Sobrevivente da Casa de Detenção de SP: relatos da vida fora e no Carandiru.")</f>
        <v>Sobrevivente da Casa de Detenção de SP: relatos da vida fora e no Carandiru.</v>
      </c>
      <c r="K207" s="16" t="s">
        <v>83</v>
      </c>
      <c r="L207" s="18" t="s">
        <v>329</v>
      </c>
      <c r="M207" s="15" t="str">
        <f>IFERROR(__xludf.DUMMYFUNCTION("IF(REGEXMATCH(S207, ""Companhia das Letras""), ""Companhia das Letras"",
IF(REGEXMATCH(S207, ""Labortexto Editorial""), ""Labortexto Editorial"",
IF(REGEXMATCH(S207, ""Geração Editorial""), ""Geração Editorial"",
IF(REGEXMATCH(S207, ""Editora Imprensa Ofi"&amp;"cial|Imprensa Oficial""), ""Editora Imprensa Oficial"",
IF(REGEXMATCH(S207, ""Folha Online""), ""Folha Online"",
IF(REGEXMATCH(S207, ""FGV DIREITO SP|FGV Direito SP""), ""FGV DIREITO SP"",
IF(REGEXMATCH(S207, ""massacrecarandiru\.org\.br""), ""Memória Mas"&amp;"sacre Carandiru"",
IF(REGEXMATCH(S207, ""Itaú Cultural""), ""YouTube (Itaú Cultural)"",
IF(REGEXMATCH(S207, ""Passa Palavra""), ""Vimeo (Passa Palavra)"",
IF(REGEXMATCH(S207, ""rede2deoutubro\.blogspot""), ""Blogspot (Rede 02 de Outubro)"",
IF(REGEXMATCH("&amp;"S207, ""Rede TVT""), ""YouTube (Rede TVT)"",
IF(REGEXMATCH(S207, ""Esquerda Diário""), ""Esquerda Diário"",
IF(REGEXMATCH(S207, ""GZH""), ""GZH"",
IF(REGEXMATCH(S207, ""TVPUC""), ""TVPUC"",
IF(REGEXMATCH(S207, ""Mídia Ninja.*Facebook""), ""Facebook (Mídia"&amp;" Ninja)"",
IF(REGEXMATCH(S207, ""Memórias Carandiru.*Instagram""), ""Instagram (Memórias Carandiru)"",
IF(REGEXMATCH(S207, ""Frente pelo Desencarceramento SP""), ""YouTube (Frente Pelo Desencarceramento SP)"",
IF(REGEXMATCH(S207, ""TV ABA""), ""YouTube (T"&amp;"V ABA)"",
IF(REGEXMATCH(S207, ""TV SENADO""), ""YouTube (TV Senado)"",
IF(REGEXMATCH(S207, ""Google Arts &amp; Culture""), ""Google Arts &amp; Culture (Memória Massacre Carandiru)"",
IF(REGEXMATCH(S207, ""Anistia Internacional|ANISTIA INTERNACIONAL""), ""Anistia "&amp;"Internacional"",
IF(REGEXMATCH(S207, ""47\.mostra|47a Mostra""), ""47a Mostra Internacional de Cinema em São Paulo"",
IF(REGEXMATCH(S207, ""Canal USP""), ""YouTube (Canal USP)"",
IF(AND(
  REGEXMATCH(S207, ""(?i)(teses?\.usp\.br|dissertacoes?\.usp\.br|rep"&amp;"ositorio\.usp\.br)""),
  NOT(REGEXMATCH(S207, ""Canal USP""))
), ""Biblioteca Digital de Teses e Dissertações da USP"",
IF(REGEXMATCH(S207, ""SINTRAJUSC""), ""SINTRAJUSC"",
IF(REGEXMATCH(S207, ""Agência Brasil|Agencia Brasil""), ""Agência Brasil"",
IF(REG"&amp;"EXMATCH(S207, ""Brasil de Fato""), ""Brasil de Fato"",
IF(REGEXMATCH(S207, ""Ponte Jornalismo|pontejornalismo""), ""Ponte Jornalismo"",
IF(REGEXMATCH(S207, ""letras\.mus\.br|Letras,""), ""Letras"",
IF(REGEXMATCH(S207, ""YouTube|youtube""), 
   ""YouTube "&amp;"(""&amp;
   IF(REGEXMATCH(S207, ""Itaú Cultural""), ""Itaú Cultural"",
   IF(REGEXMATCH(S207, ""Rede TVT""), ""Rede TVT"",
   IF(REGEXMATCH(S207, ""Frente pelo Desencarceramento SP""), ""Frente Pelo Desencarceramento SP"",
   IF(REGEXMATCH(S207, ""TV ABA""), "&amp;"""TV ABA"",
   IF(REGEXMATCH(S207, ""TV SENADO""), ""TV Senado"",
   IF(REGEXMATCH(S207, ""Canal USP""), ""Canal USP"",
   IF(REGEXMATCH(S207, ""Douer, Zack|Zack Douer""), ""Douer Zack"",
   IF(REGEXMATCH(S207, ""PRISIONEIRO 84\.901|PRISIONEIRO 84""), ""P"&amp;"risioneiro 84.901"",
   IF(REGEXMATCH(S207, ""^[^,]*, ""), 
        PROPER(REGEXREPLACE(REGEXEXTRACT(S207, ""^([^.]*)\.""), ""^([^,]*), (.*)"", ""$2 $1"")),
        PROPER(REGEXEXTRACT(S207, ""^([^.]*)\.""))
   )))))))))&amp;"")"",
IF(REGEXMATCH(S207, ""Spot"&amp;"ify|spotify""), 
   ""Spotify (""&amp;
   IF(REGEXMATCH(S207, ""ESTRANHO SORRISO""), ""Estranho Sorriso"",
   PROPER(REGEXEXTRACT(S207, ""^([^.]*)\.""))
   )&amp;"")"",
IF(REGEXMATCH(S207, ""Vimeo|vimeo""), 
   ""Vimeo (""&amp;
   IF(REGEXMATCH(S207, ""Passa Palavra"&amp;"""), ""Passa Palavra"",
   PROPER(REGEXEXTRACT(S207, ""^([^.]*)\.""))
   )&amp;"")"",
IF(REGEXMATCH(S207, ""Blogspot""), 
   ""Blogspot (""&amp;
   IF(REGEXMATCH(S207, ""rede2deoutubro""), ""Rede 02 de Outubro"",
   PROPER(REGEXEXTRACT(S207, ""^([^.]*)\.""))
   "&amp;")&amp;"")"",
IF(REGEXMATCH(S207, ""Facebook""), 
   ""Facebook (""&amp;
   IF(REGEXMATCH(S207, ""Mídia Ninja""), ""Mídia Ninja"",
   PROPER(REGEXEXTRACT(S207, ""^([^.]*)\.""))
   )&amp;"")"",
IF(REGEXMATCH(S207, ""Instagram""), 
   ""Instagram (""&amp;
   IF(REGEXMATCH"&amp;"(S207, ""Memórias Carandiru""), ""Memórias Carandiru"",
   PROPER(REGEXEXTRACT(S207, ""^([^.]*)\.""))
   )&amp;"")"",
IF(REGEXMATCH(S207, ""Folha de S\. Paulo|FOLHA DE S\. PAULO""), ""Folha de S. Paulo"",
IF(REGEXMATCH(S207, ""O Estado de S\. Paulo|ESTADAO"""&amp;"), ""O Estado de S. Paulo"",
IF(REGEXMATCH(S207, ""salasecreta""), ""Wordpress (Sala Secreta)"",
IF(REGEXMATCH(S207, ""Wikipedia|Wikipédia|WIKIPÉDIA""), ""Wikipedia"",
IF(REGEXMATCH(S207, ""VEJA|Veja""), ""Veja Abril"",
IF(REGEXMATCH(S480, ""Rede Globo|RE"&amp;"DE GLOBO""), ""Rede Globo"",
IF(REGEXMATCH(S480, ""G1|globo\.com""), ""G1"",
IF(REGEXMATCH(S207, ""Deutsche Welle|DW\.com""), ""Deutsche Welle"",
IF(REGEXMATCH(S207, ""CIDH|Comissão Interamericana""), ""Comissão Interamericana de Direitos Humanos (CIDH)"""&amp;",
IF(REGEXMATCH(S207, ""Pastoral Carcerária""), ""Pastoral Carcerária"",
IF(REGEXMATCH(S207, ""Esquerda Web""), ""Esquerda Web"",
IF(REGEXMATCH(S207, ""ONU|Organização das Nações Unidas""), ""ONU Brasil"",
IF(REGEXMATCH(S207, ""Quilombo Invisível""), ""Qu"&amp;"ilombo Invisível"",
IF(REGEXMATCH(S207, ""ALESP|Assembleia Legislativa""), ""ALESP"",
IF(REGEXMATCH(S207, ""Revista Opera""), ""Revista Opera"",
IF(REGEXMATCH(S207, ""SP Escola de Teatro""), ""SP Escola de Teatro"",
IF(REGEXMATCH(S207, ""EMC|Espaço Memóri"&amp;"a Carandiru""), ""EMC Espaço Memória Carandiru"",
IF(REGEXMATCH(S207, ""^RAMOS, Nuno|Nuno Ramos""), ""Nuno Ramos"",
IF(REGEXMATCH(S207, ""^VELOSO, Caetano|Caetano Veloso""), ""YouTube (Caetano Veloso)"",
IF(REGEXMATCH(S207, ""^FATOS REAIS""), ""YouTube ("&amp;"Fatos Reais - Topic)"",
IF(REGEXMATCH(S207, ""^SALA SECRETA""), ""Wordpress (Sala Secreta)"",
PROPER(REGEXEXTRACT(S207, ""^([^.]*)\.""))
))))))))))))))))))))))))))))))))))))))))))))))))))))))))"),"YouTube (Prisioneiro 84.901)")</f>
        <v>YouTube (Prisioneiro 84.901)</v>
      </c>
      <c r="N207" s="11" t="s">
        <v>47</v>
      </c>
      <c r="O207" s="14" t="s">
        <v>546</v>
      </c>
      <c r="P207" s="171">
        <v>45946.0</v>
      </c>
      <c r="Q207" s="11" t="s">
        <v>154</v>
      </c>
      <c r="R207" s="70" t="str">
        <f t="shared" si="8"/>
        <v>Aqui</v>
      </c>
      <c r="S207" s="212" t="s">
        <v>971</v>
      </c>
    </row>
    <row r="208">
      <c r="A208" s="11">
        <v>206.0</v>
      </c>
      <c r="B208" s="11" t="s">
        <v>703</v>
      </c>
      <c r="C208" s="12" t="str">
        <f>IFERROR(__xludf.DUMMYFUNCTION("IF(B208="""","""",IF(OR(
  REGEXMATCH(B208,""Performance|Instalação|Álbum|Música|Poema|Livro|Filme|Documentário|Recitação|Espetáculo|Peça|Intervenção|Desfile|Fotografia|Exposição|Charge|Grafite|Leitura pública|Fabricação de cachaça artesanal""),
  REGEXMA"&amp;"TCH(B208,""dança|teatral|artístico|musical|artística"")
),""Manifestação artístico-cultural"",
IF(OR(
  REGEXMATCH(B208,""Crônica|Série|Reportagem|Podcast|Audiotour|Entrevista|Vídeo|Rádio""),
  REGEXMATCH(B208,""midiática"")
),""Produção midiática"","""")"&amp;"))
"),"Produção midiática")</f>
        <v>Produção midiática</v>
      </c>
      <c r="D208" s="13" t="str">
        <f>IFERROR(__xludf.DUMMYFUNCTION("IF(B208="""","""",IF(OR(
  REGEXMATCH(B208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REGEXMATCH(B208,""público|Imediato|artística|teatral|memória"")
),""Público Imediato"",
IF(REGEXMATCH(B208,""Música|Álbum|Filme|Documentário|Série|Podc"&amp;"ast|Rádio|Audiotour|Entrevista|Reportagem|Crônica|Relatório|Abaixo-assinado|Manifesto|Petição|Poema|Livro|Fotografia|Curta|Live|Webinário|Charge|Leitura pública|Vídeo""),
""Público Mediado"","""")))
"),"Público Mediado")</f>
        <v>Público Mediado</v>
      </c>
      <c r="E208" s="13" t="str">
        <f>IFERROR(__xludf.DUMMYFUNCTION("IF(B208="""","""",IF(OR(
  REGEXMATCH(B208,""Live|Webinário|Virtual""),
  REGEXMATCH(B208,""online"")
),""Virtual"",
IF(REGEXMATCH(B208,""Música|Álbum|Filme|Documentário|Série|Podcast|Rádio|Audiotour|Episódio|Reportagem|Curta|Charge|Livro|Vídeo|Entrevista"&amp;"""),
""Midiático"",
IF(REGEXMATCH(B208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8" s="171">
        <v>45613.0</v>
      </c>
      <c r="G208" s="15">
        <f t="shared" si="1"/>
        <v>2024</v>
      </c>
      <c r="H208" s="14" t="s">
        <v>23</v>
      </c>
      <c r="I208" s="16" t="s">
        <v>757</v>
      </c>
      <c r="J208" s="169" t="str">
        <f>IFERROR(__xludf.DUMMYFUNCTION("REGEXEXTRACT(S208, ""\.\s(.*?)\s*YouTube"")"),"Sobrevivente da Casa de Detenção de SP: visão e entrada no crime (Parte 1).")</f>
        <v>Sobrevivente da Casa de Detenção de SP: visão e entrada no crime (Parte 1).</v>
      </c>
      <c r="K208" s="16" t="s">
        <v>83</v>
      </c>
      <c r="L208" s="18" t="s">
        <v>329</v>
      </c>
      <c r="M208" s="15" t="str">
        <f>IFERROR(__xludf.DUMMYFUNCTION("IF(REGEXMATCH(S208, ""Companhia das Letras""), ""Companhia das Letras"",
IF(REGEXMATCH(S208, ""Labortexto Editorial""), ""Labortexto Editorial"",
IF(REGEXMATCH(S208, ""Geração Editorial""), ""Geração Editorial"",
IF(REGEXMATCH(S208, ""Editora Imprensa Ofi"&amp;"cial|Imprensa Oficial""), ""Editora Imprensa Oficial"",
IF(REGEXMATCH(S208, ""Folha Online""), ""Folha Online"",
IF(REGEXMATCH(S208, ""FGV DIREITO SP|FGV Direito SP""), ""FGV DIREITO SP"",
IF(REGEXMATCH(S208, ""massacrecarandiru\.org\.br""), ""Memória Mas"&amp;"sacre Carandiru"",
IF(REGEXMATCH(S208, ""Itaú Cultural""), ""YouTube (Itaú Cultural)"",
IF(REGEXMATCH(S208, ""Passa Palavra""), ""Vimeo (Passa Palavra)"",
IF(REGEXMATCH(S208, ""rede2deoutubro\.blogspot""), ""Blogspot (Rede 02 de Outubro)"",
IF(REGEXMATCH("&amp;"S208, ""Rede TVT""), ""YouTube (Rede TVT)"",
IF(REGEXMATCH(S208, ""Esquerda Diário""), ""Esquerda Diário"",
IF(REGEXMATCH(S208, ""GZH""), ""GZH"",
IF(REGEXMATCH(S208, ""TVPUC""), ""TVPUC"",
IF(REGEXMATCH(S208, ""Mídia Ninja.*Facebook""), ""Facebook (Mídia"&amp;" Ninja)"",
IF(REGEXMATCH(S208, ""Memórias Carandiru.*Instagram""), ""Instagram (Memórias Carandiru)"",
IF(REGEXMATCH(S208, ""Frente pelo Desencarceramento SP""), ""YouTube (Frente Pelo Desencarceramento SP)"",
IF(REGEXMATCH(S208, ""TV ABA""), ""YouTube (T"&amp;"V ABA)"",
IF(REGEXMATCH(S208, ""TV SENADO""), ""YouTube (TV Senado)"",
IF(REGEXMATCH(S208, ""Google Arts &amp; Culture""), ""Google Arts &amp; Culture (Memória Massacre Carandiru)"",
IF(REGEXMATCH(S208, ""Anistia Internacional|ANISTIA INTERNACIONAL""), ""Anistia "&amp;"Internacional"",
IF(REGEXMATCH(S208, ""47\.mostra|47a Mostra""), ""47a Mostra Internacional de Cinema em São Paulo"",
IF(REGEXMATCH(S208, ""Canal USP""), ""YouTube (Canal USP)"",
IF(AND(
  REGEXMATCH(S208, ""(?i)(teses?\.usp\.br|dissertacoes?\.usp\.br|rep"&amp;"ositorio\.usp\.br)""),
  NOT(REGEXMATCH(S208, ""Canal USP""))
), ""Biblioteca Digital de Teses e Dissertações da USP"",
IF(REGEXMATCH(S208, ""SINTRAJUSC""), ""SINTRAJUSC"",
IF(REGEXMATCH(S208, ""Agência Brasil|Agencia Brasil""), ""Agência Brasil"",
IF(REG"&amp;"EXMATCH(S208, ""Brasil de Fato""), ""Brasil de Fato"",
IF(REGEXMATCH(S208, ""Ponte Jornalismo|pontejornalismo""), ""Ponte Jornalismo"",
IF(REGEXMATCH(S208, ""letras\.mus\.br|Letras,""), ""Letras"",
IF(REGEXMATCH(S208, ""YouTube|youtube""), 
   ""YouTube "&amp;"(""&amp;
   IF(REGEXMATCH(S208, ""Itaú Cultural""), ""Itaú Cultural"",
   IF(REGEXMATCH(S208, ""Rede TVT""), ""Rede TVT"",
   IF(REGEXMATCH(S208, ""Frente pelo Desencarceramento SP""), ""Frente Pelo Desencarceramento SP"",
   IF(REGEXMATCH(S208, ""TV ABA""), "&amp;"""TV ABA"",
   IF(REGEXMATCH(S208, ""TV SENADO""), ""TV Senado"",
   IF(REGEXMATCH(S208, ""Canal USP""), ""Canal USP"",
   IF(REGEXMATCH(S208, ""Douer, Zack|Zack Douer""), ""Douer Zack"",
   IF(REGEXMATCH(S208, ""PRISIONEIRO 84\.901|PRISIONEIRO 84""), ""P"&amp;"risioneiro 84.901"",
   IF(REGEXMATCH(S208, ""^[^,]*, ""), 
        PROPER(REGEXREPLACE(REGEXEXTRACT(S208, ""^([^.]*)\.""), ""^([^,]*), (.*)"", ""$2 $1"")),
        PROPER(REGEXEXTRACT(S208, ""^([^.]*)\.""))
   )))))))))&amp;"")"",
IF(REGEXMATCH(S208, ""Spot"&amp;"ify|spotify""), 
   ""Spotify (""&amp;
   IF(REGEXMATCH(S208, ""ESTRANHO SORRISO""), ""Estranho Sorriso"",
   PROPER(REGEXEXTRACT(S208, ""^([^.]*)\.""))
   )&amp;"")"",
IF(REGEXMATCH(S208, ""Vimeo|vimeo""), 
   ""Vimeo (""&amp;
   IF(REGEXMATCH(S208, ""Passa Palavra"&amp;"""), ""Passa Palavra"",
   PROPER(REGEXEXTRACT(S208, ""^([^.]*)\.""))
   )&amp;"")"",
IF(REGEXMATCH(S208, ""Blogspot""), 
   ""Blogspot (""&amp;
   IF(REGEXMATCH(S208, ""rede2deoutubro""), ""Rede 02 de Outubro"",
   PROPER(REGEXEXTRACT(S208, ""^([^.]*)\.""))
   "&amp;")&amp;"")"",
IF(REGEXMATCH(S208, ""Facebook""), 
   ""Facebook (""&amp;
   IF(REGEXMATCH(S208, ""Mídia Ninja""), ""Mídia Ninja"",
   PROPER(REGEXEXTRACT(S208, ""^([^.]*)\.""))
   )&amp;"")"",
IF(REGEXMATCH(S208, ""Instagram""), 
   ""Instagram (""&amp;
   IF(REGEXMATCH"&amp;"(S208, ""Memórias Carandiru""), ""Memórias Carandiru"",
   PROPER(REGEXEXTRACT(S208, ""^([^.]*)\.""))
   )&amp;"")"",
IF(REGEXMATCH(S208, ""Folha de S\. Paulo|FOLHA DE S\. PAULO""), ""Folha de S. Paulo"",
IF(REGEXMATCH(S208, ""O Estado de S\. Paulo|ESTADAO"""&amp;"), ""O Estado de S. Paulo"",
IF(REGEXMATCH(S208, ""salasecreta""), ""Wordpress (Sala Secreta)"",
IF(REGEXMATCH(S208, ""Wikipedia|Wikipédia|WIKIPÉDIA""), ""Wikipedia"",
IF(REGEXMATCH(S208, ""VEJA|Veja""), ""Veja Abril"",
IF(REGEXMATCH(S481, ""Rede Globo|RE"&amp;"DE GLOBO""), ""Rede Globo"",
IF(REGEXMATCH(S481, ""G1|globo\.com""), ""G1"",
IF(REGEXMATCH(S208, ""Deutsche Welle|DW\.com""), ""Deutsche Welle"",
IF(REGEXMATCH(S208, ""CIDH|Comissão Interamericana""), ""Comissão Interamericana de Direitos Humanos (CIDH)"""&amp;",
IF(REGEXMATCH(S208, ""Pastoral Carcerária""), ""Pastoral Carcerária"",
IF(REGEXMATCH(S208, ""Esquerda Web""), ""Esquerda Web"",
IF(REGEXMATCH(S208, ""ONU|Organização das Nações Unidas""), ""ONU Brasil"",
IF(REGEXMATCH(S208, ""Quilombo Invisível""), ""Qu"&amp;"ilombo Invisível"",
IF(REGEXMATCH(S208, ""ALESP|Assembleia Legislativa""), ""ALESP"",
IF(REGEXMATCH(S208, ""Revista Opera""), ""Revista Opera"",
IF(REGEXMATCH(S208, ""SP Escola de Teatro""), ""SP Escola de Teatro"",
IF(REGEXMATCH(S208, ""EMC|Espaço Memóri"&amp;"a Carandiru""), ""EMC Espaço Memória Carandiru"",
IF(REGEXMATCH(S208, ""^RAMOS, Nuno|Nuno Ramos""), ""Nuno Ramos"",
IF(REGEXMATCH(S208, ""^VELOSO, Caetano|Caetano Veloso""), ""YouTube (Caetano Veloso)"",
IF(REGEXMATCH(S208, ""^FATOS REAIS""), ""YouTube ("&amp;"Fatos Reais - Topic)"",
IF(REGEXMATCH(S208, ""^SALA SECRETA""), ""Wordpress (Sala Secreta)"",
PROPER(REGEXEXTRACT(S208, ""^([^.]*)\.""))
))))))))))))))))))))))))))))))))))))))))))))))))))))))))"),"YouTube (Prisioneiro 84.901)")</f>
        <v>YouTube (Prisioneiro 84.901)</v>
      </c>
      <c r="N208" s="11" t="s">
        <v>47</v>
      </c>
      <c r="O208" s="14" t="s">
        <v>546</v>
      </c>
      <c r="P208" s="171">
        <v>45946.0</v>
      </c>
      <c r="Q208" s="11" t="s">
        <v>154</v>
      </c>
      <c r="R208" s="70" t="str">
        <f t="shared" si="8"/>
        <v>Aqui</v>
      </c>
      <c r="S208" s="212" t="s">
        <v>972</v>
      </c>
    </row>
    <row r="209">
      <c r="A209" s="11">
        <v>207.0</v>
      </c>
      <c r="B209" s="11" t="s">
        <v>703</v>
      </c>
      <c r="C209" s="12" t="str">
        <f>IFERROR(__xludf.DUMMYFUNCTION("IF(B209="""","""",IF(OR(
  REGEXMATCH(B209,""Performance|Instalação|Álbum|Música|Poema|Livro|Filme|Documentário|Recitação|Espetáculo|Peça|Intervenção|Desfile|Fotografia|Exposição|Charge|Grafite|Leitura pública|Fabricação de cachaça artesanal""),
  REGEXMA"&amp;"TCH(B209,""dança|teatral|artístico|musical|artística"")
),""Manifestação artístico-cultural"",
IF(OR(
  REGEXMATCH(B209,""Crônica|Série|Reportagem|Podcast|Audiotour|Entrevista|Vídeo|Rádio""),
  REGEXMATCH(B209,""midiática"")
),""Produção midiática"","""")"&amp;"))
"),"Produção midiática")</f>
        <v>Produção midiática</v>
      </c>
      <c r="D209" s="13" t="str">
        <f>IFERROR(__xludf.DUMMYFUNCTION("IF(B209="""","""",IF(OR(
  REGEXMATCH(B209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REGEXMATCH(B209,""público|Imediato|artística|teatral|memória"")
),""Público Imediato"",
IF(REGEXMATCH(B209,""Música|Álbum|Filme|Documentário|Série|Podc"&amp;"ast|Rádio|Audiotour|Entrevista|Reportagem|Crônica|Relatório|Abaixo-assinado|Manifesto|Petição|Poema|Livro|Fotografia|Curta|Live|Webinário|Charge|Leitura pública|Vídeo""),
""Público Mediado"","""")))
"),"Público Mediado")</f>
        <v>Público Mediado</v>
      </c>
      <c r="E209" s="13" t="str">
        <f>IFERROR(__xludf.DUMMYFUNCTION("IF(B209="""","""",IF(OR(
  REGEXMATCH(B209,""Live|Webinário|Virtual""),
  REGEXMATCH(B209,""online"")
),""Virtual"",
IF(REGEXMATCH(B209,""Música|Álbum|Filme|Documentário|Série|Podcast|Rádio|Audiotour|Episódio|Reportagem|Curta|Charge|Livro|Vídeo|Entrevista"&amp;"""),
""Midiático"",
IF(REGEXMATCH(B209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9" s="171">
        <v>45613.0</v>
      </c>
      <c r="G209" s="15">
        <f t="shared" si="1"/>
        <v>2024</v>
      </c>
      <c r="H209" s="14" t="s">
        <v>23</v>
      </c>
      <c r="I209" s="16" t="s">
        <v>757</v>
      </c>
      <c r="J209" s="169" t="str">
        <f>IFERROR(__xludf.DUMMYFUNCTION("IFERROR(TRIM(REGEXEXTRACT(S212,""([^.]+)\.\s*YouTube"")),"""")
"),"Carta de reivindicações do dia 07 de outubro de 1992")</f>
        <v>Carta de reivindicações do dia 07 de outubro de 1992</v>
      </c>
      <c r="K209" s="16" t="s">
        <v>83</v>
      </c>
      <c r="L209" s="18" t="s">
        <v>329</v>
      </c>
      <c r="M209" s="15" t="str">
        <f>IFERROR(__xludf.DUMMYFUNCTION("IF(REGEXMATCH(S209, ""Companhia das Letras""), ""Companhia das Letras"",
IF(REGEXMATCH(S209, ""Labortexto Editorial""), ""Labortexto Editorial"",
IF(REGEXMATCH(S209, ""Geração Editorial""), ""Geração Editorial"",
IF(REGEXMATCH(S209, ""Editora Imprensa Ofi"&amp;"cial|Imprensa Oficial""), ""Editora Imprensa Oficial"",
IF(REGEXMATCH(S209, ""Folha Online""), ""Folha Online"",
IF(REGEXMATCH(S209, ""FGV DIREITO SP|FGV Direito SP""), ""FGV DIREITO SP"",
IF(REGEXMATCH(S209, ""massacrecarandiru\.org\.br""), ""Memória Mas"&amp;"sacre Carandiru"",
IF(REGEXMATCH(S209, ""Itaú Cultural""), ""YouTube (Itaú Cultural)"",
IF(REGEXMATCH(S209, ""Passa Palavra""), ""Vimeo (Passa Palavra)"",
IF(REGEXMATCH(S209, ""rede2deoutubro\.blogspot""), ""Blogspot (Rede 02 de Outubro)"",
IF(REGEXMATCH("&amp;"S209, ""Rede TVT""), ""YouTube (Rede TVT)"",
IF(REGEXMATCH(S209, ""Esquerda Diário""), ""Esquerda Diário"",
IF(REGEXMATCH(S209, ""GZH""), ""GZH"",
IF(REGEXMATCH(S209, ""TVPUC""), ""TVPUC"",
IF(REGEXMATCH(S209, ""Mídia Ninja.*Facebook""), ""Facebook (Mídia"&amp;" Ninja)"",
IF(REGEXMATCH(S209, ""Memórias Carandiru.*Instagram""), ""Instagram (Memórias Carandiru)"",
IF(REGEXMATCH(S209, ""Frente pelo Desencarceramento SP""), ""YouTube (Frente Pelo Desencarceramento SP)"",
IF(REGEXMATCH(S209, ""TV ABA""), ""YouTube (T"&amp;"V ABA)"",
IF(REGEXMATCH(S209, ""TV SENADO""), ""YouTube (TV Senado)"",
IF(REGEXMATCH(S209, ""Google Arts &amp; Culture""), ""Google Arts &amp; Culture (Memória Massacre Carandiru)"",
IF(REGEXMATCH(S209, ""Anistia Internacional|ANISTIA INTERNACIONAL""), ""Anistia "&amp;"Internacional"",
IF(REGEXMATCH(S209, ""47\.mostra|47a Mostra""), ""47a Mostra Internacional de Cinema em São Paulo"",
IF(REGEXMATCH(S209, ""Canal USP""), ""YouTube (Canal USP)"",
IF(AND(
  REGEXMATCH(S209, ""(?i)(teses?\.usp\.br|dissertacoes?\.usp\.br|rep"&amp;"ositorio\.usp\.br)""),
  NOT(REGEXMATCH(S209, ""Canal USP""))
), ""Biblioteca Digital de Teses e Dissertações da USP"",
IF(REGEXMATCH(S209, ""SINTRAJUSC""), ""SINTRAJUSC"",
IF(REGEXMATCH(S209, ""Agência Brasil|Agencia Brasil""), ""Agência Brasil"",
IF(REG"&amp;"EXMATCH(S209, ""Brasil de Fato""), ""Brasil de Fato"",
IF(REGEXMATCH(S209, ""Ponte Jornalismo|pontejornalismo""), ""Ponte Jornalismo"",
IF(REGEXMATCH(S209, ""letras\.mus\.br|Letras,""), ""Letras"",
IF(REGEXMATCH(S209, ""YouTube|youtube""), 
   ""YouTube "&amp;"(""&amp;
   IF(REGEXMATCH(S209, ""Itaú Cultural""), ""Itaú Cultural"",
   IF(REGEXMATCH(S209, ""Rede TVT""), ""Rede TVT"",
   IF(REGEXMATCH(S209, ""Frente pelo Desencarceramento SP""), ""Frente Pelo Desencarceramento SP"",
   IF(REGEXMATCH(S209, ""TV ABA""), "&amp;"""TV ABA"",
   IF(REGEXMATCH(S209, ""TV SENADO""), ""TV Senado"",
   IF(REGEXMATCH(S209, ""Canal USP""), ""Canal USP"",
   IF(REGEXMATCH(S209, ""Douer, Zack|Zack Douer""), ""Douer Zack"",
   IF(REGEXMATCH(S209, ""PRISIONEIRO 84\.901|PRISIONEIRO 84""), ""P"&amp;"risioneiro 84.901"",
   IF(REGEXMATCH(S209, ""^[^,]*, ""), 
        PROPER(REGEXREPLACE(REGEXEXTRACT(S209, ""^([^.]*)\.""), ""^([^,]*), (.*)"", ""$2 $1"")),
        PROPER(REGEXEXTRACT(S209, ""^([^.]*)\.""))
   )))))))))&amp;"")"",
IF(REGEXMATCH(S209, ""Spot"&amp;"ify|spotify""), 
   ""Spotify (""&amp;
   IF(REGEXMATCH(S209, ""ESTRANHO SORRISO""), ""Estranho Sorriso"",
   PROPER(REGEXEXTRACT(S209, ""^([^.]*)\.""))
   )&amp;"")"",
IF(REGEXMATCH(S209, ""Vimeo|vimeo""), 
   ""Vimeo (""&amp;
   IF(REGEXMATCH(S209, ""Passa Palavra"&amp;"""), ""Passa Palavra"",
   PROPER(REGEXEXTRACT(S209, ""^([^.]*)\.""))
   )&amp;"")"",
IF(REGEXMATCH(S209, ""Blogspot""), 
   ""Blogspot (""&amp;
   IF(REGEXMATCH(S209, ""rede2deoutubro""), ""Rede 02 de Outubro"",
   PROPER(REGEXEXTRACT(S209, ""^([^.]*)\.""))
   "&amp;")&amp;"")"",
IF(REGEXMATCH(S209, ""Facebook""), 
   ""Facebook (""&amp;
   IF(REGEXMATCH(S209, ""Mídia Ninja""), ""Mídia Ninja"",
   PROPER(REGEXEXTRACT(S209, ""^([^.]*)\.""))
   )&amp;"")"",
IF(REGEXMATCH(S209, ""Instagram""), 
   ""Instagram (""&amp;
   IF(REGEXMATCH"&amp;"(S209, ""Memórias Carandiru""), ""Memórias Carandiru"",
   PROPER(REGEXEXTRACT(S209, ""^([^.]*)\.""))
   )&amp;"")"",
IF(REGEXMATCH(S209, ""Folha de S\. Paulo|FOLHA DE S\. PAULO""), ""Folha de S. Paulo"",
IF(REGEXMATCH(S209, ""O Estado de S\. Paulo|ESTADAO"""&amp;"), ""O Estado de S. Paulo"",
IF(REGEXMATCH(S209, ""salasecreta""), ""Wordpress (Sala Secreta)"",
IF(REGEXMATCH(S209, ""Wikipedia|Wikipédia|WIKIPÉDIA""), ""Wikipedia"",
IF(REGEXMATCH(S209, ""VEJA|Veja""), ""Veja Abril"",
IF(REGEXMATCH(S482, ""Rede Globo|RE"&amp;"DE GLOBO""), ""Rede Globo"",
IF(REGEXMATCH(S482, ""G1|globo\.com""), ""G1"",
IF(REGEXMATCH(S209, ""Deutsche Welle|DW\.com""), ""Deutsche Welle"",
IF(REGEXMATCH(S209, ""CIDH|Comissão Interamericana""), ""Comissão Interamericana de Direitos Humanos (CIDH)"""&amp;",
IF(REGEXMATCH(S209, ""Pastoral Carcerária""), ""Pastoral Carcerária"",
IF(REGEXMATCH(S209, ""Esquerda Web""), ""Esquerda Web"",
IF(REGEXMATCH(S209, ""ONU|Organização das Nações Unidas""), ""ONU Brasil"",
IF(REGEXMATCH(S209, ""Quilombo Invisível""), ""Qu"&amp;"ilombo Invisível"",
IF(REGEXMATCH(S209, ""ALESP|Assembleia Legislativa""), ""ALESP"",
IF(REGEXMATCH(S209, ""Revista Opera""), ""Revista Opera"",
IF(REGEXMATCH(S209, ""SP Escola de Teatro""), ""SP Escola de Teatro"",
IF(REGEXMATCH(S209, ""EMC|Espaço Memóri"&amp;"a Carandiru""), ""EMC Espaço Memória Carandiru"",
IF(REGEXMATCH(S209, ""^RAMOS, Nuno|Nuno Ramos""), ""Nuno Ramos"",
IF(REGEXMATCH(S209, ""^VELOSO, Caetano|Caetano Veloso""), ""YouTube (Caetano Veloso)"",
IF(REGEXMATCH(S209, ""^FATOS REAIS""), ""YouTube ("&amp;"Fatos Reais - Topic)"",
IF(REGEXMATCH(S209, ""^SALA SECRETA""), ""Wordpress (Sala Secreta)"",
PROPER(REGEXEXTRACT(S209, ""^([^.]*)\.""))
))))))))))))))))))))))))))))))))))))))))))))))))))))))))"),"YouTube (Prisioneiro 84.901)")</f>
        <v>YouTube (Prisioneiro 84.901)</v>
      </c>
      <c r="N209" s="11" t="s">
        <v>47</v>
      </c>
      <c r="O209" s="14" t="s">
        <v>546</v>
      </c>
      <c r="P209" s="171">
        <v>45946.0</v>
      </c>
      <c r="Q209" s="11" t="s">
        <v>154</v>
      </c>
      <c r="R209" s="70" t="str">
        <f t="shared" si="8"/>
        <v>Aqui</v>
      </c>
      <c r="S209" s="172" t="s">
        <v>973</v>
      </c>
    </row>
    <row r="210">
      <c r="A210" s="11">
        <v>208.0</v>
      </c>
      <c r="B210" s="11" t="s">
        <v>703</v>
      </c>
      <c r="C210" s="12" t="str">
        <f>IFERROR(__xludf.DUMMYFUNCTION("IF(B210="""","""",IF(OR(
  REGEXMATCH(B210,""Performance|Instalação|Álbum|Música|Poema|Livro|Filme|Documentário|Recitação|Espetáculo|Peça|Intervenção|Desfile|Fotografia|Exposição|Charge|Grafite|Leitura pública|Fabricação de cachaça artesanal""),
  REGEXMA"&amp;"TCH(B210,""dança|teatral|artístico|musical|artística"")
),""Manifestação artístico-cultural"",
IF(OR(
  REGEXMATCH(B210,""Crônica|Série|Reportagem|Podcast|Audiotour|Entrevista|Vídeo|Rádio""),
  REGEXMATCH(B210,""midiática"")
),""Produção midiática"","""")"&amp;"))
"),"Produção midiática")</f>
        <v>Produção midiática</v>
      </c>
      <c r="D210" s="13" t="str">
        <f>IFERROR(__xludf.DUMMYFUNCTION("IF(B210="""","""",IF(OR(
  REGEXMATCH(B210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REGEXMATCH(B210,""público|Imediato|artística|teatral|memória"")
),""Público Imediato"",
IF(REGEXMATCH(B210,""Música|Álbum|Filme|Documentário|Série|Podc"&amp;"ast|Rádio|Audiotour|Entrevista|Reportagem|Crônica|Relatório|Abaixo-assinado|Manifesto|Petição|Poema|Livro|Fotografia|Curta|Live|Webinário|Charge|Leitura pública|Vídeo""),
""Público Mediado"","""")))
"),"Público Mediado")</f>
        <v>Público Mediado</v>
      </c>
      <c r="E210" s="13" t="str">
        <f>IFERROR(__xludf.DUMMYFUNCTION("IF(B210="""","""",IF(OR(
  REGEXMATCH(B210,""Live|Webinário|Virtual""),
  REGEXMATCH(B210,""online"")
),""Virtual"",
IF(REGEXMATCH(B210,""Música|Álbum|Filme|Documentário|Série|Podcast|Rádio|Audiotour|Episódio|Reportagem|Curta|Charge|Livro|Vídeo|Entrevista"&amp;"""),
""Midiático"",
IF(REGEXMATCH(B210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0" s="171">
        <v>45613.0</v>
      </c>
      <c r="G210" s="15">
        <f t="shared" si="1"/>
        <v>2024</v>
      </c>
      <c r="H210" s="14" t="s">
        <v>23</v>
      </c>
      <c r="I210" s="16" t="s">
        <v>757</v>
      </c>
      <c r="J210" s="169" t="str">
        <f>IFERROR(__xludf.DUMMYFUNCTION("REGEXEXTRACT(S209, ""\.\s(.*?)\s*YouTube"")"),"Casa de Detenção de SP: consequências da caminhada (malandrão não se cria) (Parte 2).")</f>
        <v>Casa de Detenção de SP: consequências da caminhada (malandrão não se cria) (Parte 2).</v>
      </c>
      <c r="K210" s="16" t="s">
        <v>83</v>
      </c>
      <c r="L210" s="18" t="s">
        <v>329</v>
      </c>
      <c r="M210" s="15" t="str">
        <f>IFERROR(__xludf.DUMMYFUNCTION("IF(REGEXMATCH(S210, ""Companhia das Letras""), ""Companhia das Letras"",
IF(REGEXMATCH(S210, ""Labortexto Editorial""), ""Labortexto Editorial"",
IF(REGEXMATCH(S210, ""Geração Editorial""), ""Geração Editorial"",
IF(REGEXMATCH(S210, ""Editora Imprensa Ofi"&amp;"cial|Imprensa Oficial""), ""Editora Imprensa Oficial"",
IF(REGEXMATCH(S210, ""Folha Online""), ""Folha Online"",
IF(REGEXMATCH(S210, ""FGV DIREITO SP|FGV Direito SP""), ""FGV DIREITO SP"",
IF(REGEXMATCH(S210, ""massacrecarandiru\.org\.br""), ""Memória Mas"&amp;"sacre Carandiru"",
IF(REGEXMATCH(S210, ""Itaú Cultural""), ""YouTube (Itaú Cultural)"",
IF(REGEXMATCH(S210, ""Passa Palavra""), ""Vimeo (Passa Palavra)"",
IF(REGEXMATCH(S210, ""rede2deoutubro\.blogspot""), ""Blogspot (Rede 02 de Outubro)"",
IF(REGEXMATCH("&amp;"S210, ""Rede TVT""), ""YouTube (Rede TVT)"",
IF(REGEXMATCH(S210, ""Esquerda Diário""), ""Esquerda Diário"",
IF(REGEXMATCH(S210, ""GZH""), ""GZH"",
IF(REGEXMATCH(S210, ""TVPUC""), ""TVPUC"",
IF(REGEXMATCH(S210, ""Mídia Ninja.*Facebook""), ""Facebook (Mídia"&amp;" Ninja)"",
IF(REGEXMATCH(S210, ""Memórias Carandiru.*Instagram""), ""Instagram (Memórias Carandiru)"",
IF(REGEXMATCH(S210, ""Frente pelo Desencarceramento SP""), ""YouTube (Frente Pelo Desencarceramento SP)"",
IF(REGEXMATCH(S210, ""TV ABA""), ""YouTube (T"&amp;"V ABA)"",
IF(REGEXMATCH(S210, ""TV SENADO""), ""YouTube (TV Senado)"",
IF(REGEXMATCH(S210, ""Google Arts &amp; Culture""), ""Google Arts &amp; Culture (Memória Massacre Carandiru)"",
IF(REGEXMATCH(S210, ""Anistia Internacional|ANISTIA INTERNACIONAL""), ""Anistia "&amp;"Internacional"",
IF(REGEXMATCH(S210, ""47\.mostra|47a Mostra""), ""47a Mostra Internacional de Cinema em São Paulo"",
IF(REGEXMATCH(S210, ""Canal USP""), ""YouTube (Canal USP)"",
IF(AND(
  REGEXMATCH(S210, ""(?i)(teses?\.usp\.br|dissertacoes?\.usp\.br|rep"&amp;"ositorio\.usp\.br)""),
  NOT(REGEXMATCH(S210, ""Canal USP""))
), ""Biblioteca Digital de Teses e Dissertações da USP"",
IF(REGEXMATCH(S210, ""SINTRAJUSC""), ""SINTRAJUSC"",
IF(REGEXMATCH(S210, ""Agência Brasil|Agencia Brasil""), ""Agência Brasil"",
IF(REG"&amp;"EXMATCH(S210, ""Brasil de Fato""), ""Brasil de Fato"",
IF(REGEXMATCH(S210, ""Ponte Jornalismo|pontejornalismo""), ""Ponte Jornalismo"",
IF(REGEXMATCH(S210, ""letras\.mus\.br|Letras,""), ""Letras"",
IF(REGEXMATCH(S210, ""YouTube|youtube""), 
   ""YouTube "&amp;"(""&amp;
   IF(REGEXMATCH(S210, ""Itaú Cultural""), ""Itaú Cultural"",
   IF(REGEXMATCH(S210, ""Rede TVT""), ""Rede TVT"",
   IF(REGEXMATCH(S210, ""Frente pelo Desencarceramento SP""), ""Frente Pelo Desencarceramento SP"",
   IF(REGEXMATCH(S210, ""TV ABA""), "&amp;"""TV ABA"",
   IF(REGEXMATCH(S210, ""TV SENADO""), ""TV Senado"",
   IF(REGEXMATCH(S210, ""Canal USP""), ""Canal USP"",
   IF(REGEXMATCH(S210, ""Douer, Zack|Zack Douer""), ""Douer Zack"",
   IF(REGEXMATCH(S210, ""PRISIONEIRO 84\.901|PRISIONEIRO 84""), ""P"&amp;"risioneiro 84.901"",
   IF(REGEXMATCH(S210, ""^[^,]*, ""), 
        PROPER(REGEXREPLACE(REGEXEXTRACT(S210, ""^([^.]*)\.""), ""^([^,]*), (.*)"", ""$2 $1"")),
        PROPER(REGEXEXTRACT(S210, ""^([^.]*)\.""))
   )))))))))&amp;"")"",
IF(REGEXMATCH(S210, ""Spot"&amp;"ify|spotify""), 
   ""Spotify (""&amp;
   IF(REGEXMATCH(S210, ""ESTRANHO SORRISO""), ""Estranho Sorriso"",
   PROPER(REGEXEXTRACT(S210, ""^([^.]*)\.""))
   )&amp;"")"",
IF(REGEXMATCH(S210, ""Vimeo|vimeo""), 
   ""Vimeo (""&amp;
   IF(REGEXMATCH(S210, ""Passa Palavra"&amp;"""), ""Passa Palavra"",
   PROPER(REGEXEXTRACT(S210, ""^([^.]*)\.""))
   )&amp;"")"",
IF(REGEXMATCH(S210, ""Blogspot""), 
   ""Blogspot (""&amp;
   IF(REGEXMATCH(S210, ""rede2deoutubro""), ""Rede 02 de Outubro"",
   PROPER(REGEXEXTRACT(S210, ""^([^.]*)\.""))
   "&amp;")&amp;"")"",
IF(REGEXMATCH(S210, ""Facebook""), 
   ""Facebook (""&amp;
   IF(REGEXMATCH(S210, ""Mídia Ninja""), ""Mídia Ninja"",
   PROPER(REGEXEXTRACT(S210, ""^([^.]*)\.""))
   )&amp;"")"",
IF(REGEXMATCH(S210, ""Instagram""), 
   ""Instagram (""&amp;
   IF(REGEXMATCH"&amp;"(S210, ""Memórias Carandiru""), ""Memórias Carandiru"",
   PROPER(REGEXEXTRACT(S210, ""^([^.]*)\.""))
   )&amp;"")"",
IF(REGEXMATCH(S210, ""Folha de S\. Paulo|FOLHA DE S\. PAULO""), ""Folha de S. Paulo"",
IF(REGEXMATCH(S210, ""O Estado de S\. Paulo|ESTADAO"""&amp;"), ""O Estado de S. Paulo"",
IF(REGEXMATCH(S210, ""salasecreta""), ""Wordpress (Sala Secreta)"",
IF(REGEXMATCH(S210, ""Wikipedia|Wikipédia|WIKIPÉDIA""), ""Wikipedia"",
IF(REGEXMATCH(S210, ""VEJA|Veja""), ""Veja Abril"",
IF(REGEXMATCH(S483, ""Rede Globo|RE"&amp;"DE GLOBO""), ""Rede Globo"",
IF(REGEXMATCH(S483, ""G1|globo\.com""), ""G1"",
IF(REGEXMATCH(S210, ""Deutsche Welle|DW\.com""), ""Deutsche Welle"",
IF(REGEXMATCH(S210, ""CIDH|Comissão Interamericana""), ""Comissão Interamericana de Direitos Humanos (CIDH)"""&amp;",
IF(REGEXMATCH(S210, ""Pastoral Carcerária""), ""Pastoral Carcerária"",
IF(REGEXMATCH(S210, ""Esquerda Web""), ""Esquerda Web"",
IF(REGEXMATCH(S210, ""ONU|Organização das Nações Unidas""), ""ONU Brasil"",
IF(REGEXMATCH(S210, ""Quilombo Invisível""), ""Qu"&amp;"ilombo Invisível"",
IF(REGEXMATCH(S210, ""ALESP|Assembleia Legislativa""), ""ALESP"",
IF(REGEXMATCH(S210, ""Revista Opera""), ""Revista Opera"",
IF(REGEXMATCH(S210, ""SP Escola de Teatro""), ""SP Escola de Teatro"",
IF(REGEXMATCH(S210, ""EMC|Espaço Memóri"&amp;"a Carandiru""), ""EMC Espaço Memória Carandiru"",
IF(REGEXMATCH(S210, ""^RAMOS, Nuno|Nuno Ramos""), ""Nuno Ramos"",
IF(REGEXMATCH(S210, ""^VELOSO, Caetano|Caetano Veloso""), ""YouTube (Caetano Veloso)"",
IF(REGEXMATCH(S210, ""^FATOS REAIS""), ""YouTube ("&amp;"Fatos Reais - Topic)"",
IF(REGEXMATCH(S210, ""^SALA SECRETA""), ""Wordpress (Sala Secreta)"",
PROPER(REGEXEXTRACT(S210, ""^([^.]*)\.""))
))))))))))))))))))))))))))))))))))))))))))))))))))))))))"),"YouTube (Prisioneiro 84.901)")</f>
        <v>YouTube (Prisioneiro 84.901)</v>
      </c>
      <c r="N210" s="11" t="s">
        <v>47</v>
      </c>
      <c r="O210" s="14" t="s">
        <v>546</v>
      </c>
      <c r="P210" s="171">
        <v>45946.0</v>
      </c>
      <c r="Q210" s="11" t="s">
        <v>154</v>
      </c>
      <c r="R210" s="70" t="str">
        <f t="shared" si="8"/>
        <v>Aqui</v>
      </c>
      <c r="S210" s="172" t="s">
        <v>974</v>
      </c>
    </row>
    <row r="211">
      <c r="A211" s="11">
        <v>209.0</v>
      </c>
      <c r="B211" s="11" t="s">
        <v>703</v>
      </c>
      <c r="C211" s="12" t="str">
        <f>IFERROR(__xludf.DUMMYFUNCTION("IF(B211="""","""",IF(OR(
  REGEXMATCH(B211,""Performance|Instalação|Álbum|Música|Poema|Livro|Filme|Documentário|Recitação|Espetáculo|Peça|Intervenção|Desfile|Fotografia|Exposição|Charge|Grafite|Leitura pública|Fabricação de cachaça artesanal""),
  REGEXMA"&amp;"TCH(B211,""dança|teatral|artístico|musical|artística"")
),""Manifestação artístico-cultural"",
IF(OR(
  REGEXMATCH(B211,""Crônica|Série|Reportagem|Podcast|Audiotour|Entrevista|Vídeo|Rádio""),
  REGEXMATCH(B211,""midiática"")
),""Produção midiática"","""")"&amp;"))
"),"Produção midiática")</f>
        <v>Produção midiática</v>
      </c>
      <c r="D211" s="13" t="str">
        <f>IFERROR(__xludf.DUMMYFUNCTION("IF(B211="""","""",IF(OR(
  REGEXMATCH(B211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REGEXMATCH(B211,""público|Imediato|artística|teatral|memória"")
),""Público Imediato"",
IF(REGEXMATCH(B211,""Música|Álbum|Filme|Documentário|Série|Podc"&amp;"ast|Rádio|Audiotour|Entrevista|Reportagem|Crônica|Relatório|Abaixo-assinado|Manifesto|Petição|Poema|Livro|Fotografia|Curta|Live|Webinário|Charge|Leitura pública|Vídeo""),
""Público Mediado"","""")))
"),"Público Mediado")</f>
        <v>Público Mediado</v>
      </c>
      <c r="E211" s="13" t="str">
        <f>IFERROR(__xludf.DUMMYFUNCTION("IF(B211="""","""",IF(OR(
  REGEXMATCH(B211,""Live|Webinário|Virtual""),
  REGEXMATCH(B211,""online"")
),""Virtual"",
IF(REGEXMATCH(B211,""Música|Álbum|Filme|Documentário|Série|Podcast|Rádio|Audiotour|Episódio|Reportagem|Curta|Charge|Livro|Vídeo|Entrevista"&amp;"""),
""Midiático"",
IF(REGEXMATCH(B211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1" s="183">
        <v>45569.0</v>
      </c>
      <c r="G211" s="15">
        <f t="shared" si="1"/>
        <v>2024</v>
      </c>
      <c r="H211" s="14" t="s">
        <v>23</v>
      </c>
      <c r="I211" s="16" t="s">
        <v>757</v>
      </c>
      <c r="J211" s="169" t="str">
        <f>IFERROR(__xludf.DUMMYFUNCTION("REGEXEXTRACT(S211, ""\.\s(.*?)\s*YouTube"")"),"02 de outubro de 2024.")</f>
        <v>02 de outubro de 2024.</v>
      </c>
      <c r="K211" s="16" t="s">
        <v>83</v>
      </c>
      <c r="L211" s="18" t="s">
        <v>329</v>
      </c>
      <c r="M211" s="15" t="str">
        <f>IFERROR(__xludf.DUMMYFUNCTION("IF(REGEXMATCH(S211, ""Companhia das Letras""), ""Companhia das Letras"",
IF(REGEXMATCH(S211, ""Labortexto Editorial""), ""Labortexto Editorial"",
IF(REGEXMATCH(S211, ""Geração Editorial""), ""Geração Editorial"",
IF(REGEXMATCH(S211, ""Editora Imprensa Ofi"&amp;"cial|Imprensa Oficial""), ""Editora Imprensa Oficial"",
IF(REGEXMATCH(S211, ""Folha Online""), ""Folha Online"",
IF(REGEXMATCH(S211, ""FGV DIREITO SP|FGV Direito SP""), ""FGV DIREITO SP"",
IF(REGEXMATCH(S211, ""massacrecarandiru\.org\.br""), ""Memória Mas"&amp;"sacre Carandiru"",
IF(REGEXMATCH(S211, ""Itaú Cultural""), ""YouTube (Itaú Cultural)"",
IF(REGEXMATCH(S211, ""Passa Palavra""), ""Vimeo (Passa Palavra)"",
IF(REGEXMATCH(S211, ""rede2deoutubro\.blogspot""), ""Blogspot (Rede 02 de Outubro)"",
IF(REGEXMATCH("&amp;"S211, ""Rede TVT""), ""YouTube (Rede TVT)"",
IF(REGEXMATCH(S211, ""Esquerda Diário""), ""Esquerda Diário"",
IF(REGEXMATCH(S211, ""GZH""), ""GZH"",
IF(REGEXMATCH(S211, ""TVPUC""), ""TVPUC"",
IF(REGEXMATCH(S211, ""Mídia Ninja.*Facebook""), ""Facebook (Mídia"&amp;" Ninja)"",
IF(REGEXMATCH(S211, ""Memórias Carandiru.*Instagram""), ""Instagram (Memórias Carandiru)"",
IF(REGEXMATCH(S211, ""Frente pelo Desencarceramento SP""), ""YouTube (Frente Pelo Desencarceramento SP)"",
IF(REGEXMATCH(S211, ""TV ABA""), ""YouTube (T"&amp;"V ABA)"",
IF(REGEXMATCH(S211, ""TV SENADO""), ""YouTube (TV Senado)"",
IF(REGEXMATCH(S211, ""Google Arts &amp; Culture""), ""Google Arts &amp; Culture (Memória Massacre Carandiru)"",
IF(REGEXMATCH(S211, ""Anistia Internacional|ANISTIA INTERNACIONAL""), ""Anistia "&amp;"Internacional"",
IF(REGEXMATCH(S211, ""47\.mostra|47a Mostra""), ""47a Mostra Internacional de Cinema em São Paulo"",
IF(REGEXMATCH(S211, ""Canal USP""), ""YouTube (Canal USP)"",
IF(AND(
  REGEXMATCH(S211, ""(?i)(teses?\.usp\.br|dissertacoes?\.usp\.br|rep"&amp;"ositorio\.usp\.br)""),
  NOT(REGEXMATCH(S211, ""Canal USP""))
), ""Biblioteca Digital de Teses e Dissertações da USP"",
IF(REGEXMATCH(S211, ""SINTRAJUSC""), ""SINTRAJUSC"",
IF(REGEXMATCH(S211, ""Agência Brasil|Agencia Brasil""), ""Agência Brasil"",
IF(REG"&amp;"EXMATCH(S211, ""Brasil de Fato""), ""Brasil de Fato"",
IF(REGEXMATCH(S211, ""Ponte Jornalismo|pontejornalismo""), ""Ponte Jornalismo"",
IF(REGEXMATCH(S211, ""letras\.mus\.br|Letras,""), ""Letras"",
IF(REGEXMATCH(S211, ""YouTube|youtube""), 
   ""YouTube "&amp;"(""&amp;
   IF(REGEXMATCH(S211, ""Itaú Cultural""), ""Itaú Cultural"",
   IF(REGEXMATCH(S211, ""Rede TVT""), ""Rede TVT"",
   IF(REGEXMATCH(S211, ""Frente pelo Desencarceramento SP""), ""Frente Pelo Desencarceramento SP"",
   IF(REGEXMATCH(S211, ""TV ABA""), "&amp;"""TV ABA"",
   IF(REGEXMATCH(S211, ""TV SENADO""), ""TV Senado"",
   IF(REGEXMATCH(S211, ""Canal USP""), ""Canal USP"",
   IF(REGEXMATCH(S211, ""Douer, Zack|Zack Douer""), ""Douer Zack"",
   IF(REGEXMATCH(S211, ""PRISIONEIRO 84\.901|PRISIONEIRO 84""), ""P"&amp;"risioneiro 84.901"",
   IF(REGEXMATCH(S211, ""^[^,]*, ""), 
        PROPER(REGEXREPLACE(REGEXEXTRACT(S211, ""^([^.]*)\.""), ""^([^,]*), (.*)"", ""$2 $1"")),
        PROPER(REGEXEXTRACT(S211, ""^([^.]*)\.""))
   )))))))))&amp;"")"",
IF(REGEXMATCH(S211, ""Spot"&amp;"ify|spotify""), 
   ""Spotify (""&amp;
   IF(REGEXMATCH(S211, ""ESTRANHO SORRISO""), ""Estranho Sorriso"",
   PROPER(REGEXEXTRACT(S211, ""^([^.]*)\.""))
   )&amp;"")"",
IF(REGEXMATCH(S211, ""Vimeo|vimeo""), 
   ""Vimeo (""&amp;
   IF(REGEXMATCH(S211, ""Passa Palavra"&amp;"""), ""Passa Palavra"",
   PROPER(REGEXEXTRACT(S211, ""^([^.]*)\.""))
   )&amp;"")"",
IF(REGEXMATCH(S211, ""Blogspot""), 
   ""Blogspot (""&amp;
   IF(REGEXMATCH(S211, ""rede2deoutubro""), ""Rede 02 de Outubro"",
   PROPER(REGEXEXTRACT(S211, ""^([^.]*)\.""))
   "&amp;")&amp;"")"",
IF(REGEXMATCH(S211, ""Facebook""), 
   ""Facebook (""&amp;
   IF(REGEXMATCH(S211, ""Mídia Ninja""), ""Mídia Ninja"",
   PROPER(REGEXEXTRACT(S211, ""^([^.]*)\.""))
   )&amp;"")"",
IF(REGEXMATCH(S211, ""Instagram""), 
   ""Instagram (""&amp;
   IF(REGEXMATCH"&amp;"(S211, ""Memórias Carandiru""), ""Memórias Carandiru"",
   PROPER(REGEXEXTRACT(S211, ""^([^.]*)\.""))
   )&amp;"")"",
IF(REGEXMATCH(S211, ""Folha de S\. Paulo|FOLHA DE S\. PAULO""), ""Folha de S. Paulo"",
IF(REGEXMATCH(S211, ""O Estado de S\. Paulo|ESTADAO"""&amp;"), ""O Estado de S. Paulo"",
IF(REGEXMATCH(S211, ""salasecreta""), ""Wordpress (Sala Secreta)"",
IF(REGEXMATCH(S211, ""Wikipedia|Wikipédia|WIKIPÉDIA""), ""Wikipedia"",
IF(REGEXMATCH(S211, ""VEJA|Veja""), ""Veja Abril"",
IF(REGEXMATCH(S484, ""Rede Globo|RE"&amp;"DE GLOBO""), ""Rede Globo"",
IF(REGEXMATCH(S484, ""G1|globo\.com""), ""G1"",
IF(REGEXMATCH(S211, ""Deutsche Welle|DW\.com""), ""Deutsche Welle"",
IF(REGEXMATCH(S211, ""CIDH|Comissão Interamericana""), ""Comissão Interamericana de Direitos Humanos (CIDH)"""&amp;",
IF(REGEXMATCH(S211, ""Pastoral Carcerária""), ""Pastoral Carcerária"",
IF(REGEXMATCH(S211, ""Esquerda Web""), ""Esquerda Web"",
IF(REGEXMATCH(S211, ""ONU|Organização das Nações Unidas""), ""ONU Brasil"",
IF(REGEXMATCH(S211, ""Quilombo Invisível""), ""Qu"&amp;"ilombo Invisível"",
IF(REGEXMATCH(S211, ""ALESP|Assembleia Legislativa""), ""ALESP"",
IF(REGEXMATCH(S211, ""Revista Opera""), ""Revista Opera"",
IF(REGEXMATCH(S211, ""SP Escola de Teatro""), ""SP Escola de Teatro"",
IF(REGEXMATCH(S211, ""EMC|Espaço Memóri"&amp;"a Carandiru""), ""EMC Espaço Memória Carandiru"",
IF(REGEXMATCH(S211, ""^RAMOS, Nuno|Nuno Ramos""), ""Nuno Ramos"",
IF(REGEXMATCH(S211, ""^VELOSO, Caetano|Caetano Veloso""), ""YouTube (Caetano Veloso)"",
IF(REGEXMATCH(S211, ""^FATOS REAIS""), ""YouTube ("&amp;"Fatos Reais - Topic)"",
IF(REGEXMATCH(S211, ""^SALA SECRETA""), ""Wordpress (Sala Secreta)"",
PROPER(REGEXEXTRACT(S211, ""^([^.]*)\.""))
))))))))))))))))))))))))))))))))))))))))))))))))))))))))"),"YouTube (Prisioneiro 84.901)")</f>
        <v>YouTube (Prisioneiro 84.901)</v>
      </c>
      <c r="N211" s="11" t="s">
        <v>47</v>
      </c>
      <c r="O211" s="14" t="s">
        <v>546</v>
      </c>
      <c r="P211" s="171">
        <v>45946.0</v>
      </c>
      <c r="Q211" s="11" t="s">
        <v>154</v>
      </c>
      <c r="R211" s="70" t="str">
        <f t="shared" si="8"/>
        <v>Aqui</v>
      </c>
      <c r="S211" s="172" t="s">
        <v>975</v>
      </c>
    </row>
    <row r="212">
      <c r="A212" s="11">
        <v>210.0</v>
      </c>
      <c r="B212" s="11" t="s">
        <v>703</v>
      </c>
      <c r="C212" s="12" t="str">
        <f>IFERROR(__xludf.DUMMYFUNCTION("IF(B212="""","""",IF(OR(
  REGEXMATCH(B212,""Performance|Instalação|Álbum|Música|Poema|Livro|Filme|Documentário|Recitação|Espetáculo|Peça|Intervenção|Desfile|Fotografia|Exposição|Charge|Grafite|Leitura pública|Fabricação de cachaça artesanal""),
  REGEXMA"&amp;"TCH(B212,""dança|teatral|artístico|musical|artística"")
),""Manifestação artístico-cultural"",
IF(OR(
  REGEXMATCH(B212,""Crônica|Série|Reportagem|Podcast|Audiotour|Entrevista|Vídeo|Rádio""),
  REGEXMATCH(B212,""midiática"")
),""Produção midiática"","""")"&amp;"))
"),"Produção midiática")</f>
        <v>Produção midiática</v>
      </c>
      <c r="D212" s="13" t="str">
        <f>IFERROR(__xludf.DUMMYFUNCTION("IF(B212="""","""",IF(OR(
  REGEXMATCH(B212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REGEXMATCH(B212,""público|Imediato|artística|teatral|memória"")
),""Público Imediato"",
IF(REGEXMATCH(B212,""Música|Álbum|Filme|Documentário|Série|Podc"&amp;"ast|Rádio|Audiotour|Entrevista|Reportagem|Crônica|Relatório|Abaixo-assinado|Manifesto|Petição|Poema|Livro|Fotografia|Curta|Live|Webinário|Charge|Leitura pública|Vídeo""),
""Público Mediado"","""")))
"),"Público Mediado")</f>
        <v>Público Mediado</v>
      </c>
      <c r="E212" s="13" t="str">
        <f>IFERROR(__xludf.DUMMYFUNCTION("IF(B212="""","""",IF(OR(
  REGEXMATCH(B212,""Live|Webinário|Virtual""),
  REGEXMATCH(B212,""online"")
),""Virtual"",
IF(REGEXMATCH(B212,""Música|Álbum|Filme|Documentário|Série|Podcast|Rádio|Audiotour|Episódio|Reportagem|Curta|Charge|Livro|Vídeo|Entrevista"&amp;"""),
""Midiático"",
IF(REGEXMATCH(B212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2" s="211" t="str">
        <f>IFERROR(__xludf.DUMMYFUNCTION("IF(REGEXMATCH(S212,""YouTube""),
  REGEXREPLACE(
    REGEXREPLACE(
      REGEXREPLACE(
        REGEXREPLACE(
          REGEXREPLACE(
            REGEXREPLACE(
              REGEXREPLACE(
                REGEXREPLACE(
                  REGEXREPLACE(
      "&amp;"              REGEXREPLACE(
                      REGEXREPLACE(
                        REGEXREPLACE(
                          REGEXREPLACE(
                            REGEXEXTRACT(S212,""YouTube, ([0-9]{1,2} [a-z]{3,8}\. [0-9]{4})""),
                 "&amp;"         "" jan\. "",""\/01\/""),
                        "" fev\. "",""\/02\/""),
                      "" mar\. "",""\/03\/""),
                    "" abr\. "",""\/04\/""),
                  "" mai\. "",""\/05\/""),
                "" jun\. "",""\/06\/"&amp;"""),
              "" jul\. "",""\/07\/""),
            "" ago\. "",""\/08\/""),
          "" set\. "",""\/09\/""),
        "" out\. "",""\/10\/""),
      "" nov\. "",""\/11\/""),
    "" dez\. "",""\/12\/""),
  ""\s*/\s*"",""/""),
"""")
"),"15/09/2024")</f>
        <v>15/09/2024</v>
      </c>
      <c r="G212" s="15">
        <f t="shared" si="1"/>
        <v>2024</v>
      </c>
      <c r="H212" s="14" t="s">
        <v>23</v>
      </c>
      <c r="I212" s="16" t="s">
        <v>757</v>
      </c>
      <c r="J212" s="169" t="str">
        <f>IFERROR(__xludf.DUMMYFUNCTION("REGEXEXTRACT(S210, ""\.\s(.*?)\s*YouTube"")"),"Casa de Detenção de SP: nem sempre o que parece é (Parte 3).")</f>
        <v>Casa de Detenção de SP: nem sempre o que parece é (Parte 3).</v>
      </c>
      <c r="K212" s="16" t="s">
        <v>83</v>
      </c>
      <c r="L212" s="18" t="s">
        <v>329</v>
      </c>
      <c r="M212" s="15" t="str">
        <f>IFERROR(__xludf.DUMMYFUNCTION("IF(REGEXMATCH(S212, ""Companhia das Letras""), ""Companhia das Letras"",
IF(REGEXMATCH(S212, ""Labortexto Editorial""), ""Labortexto Editorial"",
IF(REGEXMATCH(S212, ""Geração Editorial""), ""Geração Editorial"",
IF(REGEXMATCH(S212, ""Editora Imprensa Ofi"&amp;"cial|Imprensa Oficial""), ""Editora Imprensa Oficial"",
IF(REGEXMATCH(S212, ""Folha Online""), ""Folha Online"",
IF(REGEXMATCH(S212, ""FGV DIREITO SP|FGV Direito SP""), ""FGV DIREITO SP"",
IF(REGEXMATCH(S212, ""massacrecarandiru\.org\.br""), ""Memória Mas"&amp;"sacre Carandiru"",
IF(REGEXMATCH(S212, ""Itaú Cultural""), ""YouTube (Itaú Cultural)"",
IF(REGEXMATCH(S212, ""Passa Palavra""), ""Vimeo (Passa Palavra)"",
IF(REGEXMATCH(S212, ""rede2deoutubro\.blogspot""), ""Blogspot (Rede 02 de Outubro)"",
IF(REGEXMATCH("&amp;"S212, ""Rede TVT""), ""YouTube (Rede TVT)"",
IF(REGEXMATCH(S212, ""Esquerda Diário""), ""Esquerda Diário"",
IF(REGEXMATCH(S212, ""GZH""), ""GZH"",
IF(REGEXMATCH(S212, ""TVPUC""), ""TVPUC"",
IF(REGEXMATCH(S212, ""Mídia Ninja.*Facebook""), ""Facebook (Mídia"&amp;" Ninja)"",
IF(REGEXMATCH(S212, ""Memórias Carandiru.*Instagram""), ""Instagram (Memórias Carandiru)"",
IF(REGEXMATCH(S212, ""Frente pelo Desencarceramento SP""), ""YouTube (Frente Pelo Desencarceramento SP)"",
IF(REGEXMATCH(S212, ""TV ABA""), ""YouTube (T"&amp;"V ABA)"",
IF(REGEXMATCH(S212, ""TV SENADO""), ""YouTube (TV Senado)"",
IF(REGEXMATCH(S212, ""Google Arts &amp; Culture""), ""Google Arts &amp; Culture (Memória Massacre Carandiru)"",
IF(REGEXMATCH(S212, ""Anistia Internacional|ANISTIA INTERNACIONAL""), ""Anistia "&amp;"Internacional"",
IF(REGEXMATCH(S212, ""47\.mostra|47a Mostra""), ""47a Mostra Internacional de Cinema em São Paulo"",
IF(REGEXMATCH(S212, ""Canal USP""), ""YouTube (Canal USP)"",
IF(AND(
  REGEXMATCH(S212, ""(?i)(teses?\.usp\.br|dissertacoes?\.usp\.br|rep"&amp;"ositorio\.usp\.br)""),
  NOT(REGEXMATCH(S212, ""Canal USP""))
), ""Biblioteca Digital de Teses e Dissertações da USP"",
IF(REGEXMATCH(S212, ""SINTRAJUSC""), ""SINTRAJUSC"",
IF(REGEXMATCH(S212, ""Agência Brasil|Agencia Brasil""), ""Agência Brasil"",
IF(REG"&amp;"EXMATCH(S212, ""Brasil de Fato""), ""Brasil de Fato"",
IF(REGEXMATCH(S212, ""Ponte Jornalismo|pontejornalismo""), ""Ponte Jornalismo"",
IF(REGEXMATCH(S212, ""letras\.mus\.br|Letras,""), ""Letras"",
IF(REGEXMATCH(S212, ""YouTube|youtube""), 
   ""YouTube "&amp;"(""&amp;
   IF(REGEXMATCH(S212, ""Itaú Cultural""), ""Itaú Cultural"",
   IF(REGEXMATCH(S212, ""Rede TVT""), ""Rede TVT"",
   IF(REGEXMATCH(S212, ""Frente pelo Desencarceramento SP""), ""Frente Pelo Desencarceramento SP"",
   IF(REGEXMATCH(S212, ""TV ABA""), "&amp;"""TV ABA"",
   IF(REGEXMATCH(S212, ""TV SENADO""), ""TV Senado"",
   IF(REGEXMATCH(S212, ""Canal USP""), ""Canal USP"",
   IF(REGEXMATCH(S212, ""Douer, Zack|Zack Douer""), ""Douer Zack"",
   IF(REGEXMATCH(S212, ""PRISIONEIRO 84\.901|PRISIONEIRO 84""), ""P"&amp;"risioneiro 84.901"",
   IF(REGEXMATCH(S212, ""^[^,]*, ""), 
        PROPER(REGEXREPLACE(REGEXEXTRACT(S212, ""^([^.]*)\.""), ""^([^,]*), (.*)"", ""$2 $1"")),
        PROPER(REGEXEXTRACT(S212, ""^([^.]*)\.""))
   )))))))))&amp;"")"",
IF(REGEXMATCH(S212, ""Spot"&amp;"ify|spotify""), 
   ""Spotify (""&amp;
   IF(REGEXMATCH(S212, ""ESTRANHO SORRISO""), ""Estranho Sorriso"",
   PROPER(REGEXEXTRACT(S212, ""^([^.]*)\.""))
   )&amp;"")"",
IF(REGEXMATCH(S212, ""Vimeo|vimeo""), 
   ""Vimeo (""&amp;
   IF(REGEXMATCH(S212, ""Passa Palavra"&amp;"""), ""Passa Palavra"",
   PROPER(REGEXEXTRACT(S212, ""^([^.]*)\.""))
   )&amp;"")"",
IF(REGEXMATCH(S212, ""Blogspot""), 
   ""Blogspot (""&amp;
   IF(REGEXMATCH(S212, ""rede2deoutubro""), ""Rede 02 de Outubro"",
   PROPER(REGEXEXTRACT(S212, ""^([^.]*)\.""))
   "&amp;")&amp;"")"",
IF(REGEXMATCH(S212, ""Facebook""), 
   ""Facebook (""&amp;
   IF(REGEXMATCH(S212, ""Mídia Ninja""), ""Mídia Ninja"",
   PROPER(REGEXEXTRACT(S212, ""^([^.]*)\.""))
   )&amp;"")"",
IF(REGEXMATCH(S212, ""Instagram""), 
   ""Instagram (""&amp;
   IF(REGEXMATCH"&amp;"(S212, ""Memórias Carandiru""), ""Memórias Carandiru"",
   PROPER(REGEXEXTRACT(S212, ""^([^.]*)\.""))
   )&amp;"")"",
IF(REGEXMATCH(S212, ""Folha de S\. Paulo|FOLHA DE S\. PAULO""), ""Folha de S. Paulo"",
IF(REGEXMATCH(S212, ""O Estado de S\. Paulo|ESTADAO"""&amp;"), ""O Estado de S. Paulo"",
IF(REGEXMATCH(S212, ""salasecreta""), ""Wordpress (Sala Secreta)"",
IF(REGEXMATCH(S212, ""Wikipedia|Wikipédia|WIKIPÉDIA""), ""Wikipedia"",
IF(REGEXMATCH(S212, ""VEJA|Veja""), ""Veja Abril"",
IF(REGEXMATCH(S485, ""Rede Globo|RE"&amp;"DE GLOBO""), ""Rede Globo"",
IF(REGEXMATCH(S485, ""G1|globo\.com""), ""G1"",
IF(REGEXMATCH(S212, ""Deutsche Welle|DW\.com""), ""Deutsche Welle"",
IF(REGEXMATCH(S212, ""CIDH|Comissão Interamericana""), ""Comissão Interamericana de Direitos Humanos (CIDH)"""&amp;",
IF(REGEXMATCH(S212, ""Pastoral Carcerária""), ""Pastoral Carcerária"",
IF(REGEXMATCH(S212, ""Esquerda Web""), ""Esquerda Web"",
IF(REGEXMATCH(S212, ""ONU|Organização das Nações Unidas""), ""ONU Brasil"",
IF(REGEXMATCH(S212, ""Quilombo Invisível""), ""Qu"&amp;"ilombo Invisível"",
IF(REGEXMATCH(S212, ""ALESP|Assembleia Legislativa""), ""ALESP"",
IF(REGEXMATCH(S212, ""Revista Opera""), ""Revista Opera"",
IF(REGEXMATCH(S212, ""SP Escola de Teatro""), ""SP Escola de Teatro"",
IF(REGEXMATCH(S212, ""EMC|Espaço Memóri"&amp;"a Carandiru""), ""EMC Espaço Memória Carandiru"",
IF(REGEXMATCH(S212, ""^RAMOS, Nuno|Nuno Ramos""), ""Nuno Ramos"",
IF(REGEXMATCH(S212, ""^VELOSO, Caetano|Caetano Veloso""), ""YouTube (Caetano Veloso)"",
IF(REGEXMATCH(S212, ""^FATOS REAIS""), ""YouTube ("&amp;"Fatos Reais - Topic)"",
IF(REGEXMATCH(S212, ""^SALA SECRETA""), ""Wordpress (Sala Secreta)"",
PROPER(REGEXEXTRACT(S212, ""^([^.]*)\.""))
))))))))))))))))))))))))))))))))))))))))))))))))))))))))"),"YouTube (Prisioneiro 84.901)")</f>
        <v>YouTube (Prisioneiro 84.901)</v>
      </c>
      <c r="N212" s="11" t="s">
        <v>47</v>
      </c>
      <c r="O212" s="14" t="s">
        <v>546</v>
      </c>
      <c r="P212" s="171">
        <v>45946.0</v>
      </c>
      <c r="Q212" s="11" t="s">
        <v>154</v>
      </c>
      <c r="R212" s="70" t="str">
        <f t="shared" si="8"/>
        <v>Aqui</v>
      </c>
      <c r="S212" s="172" t="s">
        <v>976</v>
      </c>
    </row>
    <row r="213">
      <c r="A213" s="11">
        <v>211.0</v>
      </c>
      <c r="B213" s="11" t="s">
        <v>703</v>
      </c>
      <c r="C213" s="12" t="str">
        <f>IFERROR(__xludf.DUMMYFUNCTION("IF(B213="""","""",IF(OR(
  REGEXMATCH(B213,""Performance|Instalação|Álbum|Música|Poema|Livro|Filme|Documentário|Recitação|Espetáculo|Peça|Intervenção|Desfile|Fotografia|Exposição|Charge|Grafite|Leitura pública|Fabricação de cachaça artesanal""),
  REGEXMA"&amp;"TCH(B213,""dança|teatral|artístico|musical|artística"")
),""Manifestação artístico-cultural"",
IF(OR(
  REGEXMATCH(B213,""Crônica|Série|Reportagem|Podcast|Audiotour|Entrevista|Vídeo|Rádio""),
  REGEXMATCH(B213,""midiática"")
),""Produção midiática"","""")"&amp;"))
"),"Produção midiática")</f>
        <v>Produção midiática</v>
      </c>
      <c r="D213" s="13" t="str">
        <f>IFERROR(__xludf.DUMMYFUNCTION("IF(B213="""","""",IF(OR(
  REGEXMATCH(B213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REGEXMATCH(B213,""público|Imediato|artística|teatral|memória"")
),""Público Imediato"",
IF(REGEXMATCH(B213,""Música|Álbum|Filme|Documentário|Série|Podc"&amp;"ast|Rádio|Audiotour|Entrevista|Reportagem|Crônica|Relatório|Abaixo-assinado|Manifesto|Petição|Poema|Livro|Fotografia|Curta|Live|Webinário|Charge|Leitura pública|Vídeo""),
""Público Mediado"","""")))
"),"Público Mediado")</f>
        <v>Público Mediado</v>
      </c>
      <c r="E213" s="13" t="str">
        <f>IFERROR(__xludf.DUMMYFUNCTION("IF(B213="""","""",IF(OR(
  REGEXMATCH(B213,""Live|Webinário|Virtual""),
  REGEXMATCH(B213,""online"")
),""Virtual"",
IF(REGEXMATCH(B213,""Música|Álbum|Filme|Documentário|Série|Podcast|Rádio|Audiotour|Episódio|Reportagem|Curta|Charge|Livro|Vídeo|Entrevista"&amp;"""),
""Midiático"",
IF(REGEXMATCH(B213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3" s="211" t="str">
        <f>IFERROR(__xludf.DUMMYFUNCTION("IF(REGEXMATCH(S213,""YouTube""),
  REGEXREPLACE(
    REGEXREPLACE(
      REGEXREPLACE(
        REGEXREPLACE(
          REGEXREPLACE(
            REGEXREPLACE(
              REGEXREPLACE(
                REGEXREPLACE(
                  REGEXREPLACE(
      "&amp;"              REGEXREPLACE(
                      REGEXREPLACE(
                        REGEXREPLACE(
                          REGEXREPLACE(
                            REGEXEXTRACT(S213,""YouTube, ([0-9]{1,2} [a-z]{3,8}\. [0-9]{4})""),
                 "&amp;"         "" jan\. "",""\/01\/""),
                        "" fev\. "",""\/02\/""),
                      "" mar\. "",""\/03\/""),
                    "" abr\. "",""\/04\/""),
                  "" mai\. "",""\/05\/""),
                "" jun\. "",""\/06\/"&amp;"""),
              "" jul\. "",""\/07\/""),
            "" ago\. "",""\/08\/""),
          "" set\. "",""\/09\/""),
        "" out\. "",""\/10\/""),
      "" nov\. "",""\/11\/""),
    "" dez\. "",""\/12\/""),
  ""\s*/\s*"",""/""),
"""")
"),"24/08/2024")</f>
        <v>24/08/2024</v>
      </c>
      <c r="G213" s="15">
        <f t="shared" si="1"/>
        <v>2024</v>
      </c>
      <c r="H213" s="14" t="s">
        <v>23</v>
      </c>
      <c r="I213" s="16" t="s">
        <v>757</v>
      </c>
      <c r="J213" s="169" t="str">
        <f>IFERROR(__xludf.DUMMYFUNCTION("REGEXEXTRACT(S213, ""\.\s(.*?)\s*YouTube"")"),"Consequências da omissão dentro da Casa de Detenção de São Paulo.")</f>
        <v>Consequências da omissão dentro da Casa de Detenção de São Paulo.</v>
      </c>
      <c r="K213" s="16" t="s">
        <v>83</v>
      </c>
      <c r="L213" s="18" t="s">
        <v>329</v>
      </c>
      <c r="M213" s="15" t="str">
        <f>IFERROR(__xludf.DUMMYFUNCTION("IF(REGEXMATCH(S213, ""Companhia das Letras""), ""Companhia das Letras"",
IF(REGEXMATCH(S213, ""Labortexto Editorial""), ""Labortexto Editorial"",
IF(REGEXMATCH(S213, ""Geração Editorial""), ""Geração Editorial"",
IF(REGEXMATCH(S213, ""Editora Imprensa Ofi"&amp;"cial|Imprensa Oficial""), ""Editora Imprensa Oficial"",
IF(REGEXMATCH(S213, ""Folha Online""), ""Folha Online"",
IF(REGEXMATCH(S213, ""FGV DIREITO SP|FGV Direito SP""), ""FGV DIREITO SP"",
IF(REGEXMATCH(S213, ""massacrecarandiru\.org\.br""), ""Memória Mas"&amp;"sacre Carandiru"",
IF(REGEXMATCH(S213, ""Itaú Cultural""), ""YouTube (Itaú Cultural)"",
IF(REGEXMATCH(S213, ""Passa Palavra""), ""Vimeo (Passa Palavra)"",
IF(REGEXMATCH(S213, ""rede2deoutubro\.blogspot""), ""Blogspot (Rede 02 de Outubro)"",
IF(REGEXMATCH("&amp;"S213, ""Rede TVT""), ""YouTube (Rede TVT)"",
IF(REGEXMATCH(S213, ""Esquerda Diário""), ""Esquerda Diário"",
IF(REGEXMATCH(S213, ""GZH""), ""GZH"",
IF(REGEXMATCH(S213, ""TVPUC""), ""TVPUC"",
IF(REGEXMATCH(S213, ""Mídia Ninja.*Facebook""), ""Facebook (Mídia"&amp;" Ninja)"",
IF(REGEXMATCH(S213, ""Memórias Carandiru.*Instagram""), ""Instagram (Memórias Carandiru)"",
IF(REGEXMATCH(S213, ""Frente pelo Desencarceramento SP""), ""YouTube (Frente Pelo Desencarceramento SP)"",
IF(REGEXMATCH(S213, ""TV ABA""), ""YouTube (T"&amp;"V ABA)"",
IF(REGEXMATCH(S213, ""TV SENADO""), ""YouTube (TV Senado)"",
IF(REGEXMATCH(S213, ""Google Arts &amp; Culture""), ""Google Arts &amp; Culture (Memória Massacre Carandiru)"",
IF(REGEXMATCH(S213, ""Anistia Internacional|ANISTIA INTERNACIONAL""), ""Anistia "&amp;"Internacional"",
IF(REGEXMATCH(S213, ""47\.mostra|47a Mostra""), ""47a Mostra Internacional de Cinema em São Paulo"",
IF(REGEXMATCH(S213, ""Canal USP""), ""YouTube (Canal USP)"",
IF(AND(
  REGEXMATCH(S213, ""(?i)(teses?\.usp\.br|dissertacoes?\.usp\.br|rep"&amp;"ositorio\.usp\.br)""),
  NOT(REGEXMATCH(S213, ""Canal USP""))
), ""Biblioteca Digital de Teses e Dissertações da USP"",
IF(REGEXMATCH(S213, ""SINTRAJUSC""), ""SINTRAJUSC"",
IF(REGEXMATCH(S213, ""Agência Brasil|Agencia Brasil""), ""Agência Brasil"",
IF(REG"&amp;"EXMATCH(S213, ""Brasil de Fato""), ""Brasil de Fato"",
IF(REGEXMATCH(S213, ""Ponte Jornalismo|pontejornalismo""), ""Ponte Jornalismo"",
IF(REGEXMATCH(S213, ""letras\.mus\.br|Letras,""), ""Letras"",
IF(REGEXMATCH(S213, ""YouTube|youtube""), 
   ""YouTube "&amp;"(""&amp;
   IF(REGEXMATCH(S213, ""Itaú Cultural""), ""Itaú Cultural"",
   IF(REGEXMATCH(S213, ""Rede TVT""), ""Rede TVT"",
   IF(REGEXMATCH(S213, ""Frente pelo Desencarceramento SP""), ""Frente Pelo Desencarceramento SP"",
   IF(REGEXMATCH(S213, ""TV ABA""), "&amp;"""TV ABA"",
   IF(REGEXMATCH(S213, ""TV SENADO""), ""TV Senado"",
   IF(REGEXMATCH(S213, ""Canal USP""), ""Canal USP"",
   IF(REGEXMATCH(S213, ""Douer, Zack|Zack Douer""), ""Douer Zack"",
   IF(REGEXMATCH(S213, ""PRISIONEIRO 84\.901|PRISIONEIRO 84""), ""P"&amp;"risioneiro 84.901"",
   IF(REGEXMATCH(S213, ""^[^,]*, ""), 
        PROPER(REGEXREPLACE(REGEXEXTRACT(S213, ""^([^.]*)\.""), ""^([^,]*), (.*)"", ""$2 $1"")),
        PROPER(REGEXEXTRACT(S213, ""^([^.]*)\.""))
   )))))))))&amp;"")"",
IF(REGEXMATCH(S213, ""Spot"&amp;"ify|spotify""), 
   ""Spotify (""&amp;
   IF(REGEXMATCH(S213, ""ESTRANHO SORRISO""), ""Estranho Sorriso"",
   PROPER(REGEXEXTRACT(S213, ""^([^.]*)\.""))
   )&amp;"")"",
IF(REGEXMATCH(S213, ""Vimeo|vimeo""), 
   ""Vimeo (""&amp;
   IF(REGEXMATCH(S213, ""Passa Palavra"&amp;"""), ""Passa Palavra"",
   PROPER(REGEXEXTRACT(S213, ""^([^.]*)\.""))
   )&amp;"")"",
IF(REGEXMATCH(S213, ""Blogspot""), 
   ""Blogspot (""&amp;
   IF(REGEXMATCH(S213, ""rede2deoutubro""), ""Rede 02 de Outubro"",
   PROPER(REGEXEXTRACT(S213, ""^([^.]*)\.""))
   "&amp;")&amp;"")"",
IF(REGEXMATCH(S213, ""Facebook""), 
   ""Facebook (""&amp;
   IF(REGEXMATCH(S213, ""Mídia Ninja""), ""Mídia Ninja"",
   PROPER(REGEXEXTRACT(S213, ""^([^.]*)\.""))
   )&amp;"")"",
IF(REGEXMATCH(S213, ""Instagram""), 
   ""Instagram (""&amp;
   IF(REGEXMATCH"&amp;"(S213, ""Memórias Carandiru""), ""Memórias Carandiru"",
   PROPER(REGEXEXTRACT(S213, ""^([^.]*)\.""))
   )&amp;"")"",
IF(REGEXMATCH(S213, ""Folha de S\. Paulo|FOLHA DE S\. PAULO""), ""Folha de S. Paulo"",
IF(REGEXMATCH(S213, ""O Estado de S\. Paulo|ESTADAO"""&amp;"), ""O Estado de S. Paulo"",
IF(REGEXMATCH(S213, ""salasecreta""), ""Wordpress (Sala Secreta)"",
IF(REGEXMATCH(S213, ""Wikipedia|Wikipédia|WIKIPÉDIA""), ""Wikipedia"",
IF(REGEXMATCH(S213, ""VEJA|Veja""), ""Veja Abril"",
IF(REGEXMATCH(S486, ""Rede Globo|RE"&amp;"DE GLOBO""), ""Rede Globo"",
IF(REGEXMATCH(S486, ""G1|globo\.com""), ""G1"",
IF(REGEXMATCH(S213, ""Deutsche Welle|DW\.com""), ""Deutsche Welle"",
IF(REGEXMATCH(S213, ""CIDH|Comissão Interamericana""), ""Comissão Interamericana de Direitos Humanos (CIDH)"""&amp;",
IF(REGEXMATCH(S213, ""Pastoral Carcerária""), ""Pastoral Carcerária"",
IF(REGEXMATCH(S213, ""Esquerda Web""), ""Esquerda Web"",
IF(REGEXMATCH(S213, ""ONU|Organização das Nações Unidas""), ""ONU Brasil"",
IF(REGEXMATCH(S213, ""Quilombo Invisível""), ""Qu"&amp;"ilombo Invisível"",
IF(REGEXMATCH(S213, ""ALESP|Assembleia Legislativa""), ""ALESP"",
IF(REGEXMATCH(S213, ""Revista Opera""), ""Revista Opera"",
IF(REGEXMATCH(S213, ""SP Escola de Teatro""), ""SP Escola de Teatro"",
IF(REGEXMATCH(S213, ""EMC|Espaço Memóri"&amp;"a Carandiru""), ""EMC Espaço Memória Carandiru"",
IF(REGEXMATCH(S213, ""^RAMOS, Nuno|Nuno Ramos""), ""Nuno Ramos"",
IF(REGEXMATCH(S213, ""^VELOSO, Caetano|Caetano Veloso""), ""YouTube (Caetano Veloso)"",
IF(REGEXMATCH(S213, ""^FATOS REAIS""), ""YouTube ("&amp;"Fatos Reais - Topic)"",
IF(REGEXMATCH(S213, ""^SALA SECRETA""), ""Wordpress (Sala Secreta)"",
PROPER(REGEXEXTRACT(S213, ""^([^.]*)\.""))
))))))))))))))))))))))))))))))))))))))))))))))))))))))))"),"YouTube (Prisioneiro 84.901)")</f>
        <v>YouTube (Prisioneiro 84.901)</v>
      </c>
      <c r="N213" s="11" t="s">
        <v>47</v>
      </c>
      <c r="O213" s="14" t="s">
        <v>546</v>
      </c>
      <c r="P213" s="171">
        <v>45946.0</v>
      </c>
      <c r="Q213" s="11" t="s">
        <v>154</v>
      </c>
      <c r="R213" s="70" t="str">
        <f t="shared" si="8"/>
        <v>Aqui</v>
      </c>
      <c r="S213" s="172" t="s">
        <v>977</v>
      </c>
    </row>
    <row r="214">
      <c r="A214" s="11">
        <v>212.0</v>
      </c>
      <c r="B214" s="11" t="s">
        <v>703</v>
      </c>
      <c r="C214" s="12" t="str">
        <f>IFERROR(__xludf.DUMMYFUNCTION("IF(B214="""","""",IF(OR(
  REGEXMATCH(B214,""Performance|Instalação|Álbum|Música|Poema|Livro|Filme|Documentário|Recitação|Espetáculo|Peça|Intervenção|Desfile|Fotografia|Exposição|Charge|Grafite|Leitura pública|Fabricação de cachaça artesanal""),
  REGEXMA"&amp;"TCH(B214,""dança|teatral|artístico|musical|artística"")
),""Manifestação artístico-cultural"",
IF(OR(
  REGEXMATCH(B214,""Crônica|Série|Reportagem|Podcast|Audiotour|Entrevista|Vídeo|Rádio""),
  REGEXMATCH(B214,""midiática"")
),""Produção midiática"","""")"&amp;"))
"),"Produção midiática")</f>
        <v>Produção midiática</v>
      </c>
      <c r="D214" s="13" t="str">
        <f>IFERROR(__xludf.DUMMYFUNCTION("IF(B214="""","""",IF(OR(
  REGEXMATCH(B214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REGEXMATCH(B214,""público|Imediato|artística|teatral|memória"")
),""Público Imediato"",
IF(REGEXMATCH(B214,""Música|Álbum|Filme|Documentário|Série|Podc"&amp;"ast|Rádio|Audiotour|Entrevista|Reportagem|Crônica|Relatório|Abaixo-assinado|Manifesto|Petição|Poema|Livro|Fotografia|Curta|Live|Webinário|Charge|Leitura pública|Vídeo""),
""Público Mediado"","""")))
"),"Público Mediado")</f>
        <v>Público Mediado</v>
      </c>
      <c r="E214" s="13" t="str">
        <f>IFERROR(__xludf.DUMMYFUNCTION("IF(B214="""","""",IF(OR(
  REGEXMATCH(B214,""Live|Webinário|Virtual""),
  REGEXMATCH(B214,""online"")
),""Virtual"",
IF(REGEXMATCH(B214,""Música|Álbum|Filme|Documentário|Série|Podcast|Rádio|Audiotour|Episódio|Reportagem|Curta|Charge|Livro|Vídeo|Entrevista"&amp;"""),
""Midiático"",
IF(REGEXMATCH(B214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4" s="211" t="str">
        <f>IFERROR(__xludf.DUMMYFUNCTION("IF(REGEXMATCH(S214,""YouTube""),
  REGEXREPLACE(
    REGEXREPLACE(
      REGEXREPLACE(
        REGEXREPLACE(
          REGEXREPLACE(
            REGEXREPLACE(
              REGEXREPLACE(
                REGEXREPLACE(
                  REGEXREPLACE(
      "&amp;"              REGEXREPLACE(
                      REGEXREPLACE(
                        REGEXREPLACE(
                          REGEXREPLACE(
                            REGEXEXTRACT(S214,""YouTube, ([0-9]{1,2} [a-z]{3,8}\. [0-9]{4})""),
                 "&amp;"         "" jan\. "",""\/01\/""),
                        "" fev\. "",""\/02\/""),
                      "" mar\. "",""\/03\/""),
                    "" abr\. "",""\/04\/""),
                  "" mai\. "",""\/05\/""),
                "" jun\. "",""\/06\/"&amp;"""),
              "" jul\. "",""\/07\/""),
            "" ago\. "",""\/08\/""),
          "" set\. "",""\/09\/""),
        "" out\. "",""\/10\/""),
      "" nov\. "",""\/11\/""),
    "" dez\. "",""\/12\/""),
  ""\s*/\s*"",""/""),
"""")
"),"29/06/2024")</f>
        <v>29/06/2024</v>
      </c>
      <c r="G214" s="15">
        <f t="shared" si="1"/>
        <v>2024</v>
      </c>
      <c r="H214" s="14" t="s">
        <v>23</v>
      </c>
      <c r="I214" s="16" t="s">
        <v>757</v>
      </c>
      <c r="J214" s="169" t="str">
        <f>IFERROR(__xludf.DUMMYFUNCTION("REGEXEXTRACT(S214, ""\.\s(.*?)\s*YouTube"")"),"Leo Monteiro: sobrevivente do massacre no P.V. 9 (Parte 1).")</f>
        <v>Leo Monteiro: sobrevivente do massacre no P.V. 9 (Parte 1).</v>
      </c>
      <c r="K214" s="16" t="s">
        <v>83</v>
      </c>
      <c r="L214" s="18" t="s">
        <v>329</v>
      </c>
      <c r="M214" s="15" t="str">
        <f>IFERROR(__xludf.DUMMYFUNCTION("IF(REGEXMATCH(S214, ""Companhia das Letras""), ""Companhia das Letras"",
IF(REGEXMATCH(S214, ""Labortexto Editorial""), ""Labortexto Editorial"",
IF(REGEXMATCH(S214, ""Geração Editorial""), ""Geração Editorial"",
IF(REGEXMATCH(S214, ""Editora Imprensa Ofi"&amp;"cial|Imprensa Oficial""), ""Editora Imprensa Oficial"",
IF(REGEXMATCH(S214, ""Folha Online""), ""Folha Online"",
IF(REGEXMATCH(S214, ""FGV DIREITO SP|FGV Direito SP""), ""FGV DIREITO SP"",
IF(REGEXMATCH(S214, ""massacrecarandiru\.org\.br""), ""Memória Mas"&amp;"sacre Carandiru"",
IF(REGEXMATCH(S214, ""Itaú Cultural""), ""YouTube (Itaú Cultural)"",
IF(REGEXMATCH(S214, ""Passa Palavra""), ""Vimeo (Passa Palavra)"",
IF(REGEXMATCH(S214, ""rede2deoutubro\.blogspot""), ""Blogspot (Rede 02 de Outubro)"",
IF(REGEXMATCH("&amp;"S214, ""Rede TVT""), ""YouTube (Rede TVT)"",
IF(REGEXMATCH(S214, ""Esquerda Diário""), ""Esquerda Diário"",
IF(REGEXMATCH(S214, ""GZH""), ""GZH"",
IF(REGEXMATCH(S214, ""TVPUC""), ""TVPUC"",
IF(REGEXMATCH(S214, ""Mídia Ninja.*Facebook""), ""Facebook (Mídia"&amp;" Ninja)"",
IF(REGEXMATCH(S214, ""Memórias Carandiru.*Instagram""), ""Instagram (Memórias Carandiru)"",
IF(REGEXMATCH(S214, ""Frente pelo Desencarceramento SP""), ""YouTube (Frente Pelo Desencarceramento SP)"",
IF(REGEXMATCH(S214, ""TV ABA""), ""YouTube (T"&amp;"V ABA)"",
IF(REGEXMATCH(S214, ""TV SENADO""), ""YouTube (TV Senado)"",
IF(REGEXMATCH(S214, ""Google Arts &amp; Culture""), ""Google Arts &amp; Culture (Memória Massacre Carandiru)"",
IF(REGEXMATCH(S214, ""Anistia Internacional|ANISTIA INTERNACIONAL""), ""Anistia "&amp;"Internacional"",
IF(REGEXMATCH(S214, ""47\.mostra|47a Mostra""), ""47a Mostra Internacional de Cinema em São Paulo"",
IF(REGEXMATCH(S214, ""Canal USP""), ""YouTube (Canal USP)"",
IF(AND(
  REGEXMATCH(S214, ""(?i)(teses?\.usp\.br|dissertacoes?\.usp\.br|rep"&amp;"ositorio\.usp\.br)""),
  NOT(REGEXMATCH(S214, ""Canal USP""))
), ""Biblioteca Digital de Teses e Dissertações da USP"",
IF(REGEXMATCH(S214, ""SINTRAJUSC""), ""SINTRAJUSC"",
IF(REGEXMATCH(S214, ""Agência Brasil|Agencia Brasil""), ""Agência Brasil"",
IF(REG"&amp;"EXMATCH(S214, ""Brasil de Fato""), ""Brasil de Fato"",
IF(REGEXMATCH(S214, ""Ponte Jornalismo|pontejornalismo""), ""Ponte Jornalismo"",
IF(REGEXMATCH(S214, ""letras\.mus\.br|Letras,""), ""Letras"",
IF(REGEXMATCH(S214, ""YouTube|youtube""), 
   ""YouTube "&amp;"(""&amp;
   IF(REGEXMATCH(S214, ""Itaú Cultural""), ""Itaú Cultural"",
   IF(REGEXMATCH(S214, ""Rede TVT""), ""Rede TVT"",
   IF(REGEXMATCH(S214, ""Frente pelo Desencarceramento SP""), ""Frente Pelo Desencarceramento SP"",
   IF(REGEXMATCH(S214, ""TV ABA""), "&amp;"""TV ABA"",
   IF(REGEXMATCH(S214, ""TV SENADO""), ""TV Senado"",
   IF(REGEXMATCH(S214, ""Canal USP""), ""Canal USP"",
   IF(REGEXMATCH(S214, ""Douer, Zack|Zack Douer""), ""Douer Zack"",
   IF(REGEXMATCH(S214, ""PRISIONEIRO 84\.901|PRISIONEIRO 84""), ""P"&amp;"risioneiro 84.901"",
   IF(REGEXMATCH(S214, ""^[^,]*, ""), 
        PROPER(REGEXREPLACE(REGEXEXTRACT(S214, ""^([^.]*)\.""), ""^([^,]*), (.*)"", ""$2 $1"")),
        PROPER(REGEXEXTRACT(S214, ""^([^.]*)\.""))
   )))))))))&amp;"")"",
IF(REGEXMATCH(S214, ""Spot"&amp;"ify|spotify""), 
   ""Spotify (""&amp;
   IF(REGEXMATCH(S214, ""ESTRANHO SORRISO""), ""Estranho Sorriso"",
   PROPER(REGEXEXTRACT(S214, ""^([^.]*)\.""))
   )&amp;"")"",
IF(REGEXMATCH(S214, ""Vimeo|vimeo""), 
   ""Vimeo (""&amp;
   IF(REGEXMATCH(S214, ""Passa Palavra"&amp;"""), ""Passa Palavra"",
   PROPER(REGEXEXTRACT(S214, ""^([^.]*)\.""))
   )&amp;"")"",
IF(REGEXMATCH(S214, ""Blogspot""), 
   ""Blogspot (""&amp;
   IF(REGEXMATCH(S214, ""rede2deoutubro""), ""Rede 02 de Outubro"",
   PROPER(REGEXEXTRACT(S214, ""^([^.]*)\.""))
   "&amp;")&amp;"")"",
IF(REGEXMATCH(S214, ""Facebook""), 
   ""Facebook (""&amp;
   IF(REGEXMATCH(S214, ""Mídia Ninja""), ""Mídia Ninja"",
   PROPER(REGEXEXTRACT(S214, ""^([^.]*)\.""))
   )&amp;"")"",
IF(REGEXMATCH(S214, ""Instagram""), 
   ""Instagram (""&amp;
   IF(REGEXMATCH"&amp;"(S214, ""Memórias Carandiru""), ""Memórias Carandiru"",
   PROPER(REGEXEXTRACT(S214, ""^([^.]*)\.""))
   )&amp;"")"",
IF(REGEXMATCH(S214, ""Folha de S\. Paulo|FOLHA DE S\. PAULO""), ""Folha de S. Paulo"",
IF(REGEXMATCH(S214, ""O Estado de S\. Paulo|ESTADAO"""&amp;"), ""O Estado de S. Paulo"",
IF(REGEXMATCH(S214, ""salasecreta""), ""Wordpress (Sala Secreta)"",
IF(REGEXMATCH(S214, ""Wikipedia|Wikipédia|WIKIPÉDIA""), ""Wikipedia"",
IF(REGEXMATCH(S214, ""VEJA|Veja""), ""Veja Abril"",
IF(REGEXMATCH(S487, ""Rede Globo|RE"&amp;"DE GLOBO""), ""Rede Globo"",
IF(REGEXMATCH(S487, ""G1|globo\.com""), ""G1"",
IF(REGEXMATCH(S214, ""Deutsche Welle|DW\.com""), ""Deutsche Welle"",
IF(REGEXMATCH(S214, ""CIDH|Comissão Interamericana""), ""Comissão Interamericana de Direitos Humanos (CIDH)"""&amp;",
IF(REGEXMATCH(S214, ""Pastoral Carcerária""), ""Pastoral Carcerária"",
IF(REGEXMATCH(S214, ""Esquerda Web""), ""Esquerda Web"",
IF(REGEXMATCH(S214, ""ONU|Organização das Nações Unidas""), ""ONU Brasil"",
IF(REGEXMATCH(S214, ""Quilombo Invisível""), ""Qu"&amp;"ilombo Invisível"",
IF(REGEXMATCH(S214, ""ALESP|Assembleia Legislativa""), ""ALESP"",
IF(REGEXMATCH(S214, ""Revista Opera""), ""Revista Opera"",
IF(REGEXMATCH(S214, ""SP Escola de Teatro""), ""SP Escola de Teatro"",
IF(REGEXMATCH(S214, ""EMC|Espaço Memóri"&amp;"a Carandiru""), ""EMC Espaço Memória Carandiru"",
IF(REGEXMATCH(S214, ""^RAMOS, Nuno|Nuno Ramos""), ""Nuno Ramos"",
IF(REGEXMATCH(S214, ""^VELOSO, Caetano|Caetano Veloso""), ""YouTube (Caetano Veloso)"",
IF(REGEXMATCH(S214, ""^FATOS REAIS""), ""YouTube ("&amp;"Fatos Reais - Topic)"",
IF(REGEXMATCH(S214, ""^SALA SECRETA""), ""Wordpress (Sala Secreta)"",
PROPER(REGEXEXTRACT(S214, ""^([^.]*)\.""))
))))))))))))))))))))))))))))))))))))))))))))))))))))))))"),"YouTube (Prisioneiro 84.901)")</f>
        <v>YouTube (Prisioneiro 84.901)</v>
      </c>
      <c r="N214" s="11" t="s">
        <v>47</v>
      </c>
      <c r="O214" s="14" t="s">
        <v>546</v>
      </c>
      <c r="P214" s="171">
        <v>45946.0</v>
      </c>
      <c r="Q214" s="11" t="s">
        <v>154</v>
      </c>
      <c r="R214" s="70" t="str">
        <f t="shared" si="8"/>
        <v>Aqui</v>
      </c>
      <c r="S214" s="172" t="s">
        <v>978</v>
      </c>
    </row>
    <row r="215">
      <c r="A215" s="11">
        <v>213.0</v>
      </c>
      <c r="B215" s="11" t="s">
        <v>703</v>
      </c>
      <c r="C215" s="12" t="str">
        <f>IFERROR(__xludf.DUMMYFUNCTION("IF(B215="""","""",IF(OR(
  REGEXMATCH(B215,""Performance|Instalação|Álbum|Música|Poema|Livro|Filme|Documentário|Recitação|Espetáculo|Peça|Intervenção|Desfile|Fotografia|Exposição|Charge|Grafite|Leitura pública|Fabricação de cachaça artesanal""),
  REGEXMA"&amp;"TCH(B215,""dança|teatral|artístico|musical|artística"")
),""Manifestação artístico-cultural"",
IF(OR(
  REGEXMATCH(B215,""Crônica|Série|Reportagem|Podcast|Audiotour|Entrevista|Vídeo|Rádio""),
  REGEXMATCH(B215,""midiática"")
),""Produção midiática"","""")"&amp;"))
"),"Produção midiática")</f>
        <v>Produção midiática</v>
      </c>
      <c r="D215" s="13" t="str">
        <f>IFERROR(__xludf.DUMMYFUNCTION("IF(B215="""","""",IF(OR(
  REGEXMATCH(B215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REGEXMATCH(B215,""público|Imediato|artística|teatral|memória"")
),""Público Imediato"",
IF(REGEXMATCH(B215,""Música|Álbum|Filme|Documentário|Série|Podc"&amp;"ast|Rádio|Audiotour|Entrevista|Reportagem|Crônica|Relatório|Abaixo-assinado|Manifesto|Petição|Poema|Livro|Fotografia|Curta|Live|Webinário|Charge|Leitura pública|Vídeo""),
""Público Mediado"","""")))
"),"Público Mediado")</f>
        <v>Público Mediado</v>
      </c>
      <c r="E215" s="13" t="str">
        <f>IFERROR(__xludf.DUMMYFUNCTION("IF(B215="""","""",IF(OR(
  REGEXMATCH(B215,""Live|Webinário|Virtual""),
  REGEXMATCH(B215,""online"")
),""Virtual"",
IF(REGEXMATCH(B215,""Música|Álbum|Filme|Documentário|Série|Podcast|Rádio|Audiotour|Episódio|Reportagem|Curta|Charge|Livro|Vídeo|Entrevista"&amp;"""),
""Midiático"",
IF(REGEXMATCH(B215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5" s="211" t="str">
        <f>IFERROR(__xludf.DUMMYFUNCTION("IF(REGEXMATCH(S215,""YouTube""),
  REGEXREPLACE(
    REGEXREPLACE(
      REGEXREPLACE(
        REGEXREPLACE(
          REGEXREPLACE(
            REGEXREPLACE(
              REGEXREPLACE(
                REGEXREPLACE(
                  REGEXREPLACE(
      "&amp;"              REGEXREPLACE(
                      REGEXREPLACE(
                        REGEXREPLACE(
                          REGEXREPLACE(
                            REGEXEXTRACT(S215,""YouTube, ([0-9]{1,2} [a-z]{3,8}\. [0-9]{4})""),
                 "&amp;"         "" jan\. "",""\/01\/""),
                        "" fev\. "",""\/02\/""),
                      "" mar\. "",""\/03\/""),
                    "" abr\. "",""\/04\/""),
                  "" mai\. "",""\/05\/""),
                "" jun\. "",""\/06\/"&amp;"""),
              "" jul\. "",""\/07\/""),
            "" ago\. "",""\/08\/""),
          "" set\. "",""\/09\/""),
        "" out\. "",""\/10\/""),
      "" nov\. "",""\/11\/""),
    "" dez\. "",""\/12\/""),
  ""\s*/\s*"",""/""),
"""")
"),"29/06/2024")</f>
        <v>29/06/2024</v>
      </c>
      <c r="G215" s="15">
        <f t="shared" si="1"/>
        <v>2024</v>
      </c>
      <c r="H215" s="14" t="s">
        <v>23</v>
      </c>
      <c r="I215" s="16" t="s">
        <v>757</v>
      </c>
      <c r="J215" s="169" t="str">
        <f>IFERROR(__xludf.DUMMYFUNCTION("REGEXEXTRACT(S215, ""\.\s(.*?)\s*YouTube"")"),"Leo Monteiro: sobrevivente do P.V. 9 (Parte 2).")</f>
        <v>Leo Monteiro: sobrevivente do P.V. 9 (Parte 2).</v>
      </c>
      <c r="K215" s="16" t="s">
        <v>83</v>
      </c>
      <c r="L215" s="18" t="s">
        <v>329</v>
      </c>
      <c r="M215" s="15" t="str">
        <f>IFERROR(__xludf.DUMMYFUNCTION("IF(REGEXMATCH(S215, ""Companhia das Letras""), ""Companhia das Letras"",
IF(REGEXMATCH(S215, ""Labortexto Editorial""), ""Labortexto Editorial"",
IF(REGEXMATCH(S215, ""Geração Editorial""), ""Geração Editorial"",
IF(REGEXMATCH(S215, ""Editora Imprensa Ofi"&amp;"cial|Imprensa Oficial""), ""Editora Imprensa Oficial"",
IF(REGEXMATCH(S215, ""Folha Online""), ""Folha Online"",
IF(REGEXMATCH(S215, ""FGV DIREITO SP|FGV Direito SP""), ""FGV DIREITO SP"",
IF(REGEXMATCH(S215, ""massacrecarandiru\.org\.br""), ""Memória Mas"&amp;"sacre Carandiru"",
IF(REGEXMATCH(S215, ""Itaú Cultural""), ""YouTube (Itaú Cultural)"",
IF(REGEXMATCH(S215, ""Passa Palavra""), ""Vimeo (Passa Palavra)"",
IF(REGEXMATCH(S215, ""rede2deoutubro\.blogspot""), ""Blogspot (Rede 02 de Outubro)"",
IF(REGEXMATCH("&amp;"S215, ""Rede TVT""), ""YouTube (Rede TVT)"",
IF(REGEXMATCH(S215, ""Esquerda Diário""), ""Esquerda Diário"",
IF(REGEXMATCH(S215, ""GZH""), ""GZH"",
IF(REGEXMATCH(S215, ""TVPUC""), ""TVPUC"",
IF(REGEXMATCH(S215, ""Mídia Ninja.*Facebook""), ""Facebook (Mídia"&amp;" Ninja)"",
IF(REGEXMATCH(S215, ""Memórias Carandiru.*Instagram""), ""Instagram (Memórias Carandiru)"",
IF(REGEXMATCH(S215, ""Frente pelo Desencarceramento SP""), ""YouTube (Frente Pelo Desencarceramento SP)"",
IF(REGEXMATCH(S215, ""TV ABA""), ""YouTube (T"&amp;"V ABA)"",
IF(REGEXMATCH(S215, ""TV SENADO""), ""YouTube (TV Senado)"",
IF(REGEXMATCH(S215, ""Google Arts &amp; Culture""), ""Google Arts &amp; Culture (Memória Massacre Carandiru)"",
IF(REGEXMATCH(S215, ""Anistia Internacional|ANISTIA INTERNACIONAL""), ""Anistia "&amp;"Internacional"",
IF(REGEXMATCH(S215, ""47\.mostra|47a Mostra""), ""47a Mostra Internacional de Cinema em São Paulo"",
IF(REGEXMATCH(S215, ""Canal USP""), ""YouTube (Canal USP)"",
IF(AND(
  REGEXMATCH(S215, ""(?i)(teses?\.usp\.br|dissertacoes?\.usp\.br|rep"&amp;"ositorio\.usp\.br)""),
  NOT(REGEXMATCH(S215, ""Canal USP""))
), ""Biblioteca Digital de Teses e Dissertações da USP"",
IF(REGEXMATCH(S215, ""SINTRAJUSC""), ""SINTRAJUSC"",
IF(REGEXMATCH(S215, ""Agência Brasil|Agencia Brasil""), ""Agência Brasil"",
IF(REG"&amp;"EXMATCH(S215, ""Brasil de Fato""), ""Brasil de Fato"",
IF(REGEXMATCH(S215, ""Ponte Jornalismo|pontejornalismo""), ""Ponte Jornalismo"",
IF(REGEXMATCH(S215, ""letras\.mus\.br|Letras,""), ""Letras"",
IF(REGEXMATCH(S215, ""YouTube|youtube""), 
   ""YouTube "&amp;"(""&amp;
   IF(REGEXMATCH(S215, ""Itaú Cultural""), ""Itaú Cultural"",
   IF(REGEXMATCH(S215, ""Rede TVT""), ""Rede TVT"",
   IF(REGEXMATCH(S215, ""Frente pelo Desencarceramento SP""), ""Frente Pelo Desencarceramento SP"",
   IF(REGEXMATCH(S215, ""TV ABA""), "&amp;"""TV ABA"",
   IF(REGEXMATCH(S215, ""TV SENADO""), ""TV Senado"",
   IF(REGEXMATCH(S215, ""Canal USP""), ""Canal USP"",
   IF(REGEXMATCH(S215, ""Douer, Zack|Zack Douer""), ""Douer Zack"",
   IF(REGEXMATCH(S215, ""PRISIONEIRO 84\.901|PRISIONEIRO 84""), ""P"&amp;"risioneiro 84.901"",
   IF(REGEXMATCH(S215, ""^[^,]*, ""), 
        PROPER(REGEXREPLACE(REGEXEXTRACT(S215, ""^([^.]*)\.""), ""^([^,]*), (.*)"", ""$2 $1"")),
        PROPER(REGEXEXTRACT(S215, ""^([^.]*)\.""))
   )))))))))&amp;"")"",
IF(REGEXMATCH(S215, ""Spot"&amp;"ify|spotify""), 
   ""Spotify (""&amp;
   IF(REGEXMATCH(S215, ""ESTRANHO SORRISO""), ""Estranho Sorriso"",
   PROPER(REGEXEXTRACT(S215, ""^([^.]*)\.""))
   )&amp;"")"",
IF(REGEXMATCH(S215, ""Vimeo|vimeo""), 
   ""Vimeo (""&amp;
   IF(REGEXMATCH(S215, ""Passa Palavra"&amp;"""), ""Passa Palavra"",
   PROPER(REGEXEXTRACT(S215, ""^([^.]*)\.""))
   )&amp;"")"",
IF(REGEXMATCH(S215, ""Blogspot""), 
   ""Blogspot (""&amp;
   IF(REGEXMATCH(S215, ""rede2deoutubro""), ""Rede 02 de Outubro"",
   PROPER(REGEXEXTRACT(S215, ""^([^.]*)\.""))
   "&amp;")&amp;"")"",
IF(REGEXMATCH(S215, ""Facebook""), 
   ""Facebook (""&amp;
   IF(REGEXMATCH(S215, ""Mídia Ninja""), ""Mídia Ninja"",
   PROPER(REGEXEXTRACT(S215, ""^([^.]*)\.""))
   )&amp;"")"",
IF(REGEXMATCH(S215, ""Instagram""), 
   ""Instagram (""&amp;
   IF(REGEXMATCH"&amp;"(S215, ""Memórias Carandiru""), ""Memórias Carandiru"",
   PROPER(REGEXEXTRACT(S215, ""^([^.]*)\.""))
   )&amp;"")"",
IF(REGEXMATCH(S215, ""Folha de S\. Paulo|FOLHA DE S\. PAULO""), ""Folha de S. Paulo"",
IF(REGEXMATCH(S215, ""O Estado de S\. Paulo|ESTADAO"""&amp;"), ""O Estado de S. Paulo"",
IF(REGEXMATCH(S215, ""salasecreta""), ""Wordpress (Sala Secreta)"",
IF(REGEXMATCH(S215, ""Wikipedia|Wikipédia|WIKIPÉDIA""), ""Wikipedia"",
IF(REGEXMATCH(S215, ""VEJA|Veja""), ""Veja Abril"",
IF(REGEXMATCH(S488, ""Rede Globo|RE"&amp;"DE GLOBO""), ""Rede Globo"",
IF(REGEXMATCH(S488, ""G1|globo\.com""), ""G1"",
IF(REGEXMATCH(S215, ""Deutsche Welle|DW\.com""), ""Deutsche Welle"",
IF(REGEXMATCH(S215, ""CIDH|Comissão Interamericana""), ""Comissão Interamericana de Direitos Humanos (CIDH)"""&amp;",
IF(REGEXMATCH(S215, ""Pastoral Carcerária""), ""Pastoral Carcerária"",
IF(REGEXMATCH(S215, ""Esquerda Web""), ""Esquerda Web"",
IF(REGEXMATCH(S215, ""ONU|Organização das Nações Unidas""), ""ONU Brasil"",
IF(REGEXMATCH(S215, ""Quilombo Invisível""), ""Qu"&amp;"ilombo Invisível"",
IF(REGEXMATCH(S215, ""ALESP|Assembleia Legislativa""), ""ALESP"",
IF(REGEXMATCH(S215, ""Revista Opera""), ""Revista Opera"",
IF(REGEXMATCH(S215, ""SP Escola de Teatro""), ""SP Escola de Teatro"",
IF(REGEXMATCH(S215, ""EMC|Espaço Memóri"&amp;"a Carandiru""), ""EMC Espaço Memória Carandiru"",
IF(REGEXMATCH(S215, ""^RAMOS, Nuno|Nuno Ramos""), ""Nuno Ramos"",
IF(REGEXMATCH(S215, ""^VELOSO, Caetano|Caetano Veloso""), ""YouTube (Caetano Veloso)"",
IF(REGEXMATCH(S215, ""^FATOS REAIS""), ""YouTube ("&amp;"Fatos Reais - Topic)"",
IF(REGEXMATCH(S215, ""^SALA SECRETA""), ""Wordpress (Sala Secreta)"",
PROPER(REGEXEXTRACT(S215, ""^([^.]*)\.""))
))))))))))))))))))))))))))))))))))))))))))))))))))))))))"),"YouTube (Prisioneiro 84.901)")</f>
        <v>YouTube (Prisioneiro 84.901)</v>
      </c>
      <c r="N215" s="11" t="s">
        <v>47</v>
      </c>
      <c r="O215" s="14" t="s">
        <v>546</v>
      </c>
      <c r="P215" s="171">
        <v>45946.0</v>
      </c>
      <c r="Q215" s="11" t="s">
        <v>154</v>
      </c>
      <c r="R215" s="70" t="str">
        <f t="shared" si="8"/>
        <v>Aqui</v>
      </c>
      <c r="S215" s="172" t="s">
        <v>979</v>
      </c>
    </row>
    <row r="216">
      <c r="A216" s="11">
        <v>214.0</v>
      </c>
      <c r="B216" s="11" t="s">
        <v>703</v>
      </c>
      <c r="C216" s="12" t="str">
        <f>IFERROR(__xludf.DUMMYFUNCTION("IF(B216="""","""",IF(OR(
  REGEXMATCH(B216,""Performance|Instalação|Álbum|Música|Poema|Livro|Filme|Documentário|Recitação|Espetáculo|Peça|Intervenção|Desfile|Fotografia|Exposição|Charge|Grafite|Leitura pública|Fabricação de cachaça artesanal""),
  REGEXMA"&amp;"TCH(B216,""dança|teatral|artístico|musical|artística"")
),""Manifestação artístico-cultural"",
IF(OR(
  REGEXMATCH(B216,""Crônica|Série|Reportagem|Podcast|Audiotour|Entrevista|Vídeo|Rádio""),
  REGEXMATCH(B216,""midiática"")
),""Produção midiática"","""")"&amp;"))
"),"Produção midiática")</f>
        <v>Produção midiática</v>
      </c>
      <c r="D216" s="13" t="str">
        <f>IFERROR(__xludf.DUMMYFUNCTION("IF(B216="""","""",IF(OR(
  REGEXMATCH(B216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REGEXMATCH(B216,""público|Imediato|artística|teatral|memória"")
),""Público Imediato"",
IF(REGEXMATCH(B216,""Música|Álbum|Filme|Documentário|Série|Podc"&amp;"ast|Rádio|Audiotour|Entrevista|Reportagem|Crônica|Relatório|Abaixo-assinado|Manifesto|Petição|Poema|Livro|Fotografia|Curta|Live|Webinário|Charge|Leitura pública|Vídeo""),
""Público Mediado"","""")))
"),"Público Mediado")</f>
        <v>Público Mediado</v>
      </c>
      <c r="E216" s="13" t="str">
        <f>IFERROR(__xludf.DUMMYFUNCTION("IF(B216="""","""",IF(OR(
  REGEXMATCH(B216,""Live|Webinário|Virtual""),
  REGEXMATCH(B216,""online"")
),""Virtual"",
IF(REGEXMATCH(B216,""Música|Álbum|Filme|Documentário|Série|Podcast|Rádio|Audiotour|Episódio|Reportagem|Curta|Charge|Livro|Vídeo|Entrevista"&amp;"""),
""Midiático"",
IF(REGEXMATCH(B216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6" s="211" t="str">
        <f>IFERROR(__xludf.DUMMYFUNCTION("IF(REGEXMATCH(S216,""YouTube""),
  REGEXREPLACE(
    REGEXREPLACE(
      REGEXREPLACE(
        REGEXREPLACE(
          REGEXREPLACE(
            REGEXREPLACE(
              REGEXREPLACE(
                REGEXREPLACE(
                  REGEXREPLACE(
      "&amp;"              REGEXREPLACE(
                      REGEXREPLACE(
                        REGEXREPLACE(
                          REGEXREPLACE(
                            REGEXEXTRACT(S216,""YouTube, ([0-9]{1,2} [a-z]{3,8}\. [0-9]{4})""),
                 "&amp;"         "" jan\. "",""\/01\/""),
                        "" fev\. "",""\/02\/""),
                      "" mar\. "",""\/03\/""),
                    "" abr\. "",""\/04\/""),
                  "" mai\. "",""\/05\/""),
                "" jun\. "",""\/06\/"&amp;"""),
              "" jul\. "",""\/07\/""),
            "" ago\. "",""\/08\/""),
          "" set\. "",""\/09\/""),
        "" out\. "",""\/10\/""),
      "" nov\. "",""\/11\/""),
    "" dez\. "",""\/12\/""),
  ""\s*/\s*"",""/""),
"""")
"),"31/05/2024")</f>
        <v>31/05/2024</v>
      </c>
      <c r="G216" s="15">
        <f t="shared" si="1"/>
        <v>2024</v>
      </c>
      <c r="H216" s="14" t="s">
        <v>23</v>
      </c>
      <c r="I216" s="16" t="s">
        <v>757</v>
      </c>
      <c r="J216" s="169" t="str">
        <f>IFERROR(__xludf.DUMMYFUNCTION("REGEXEXTRACT(S216, ""\.\s(.*?)\s*YouTube"")"),"Cronologia da Casa de Detenção de São Paulo (1956 a 1980).")</f>
        <v>Cronologia da Casa de Detenção de São Paulo (1956 a 1980).</v>
      </c>
      <c r="K216" s="16" t="s">
        <v>83</v>
      </c>
      <c r="L216" s="18" t="s">
        <v>329</v>
      </c>
      <c r="M216" s="15" t="str">
        <f>IFERROR(__xludf.DUMMYFUNCTION("IF(REGEXMATCH(S216, ""Companhia das Letras""), ""Companhia das Letras"",
IF(REGEXMATCH(S216, ""Labortexto Editorial""), ""Labortexto Editorial"",
IF(REGEXMATCH(S216, ""Geração Editorial""), ""Geração Editorial"",
IF(REGEXMATCH(S216, ""Editora Imprensa Ofi"&amp;"cial|Imprensa Oficial""), ""Editora Imprensa Oficial"",
IF(REGEXMATCH(S216, ""Folha Online""), ""Folha Online"",
IF(REGEXMATCH(S216, ""FGV DIREITO SP|FGV Direito SP""), ""FGV DIREITO SP"",
IF(REGEXMATCH(S216, ""massacrecarandiru\.org\.br""), ""Memória Mas"&amp;"sacre Carandiru"",
IF(REGEXMATCH(S216, ""Itaú Cultural""), ""YouTube (Itaú Cultural)"",
IF(REGEXMATCH(S216, ""Passa Palavra""), ""Vimeo (Passa Palavra)"",
IF(REGEXMATCH(S216, ""rede2deoutubro\.blogspot""), ""Blogspot (Rede 02 de Outubro)"",
IF(REGEXMATCH("&amp;"S216, ""Rede TVT""), ""YouTube (Rede TVT)"",
IF(REGEXMATCH(S216, ""Esquerda Diário""), ""Esquerda Diário"",
IF(REGEXMATCH(S216, ""GZH""), ""GZH"",
IF(REGEXMATCH(S216, ""TVPUC""), ""TVPUC"",
IF(REGEXMATCH(S216, ""Mídia Ninja.*Facebook""), ""Facebook (Mídia"&amp;" Ninja)"",
IF(REGEXMATCH(S216, ""Memórias Carandiru.*Instagram""), ""Instagram (Memórias Carandiru)"",
IF(REGEXMATCH(S216, ""Frente pelo Desencarceramento SP""), ""YouTube (Frente Pelo Desencarceramento SP)"",
IF(REGEXMATCH(S216, ""TV ABA""), ""YouTube (T"&amp;"V ABA)"",
IF(REGEXMATCH(S216, ""TV SENADO""), ""YouTube (TV Senado)"",
IF(REGEXMATCH(S216, ""Google Arts &amp; Culture""), ""Google Arts &amp; Culture (Memória Massacre Carandiru)"",
IF(REGEXMATCH(S216, ""Anistia Internacional|ANISTIA INTERNACIONAL""), ""Anistia "&amp;"Internacional"",
IF(REGEXMATCH(S216, ""47\.mostra|47a Mostra""), ""47a Mostra Internacional de Cinema em São Paulo"",
IF(REGEXMATCH(S216, ""Canal USP""), ""YouTube (Canal USP)"",
IF(AND(
  REGEXMATCH(S216, ""(?i)(teses?\.usp\.br|dissertacoes?\.usp\.br|rep"&amp;"ositorio\.usp\.br)""),
  NOT(REGEXMATCH(S216, ""Canal USP""))
), ""Biblioteca Digital de Teses e Dissertações da USP"",
IF(REGEXMATCH(S216, ""SINTRAJUSC""), ""SINTRAJUSC"",
IF(REGEXMATCH(S216, ""Agência Brasil|Agencia Brasil""), ""Agência Brasil"",
IF(REG"&amp;"EXMATCH(S216, ""Brasil de Fato""), ""Brasil de Fato"",
IF(REGEXMATCH(S216, ""Ponte Jornalismo|pontejornalismo""), ""Ponte Jornalismo"",
IF(REGEXMATCH(S216, ""letras\.mus\.br|Letras,""), ""Letras"",
IF(REGEXMATCH(S216, ""YouTube|youtube""), 
   ""YouTube "&amp;"(""&amp;
   IF(REGEXMATCH(S216, ""Itaú Cultural""), ""Itaú Cultural"",
   IF(REGEXMATCH(S216, ""Rede TVT""), ""Rede TVT"",
   IF(REGEXMATCH(S216, ""Frente pelo Desencarceramento SP""), ""Frente Pelo Desencarceramento SP"",
   IF(REGEXMATCH(S216, ""TV ABA""), "&amp;"""TV ABA"",
   IF(REGEXMATCH(S216, ""TV SENADO""), ""TV Senado"",
   IF(REGEXMATCH(S216, ""Canal USP""), ""Canal USP"",
   IF(REGEXMATCH(S216, ""Douer, Zack|Zack Douer""), ""Douer Zack"",
   IF(REGEXMATCH(S216, ""PRISIONEIRO 84\.901|PRISIONEIRO 84""), ""P"&amp;"risioneiro 84.901"",
   IF(REGEXMATCH(S216, ""^[^,]*, ""), 
        PROPER(REGEXREPLACE(REGEXEXTRACT(S216, ""^([^.]*)\.""), ""^([^,]*), (.*)"", ""$2 $1"")),
        PROPER(REGEXEXTRACT(S216, ""^([^.]*)\.""))
   )))))))))&amp;"")"",
IF(REGEXMATCH(S216, ""Spot"&amp;"ify|spotify""), 
   ""Spotify (""&amp;
   IF(REGEXMATCH(S216, ""ESTRANHO SORRISO""), ""Estranho Sorriso"",
   PROPER(REGEXEXTRACT(S216, ""^([^.]*)\.""))
   )&amp;"")"",
IF(REGEXMATCH(S216, ""Vimeo|vimeo""), 
   ""Vimeo (""&amp;
   IF(REGEXMATCH(S216, ""Passa Palavra"&amp;"""), ""Passa Palavra"",
   PROPER(REGEXEXTRACT(S216, ""^([^.]*)\.""))
   )&amp;"")"",
IF(REGEXMATCH(S216, ""Blogspot""), 
   ""Blogspot (""&amp;
   IF(REGEXMATCH(S216, ""rede2deoutubro""), ""Rede 02 de Outubro"",
   PROPER(REGEXEXTRACT(S216, ""^([^.]*)\.""))
   "&amp;")&amp;"")"",
IF(REGEXMATCH(S216, ""Facebook""), 
   ""Facebook (""&amp;
   IF(REGEXMATCH(S216, ""Mídia Ninja""), ""Mídia Ninja"",
   PROPER(REGEXEXTRACT(S216, ""^([^.]*)\.""))
   )&amp;"")"",
IF(REGEXMATCH(S216, ""Instagram""), 
   ""Instagram (""&amp;
   IF(REGEXMATCH"&amp;"(S216, ""Memórias Carandiru""), ""Memórias Carandiru"",
   PROPER(REGEXEXTRACT(S216, ""^([^.]*)\.""))
   )&amp;"")"",
IF(REGEXMATCH(S216, ""Folha de S\. Paulo|FOLHA DE S\. PAULO""), ""Folha de S. Paulo"",
IF(REGEXMATCH(S216, ""O Estado de S\. Paulo|ESTADAO"""&amp;"), ""O Estado de S. Paulo"",
IF(REGEXMATCH(S216, ""salasecreta""), ""Wordpress (Sala Secreta)"",
IF(REGEXMATCH(S216, ""Wikipedia|Wikipédia|WIKIPÉDIA""), ""Wikipedia"",
IF(REGEXMATCH(S216, ""VEJA|Veja""), ""Veja Abril"",
IF(REGEXMATCH(S489, ""Rede Globo|RE"&amp;"DE GLOBO""), ""Rede Globo"",
IF(REGEXMATCH(S489, ""G1|globo\.com""), ""G1"",
IF(REGEXMATCH(S216, ""Deutsche Welle|DW\.com""), ""Deutsche Welle"",
IF(REGEXMATCH(S216, ""CIDH|Comissão Interamericana""), ""Comissão Interamericana de Direitos Humanos (CIDH)"""&amp;",
IF(REGEXMATCH(S216, ""Pastoral Carcerária""), ""Pastoral Carcerária"",
IF(REGEXMATCH(S216, ""Esquerda Web""), ""Esquerda Web"",
IF(REGEXMATCH(S216, ""ONU|Organização das Nações Unidas""), ""ONU Brasil"",
IF(REGEXMATCH(S216, ""Quilombo Invisível""), ""Qu"&amp;"ilombo Invisível"",
IF(REGEXMATCH(S216, ""ALESP|Assembleia Legislativa""), ""ALESP"",
IF(REGEXMATCH(S216, ""Revista Opera""), ""Revista Opera"",
IF(REGEXMATCH(S216, ""SP Escola de Teatro""), ""SP Escola de Teatro"",
IF(REGEXMATCH(S216, ""EMC|Espaço Memóri"&amp;"a Carandiru""), ""EMC Espaço Memória Carandiru"",
IF(REGEXMATCH(S216, ""^RAMOS, Nuno|Nuno Ramos""), ""Nuno Ramos"",
IF(REGEXMATCH(S216, ""^VELOSO, Caetano|Caetano Veloso""), ""YouTube (Caetano Veloso)"",
IF(REGEXMATCH(S216, ""^FATOS REAIS""), ""YouTube ("&amp;"Fatos Reais - Topic)"",
IF(REGEXMATCH(S216, ""^SALA SECRETA""), ""Wordpress (Sala Secreta)"",
PROPER(REGEXEXTRACT(S216, ""^([^.]*)\.""))
))))))))))))))))))))))))))))))))))))))))))))))))))))))))"),"YouTube (Prisioneiro 84.901)")</f>
        <v>YouTube (Prisioneiro 84.901)</v>
      </c>
      <c r="N216" s="11" t="s">
        <v>47</v>
      </c>
      <c r="O216" s="14" t="s">
        <v>546</v>
      </c>
      <c r="P216" s="171">
        <v>45946.0</v>
      </c>
      <c r="Q216" s="11" t="s">
        <v>154</v>
      </c>
      <c r="R216" s="70" t="str">
        <f t="shared" si="8"/>
        <v>Aqui</v>
      </c>
      <c r="S216" s="172" t="s">
        <v>980</v>
      </c>
    </row>
    <row r="217">
      <c r="A217" s="11">
        <v>215.0</v>
      </c>
      <c r="B217" s="11" t="s">
        <v>703</v>
      </c>
      <c r="C217" s="12" t="str">
        <f>IFERROR(__xludf.DUMMYFUNCTION("IF(B217="""","""",IF(OR(
  REGEXMATCH(B217,""Performance|Instalação|Álbum|Música|Poema|Livro|Filme|Documentário|Recitação|Espetáculo|Peça|Intervenção|Desfile|Fotografia|Exposição|Charge|Grafite|Leitura pública|Fabricação de cachaça artesanal""),
  REGEXMA"&amp;"TCH(B217,""dança|teatral|artístico|musical|artística"")
),""Manifestação artístico-cultural"",
IF(OR(
  REGEXMATCH(B217,""Crônica|Série|Reportagem|Podcast|Audiotour|Entrevista|Vídeo|Rádio""),
  REGEXMATCH(B217,""midiática"")
),""Produção midiática"","""")"&amp;"))
"),"Produção midiática")</f>
        <v>Produção midiática</v>
      </c>
      <c r="D217" s="13" t="str">
        <f>IFERROR(__xludf.DUMMYFUNCTION("IF(B217="""","""",IF(OR(
  REGEXMATCH(B217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REGEXMATCH(B217,""público|Imediato|artística|teatral|memória"")
),""Público Imediato"",
IF(REGEXMATCH(B217,""Música|Álbum|Filme|Documentário|Série|Podc"&amp;"ast|Rádio|Audiotour|Entrevista|Reportagem|Crônica|Relatório|Abaixo-assinado|Manifesto|Petição|Poema|Livro|Fotografia|Curta|Live|Webinário|Charge|Leitura pública|Vídeo""),
""Público Mediado"","""")))
"),"Público Mediado")</f>
        <v>Público Mediado</v>
      </c>
      <c r="E217" s="13" t="str">
        <f>IFERROR(__xludf.DUMMYFUNCTION("IF(B217="""","""",IF(OR(
  REGEXMATCH(B217,""Live|Webinário|Virtual""),
  REGEXMATCH(B217,""online"")
),""Virtual"",
IF(REGEXMATCH(B217,""Música|Álbum|Filme|Documentário|Série|Podcast|Rádio|Audiotour|Episódio|Reportagem|Curta|Charge|Livro|Vídeo|Entrevista"&amp;"""),
""Midiático"",
IF(REGEXMATCH(B217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7" s="211" t="str">
        <f>IFERROR(__xludf.DUMMYFUNCTION("IF(REGEXMATCH(S217,""YouTube""),
  REGEXREPLACE(
    REGEXREPLACE(
      REGEXREPLACE(
        REGEXREPLACE(
          REGEXREPLACE(
            REGEXREPLACE(
              REGEXREPLACE(
                REGEXREPLACE(
                  REGEXREPLACE(
      "&amp;"              REGEXREPLACE(
                      REGEXREPLACE(
                        REGEXREPLACE(
                          REGEXREPLACE(
                            REGEXEXTRACT(S217,""YouTube, ([0-9]{1,2} [a-z]{3,8}\. [0-9]{4})""),
                 "&amp;"         "" jan\. "",""\/01\/""),
                        "" fev\. "",""\/02\/""),
                      "" mar\. "",""\/03\/""),
                    "" abr\. "",""\/04\/""),
                  "" mai\. "",""\/05\/""),
                "" jun\. "",""\/06\/"&amp;"""),
              "" jul\. "",""\/07\/""),
            "" ago\. "",""\/08\/""),
          "" set\. "",""\/09\/""),
        "" out\. "",""\/10\/""),
      "" nov\. "",""\/11\/""),
    "" dez\. "",""\/12\/""),
  ""\s*/\s*"",""/""),
"""")
"),"1/06/2024")</f>
        <v>1/06/2024</v>
      </c>
      <c r="G217" s="15">
        <f t="shared" si="1"/>
        <v>2024</v>
      </c>
      <c r="H217" s="14" t="s">
        <v>23</v>
      </c>
      <c r="I217" s="16" t="s">
        <v>757</v>
      </c>
      <c r="J217" s="169" t="str">
        <f>IFERROR(__xludf.DUMMYFUNCTION("REGEXEXTRACT(S217, ""\.\s(.*?)\s*YouTube"")"),"Acordando no outro dia Pv.9: cronologia da Casa de Detenção de SP de 1981 a 1993.")</f>
        <v>Acordando no outro dia Pv.9: cronologia da Casa de Detenção de SP de 1981 a 1993.</v>
      </c>
      <c r="K217" s="16" t="s">
        <v>83</v>
      </c>
      <c r="L217" s="18" t="s">
        <v>329</v>
      </c>
      <c r="M217" s="15" t="str">
        <f>IFERROR(__xludf.DUMMYFUNCTION("IF(REGEXMATCH(S217, ""Companhia das Letras""), ""Companhia das Letras"",
IF(REGEXMATCH(S217, ""Labortexto Editorial""), ""Labortexto Editorial"",
IF(REGEXMATCH(S217, ""Geração Editorial""), ""Geração Editorial"",
IF(REGEXMATCH(S217, ""Editora Imprensa Ofi"&amp;"cial|Imprensa Oficial""), ""Editora Imprensa Oficial"",
IF(REGEXMATCH(S217, ""Folha Online""), ""Folha Online"",
IF(REGEXMATCH(S217, ""FGV DIREITO SP|FGV Direito SP""), ""FGV DIREITO SP"",
IF(REGEXMATCH(S217, ""massacrecarandiru\.org\.br""), ""Memória Mas"&amp;"sacre Carandiru"",
IF(REGEXMATCH(S217, ""Itaú Cultural""), ""YouTube (Itaú Cultural)"",
IF(REGEXMATCH(S217, ""Passa Palavra""), ""Vimeo (Passa Palavra)"",
IF(REGEXMATCH(S217, ""rede2deoutubro\.blogspot""), ""Blogspot (Rede 02 de Outubro)"",
IF(REGEXMATCH("&amp;"S217, ""Rede TVT""), ""YouTube (Rede TVT)"",
IF(REGEXMATCH(S217, ""Esquerda Diário""), ""Esquerda Diário"",
IF(REGEXMATCH(S217, ""GZH""), ""GZH"",
IF(REGEXMATCH(S217, ""TVPUC""), ""TVPUC"",
IF(REGEXMATCH(S217, ""Mídia Ninja.*Facebook""), ""Facebook (Mídia"&amp;" Ninja)"",
IF(REGEXMATCH(S217, ""Memórias Carandiru.*Instagram""), ""Instagram (Memórias Carandiru)"",
IF(REGEXMATCH(S217, ""Frente pelo Desencarceramento SP""), ""YouTube (Frente Pelo Desencarceramento SP)"",
IF(REGEXMATCH(S217, ""TV ABA""), ""YouTube (T"&amp;"V ABA)"",
IF(REGEXMATCH(S217, ""TV SENADO""), ""YouTube (TV Senado)"",
IF(REGEXMATCH(S217, ""Google Arts &amp; Culture""), ""Google Arts &amp; Culture (Memória Massacre Carandiru)"",
IF(REGEXMATCH(S217, ""Anistia Internacional|ANISTIA INTERNACIONAL""), ""Anistia "&amp;"Internacional"",
IF(REGEXMATCH(S217, ""47\.mostra|47a Mostra""), ""47a Mostra Internacional de Cinema em São Paulo"",
IF(REGEXMATCH(S217, ""Canal USP""), ""YouTube (Canal USP)"",
IF(AND(
  REGEXMATCH(S217, ""(?i)(teses?\.usp\.br|dissertacoes?\.usp\.br|rep"&amp;"ositorio\.usp\.br)""),
  NOT(REGEXMATCH(S217, ""Canal USP""))
), ""Biblioteca Digital de Teses e Dissertações da USP"",
IF(REGEXMATCH(S217, ""SINTRAJUSC""), ""SINTRAJUSC"",
IF(REGEXMATCH(S217, ""Agência Brasil|Agencia Brasil""), ""Agência Brasil"",
IF(REG"&amp;"EXMATCH(S217, ""Brasil de Fato""), ""Brasil de Fato"",
IF(REGEXMATCH(S217, ""Ponte Jornalismo|pontejornalismo""), ""Ponte Jornalismo"",
IF(REGEXMATCH(S217, ""letras\.mus\.br|Letras,""), ""Letras"",
IF(REGEXMATCH(S217, ""YouTube|youtube""), 
   ""YouTube "&amp;"(""&amp;
   IF(REGEXMATCH(S217, ""Itaú Cultural""), ""Itaú Cultural"",
   IF(REGEXMATCH(S217, ""Rede TVT""), ""Rede TVT"",
   IF(REGEXMATCH(S217, ""Frente pelo Desencarceramento SP""), ""Frente Pelo Desencarceramento SP"",
   IF(REGEXMATCH(S217, ""TV ABA""), "&amp;"""TV ABA"",
   IF(REGEXMATCH(S217, ""TV SENADO""), ""TV Senado"",
   IF(REGEXMATCH(S217, ""Canal USP""), ""Canal USP"",
   IF(REGEXMATCH(S217, ""Douer, Zack|Zack Douer""), ""Douer Zack"",
   IF(REGEXMATCH(S217, ""PRISIONEIRO 84\.901|PRISIONEIRO 84""), ""P"&amp;"risioneiro 84.901"",
   IF(REGEXMATCH(S217, ""^[^,]*, ""), 
        PROPER(REGEXREPLACE(REGEXEXTRACT(S217, ""^([^.]*)\.""), ""^([^,]*), (.*)"", ""$2 $1"")),
        PROPER(REGEXEXTRACT(S217, ""^([^.]*)\.""))
   )))))))))&amp;"")"",
IF(REGEXMATCH(S217, ""Spot"&amp;"ify|spotify""), 
   ""Spotify (""&amp;
   IF(REGEXMATCH(S217, ""ESTRANHO SORRISO""), ""Estranho Sorriso"",
   PROPER(REGEXEXTRACT(S217, ""^([^.]*)\.""))
   )&amp;"")"",
IF(REGEXMATCH(S217, ""Vimeo|vimeo""), 
   ""Vimeo (""&amp;
   IF(REGEXMATCH(S217, ""Passa Palavra"&amp;"""), ""Passa Palavra"",
   PROPER(REGEXEXTRACT(S217, ""^([^.]*)\.""))
   )&amp;"")"",
IF(REGEXMATCH(S217, ""Blogspot""), 
   ""Blogspot (""&amp;
   IF(REGEXMATCH(S217, ""rede2deoutubro""), ""Rede 02 de Outubro"",
   PROPER(REGEXEXTRACT(S217, ""^([^.]*)\.""))
   "&amp;")&amp;"")"",
IF(REGEXMATCH(S217, ""Facebook""), 
   ""Facebook (""&amp;
   IF(REGEXMATCH(S217, ""Mídia Ninja""), ""Mídia Ninja"",
   PROPER(REGEXEXTRACT(S217, ""^([^.]*)\.""))
   )&amp;"")"",
IF(REGEXMATCH(S217, ""Instagram""), 
   ""Instagram (""&amp;
   IF(REGEXMATCH"&amp;"(S217, ""Memórias Carandiru""), ""Memórias Carandiru"",
   PROPER(REGEXEXTRACT(S217, ""^([^.]*)\.""))
   )&amp;"")"",
IF(REGEXMATCH(S217, ""Folha de S\. Paulo|FOLHA DE S\. PAULO""), ""Folha de S. Paulo"",
IF(REGEXMATCH(S217, ""O Estado de S\. Paulo|ESTADAO"""&amp;"), ""O Estado de S. Paulo"",
IF(REGEXMATCH(S217, ""salasecreta""), ""Wordpress (Sala Secreta)"",
IF(REGEXMATCH(S217, ""Wikipedia|Wikipédia|WIKIPÉDIA""), ""Wikipedia"",
IF(REGEXMATCH(S217, ""VEJA|Veja""), ""Veja Abril"",
IF(REGEXMATCH(S490, ""Rede Globo|RE"&amp;"DE GLOBO""), ""Rede Globo"",
IF(REGEXMATCH(S490, ""G1|globo\.com""), ""G1"",
IF(REGEXMATCH(S217, ""Deutsche Welle|DW\.com""), ""Deutsche Welle"",
IF(REGEXMATCH(S217, ""CIDH|Comissão Interamericana""), ""Comissão Interamericana de Direitos Humanos (CIDH)"""&amp;",
IF(REGEXMATCH(S217, ""Pastoral Carcerária""), ""Pastoral Carcerária"",
IF(REGEXMATCH(S217, ""Esquerda Web""), ""Esquerda Web"",
IF(REGEXMATCH(S217, ""ONU|Organização das Nações Unidas""), ""ONU Brasil"",
IF(REGEXMATCH(S217, ""Quilombo Invisível""), ""Qu"&amp;"ilombo Invisível"",
IF(REGEXMATCH(S217, ""ALESP|Assembleia Legislativa""), ""ALESP"",
IF(REGEXMATCH(S217, ""Revista Opera""), ""Revista Opera"",
IF(REGEXMATCH(S217, ""SP Escola de Teatro""), ""SP Escola de Teatro"",
IF(REGEXMATCH(S217, ""EMC|Espaço Memóri"&amp;"a Carandiru""), ""EMC Espaço Memória Carandiru"",
IF(REGEXMATCH(S217, ""^RAMOS, Nuno|Nuno Ramos""), ""Nuno Ramos"",
IF(REGEXMATCH(S217, ""^VELOSO, Caetano|Caetano Veloso""), ""YouTube (Caetano Veloso)"",
IF(REGEXMATCH(S217, ""^FATOS REAIS""), ""YouTube ("&amp;"Fatos Reais - Topic)"",
IF(REGEXMATCH(S217, ""^SALA SECRETA""), ""Wordpress (Sala Secreta)"",
PROPER(REGEXEXTRACT(S217, ""^([^.]*)\.""))
))))))))))))))))))))))))))))))))))))))))))))))))))))))))"),"YouTube (Prisioneiro 84.901)")</f>
        <v>YouTube (Prisioneiro 84.901)</v>
      </c>
      <c r="N217" s="11" t="s">
        <v>47</v>
      </c>
      <c r="O217" s="14" t="s">
        <v>546</v>
      </c>
      <c r="P217" s="171">
        <v>45946.0</v>
      </c>
      <c r="Q217" s="11" t="s">
        <v>154</v>
      </c>
      <c r="R217" s="70" t="str">
        <f t="shared" si="8"/>
        <v>Aqui</v>
      </c>
      <c r="S217" s="172" t="s">
        <v>981</v>
      </c>
    </row>
    <row r="218">
      <c r="A218" s="11">
        <v>216.0</v>
      </c>
      <c r="B218" s="11" t="s">
        <v>703</v>
      </c>
      <c r="C218" s="12" t="str">
        <f>IFERROR(__xludf.DUMMYFUNCTION("IF(B218="""","""",IF(OR(
  REGEXMATCH(B218,""Performance|Instalação|Álbum|Música|Poema|Livro|Filme|Documentário|Recitação|Espetáculo|Peça|Intervenção|Desfile|Fotografia|Exposição|Charge|Grafite|Leitura pública|Fabricação de cachaça artesanal""),
  REGEXMA"&amp;"TCH(B218,""dança|teatral|artístico|musical|artística"")
),""Manifestação artístico-cultural"",
IF(OR(
  REGEXMATCH(B218,""Crônica|Série|Reportagem|Podcast|Audiotour|Entrevista|Vídeo|Rádio""),
  REGEXMATCH(B218,""midiática"")
),""Produção midiática"","""")"&amp;"))
"),"Produção midiática")</f>
        <v>Produção midiática</v>
      </c>
      <c r="D218" s="13" t="str">
        <f>IFERROR(__xludf.DUMMYFUNCTION("IF(B218="""","""",IF(OR(
  REGEXMATCH(B218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REGEXMATCH(B218,""público|Imediato|artística|teatral|memória"")
),""Público Imediato"",
IF(REGEXMATCH(B218,""Música|Álbum|Filme|Documentário|Série|Podc"&amp;"ast|Rádio|Audiotour|Entrevista|Reportagem|Crônica|Relatório|Abaixo-assinado|Manifesto|Petição|Poema|Livro|Fotografia|Curta|Live|Webinário|Charge|Leitura pública|Vídeo""),
""Público Mediado"","""")))
"),"Público Mediado")</f>
        <v>Público Mediado</v>
      </c>
      <c r="E218" s="13" t="str">
        <f>IFERROR(__xludf.DUMMYFUNCTION("IF(B218="""","""",IF(OR(
  REGEXMATCH(B218,""Live|Webinário|Virtual""),
  REGEXMATCH(B218,""online"")
),""Virtual"",
IF(REGEXMATCH(B218,""Música|Álbum|Filme|Documentário|Série|Podcast|Rádio|Audiotour|Episódio|Reportagem|Curta|Charge|Livro|Vídeo|Entrevista"&amp;"""),
""Midiático"",
IF(REGEXMATCH(B218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8" s="211" t="str">
        <f>IFERROR(__xludf.DUMMYFUNCTION("IF(REGEXMATCH(S218,""YouTube""),
  REGEXREPLACE(
    REGEXREPLACE(
      REGEXREPLACE(
        REGEXREPLACE(
          REGEXREPLACE(
            REGEXREPLACE(
              REGEXREPLACE(
                REGEXREPLACE(
                  REGEXREPLACE(
      "&amp;"              REGEXREPLACE(
                      REGEXREPLACE(
                        REGEXREPLACE(
                          REGEXREPLACE(
                            REGEXEXTRACT(S218,""YouTube, ([0-9]{1,2} [a-z]{3,8}\. [0-9]{4})""),
                 "&amp;"         "" jan\. "",""\/01\/""),
                        "" fev\. "",""\/02\/""),
                      "" mar\. "",""\/03\/""),
                    "" abr\. "",""\/04\/""),
                  "" mai\. "",""\/05\/""),
                "" jun\. "",""\/06\/"&amp;"""),
              "" jul\. "",""\/07\/""),
            "" ago\. "",""\/08\/""),
          "" set\. "",""\/09\/""),
        "" out\. "",""\/10\/""),
      "" nov\. "",""\/11\/""),
    "" dez\. "",""\/12\/""),
  ""\s*/\s*"",""/""),
"""")
"),"9/06/2024")</f>
        <v>9/06/2024</v>
      </c>
      <c r="G218" s="15">
        <f t="shared" si="1"/>
        <v>2024</v>
      </c>
      <c r="H218" s="14" t="s">
        <v>23</v>
      </c>
      <c r="I218" s="16" t="s">
        <v>757</v>
      </c>
      <c r="J218" s="169" t="str">
        <f>IFERROR(__xludf.DUMMYFUNCTION("REGEXEXTRACT(S218, ""\.\s(.*?)\s*YouTube"")"),"Casa de Detenção de SP: cronologia de 1995 a 2000.")</f>
        <v>Casa de Detenção de SP: cronologia de 1995 a 2000.</v>
      </c>
      <c r="K218" s="16" t="s">
        <v>83</v>
      </c>
      <c r="L218" s="18" t="s">
        <v>329</v>
      </c>
      <c r="M218" s="15" t="str">
        <f>IFERROR(__xludf.DUMMYFUNCTION("IF(REGEXMATCH(S218, ""Companhia das Letras""), ""Companhia das Letras"",
IF(REGEXMATCH(S218, ""Labortexto Editorial""), ""Labortexto Editorial"",
IF(REGEXMATCH(S218, ""Geração Editorial""), ""Geração Editorial"",
IF(REGEXMATCH(S218, ""Editora Imprensa Ofi"&amp;"cial|Imprensa Oficial""), ""Editora Imprensa Oficial"",
IF(REGEXMATCH(S218, ""Folha Online""), ""Folha Online"",
IF(REGEXMATCH(S218, ""FGV DIREITO SP|FGV Direito SP""), ""FGV DIREITO SP"",
IF(REGEXMATCH(S218, ""massacrecarandiru\.org\.br""), ""Memória Mas"&amp;"sacre Carandiru"",
IF(REGEXMATCH(S218, ""Itaú Cultural""), ""YouTube (Itaú Cultural)"",
IF(REGEXMATCH(S218, ""Passa Palavra""), ""Vimeo (Passa Palavra)"",
IF(REGEXMATCH(S218, ""rede2deoutubro\.blogspot""), ""Blogspot (Rede 02 de Outubro)"",
IF(REGEXMATCH("&amp;"S218, ""Rede TVT""), ""YouTube (Rede TVT)"",
IF(REGEXMATCH(S218, ""Esquerda Diário""), ""Esquerda Diário"",
IF(REGEXMATCH(S218, ""GZH""), ""GZH"",
IF(REGEXMATCH(S218, ""TVPUC""), ""TVPUC"",
IF(REGEXMATCH(S218, ""Mídia Ninja.*Facebook""), ""Facebook (Mídia"&amp;" Ninja)"",
IF(REGEXMATCH(S218, ""Memórias Carandiru.*Instagram""), ""Instagram (Memórias Carandiru)"",
IF(REGEXMATCH(S218, ""Frente pelo Desencarceramento SP""), ""YouTube (Frente Pelo Desencarceramento SP)"",
IF(REGEXMATCH(S218, ""TV ABA""), ""YouTube (T"&amp;"V ABA)"",
IF(REGEXMATCH(S218, ""TV SENADO""), ""YouTube (TV Senado)"",
IF(REGEXMATCH(S218, ""Google Arts &amp; Culture""), ""Google Arts &amp; Culture (Memória Massacre Carandiru)"",
IF(REGEXMATCH(S218, ""Anistia Internacional|ANISTIA INTERNACIONAL""), ""Anistia "&amp;"Internacional"",
IF(REGEXMATCH(S218, ""47\.mostra|47a Mostra""), ""47a Mostra Internacional de Cinema em São Paulo"",
IF(REGEXMATCH(S218, ""Canal USP""), ""YouTube (Canal USP)"",
IF(AND(
  REGEXMATCH(S218, ""(?i)(teses?\.usp\.br|dissertacoes?\.usp\.br|rep"&amp;"ositorio\.usp\.br)""),
  NOT(REGEXMATCH(S218, ""Canal USP""))
), ""Biblioteca Digital de Teses e Dissertações da USP"",
IF(REGEXMATCH(S218, ""SINTRAJUSC""), ""SINTRAJUSC"",
IF(REGEXMATCH(S218, ""Agência Brasil|Agencia Brasil""), ""Agência Brasil"",
IF(REG"&amp;"EXMATCH(S218, ""Brasil de Fato""), ""Brasil de Fato"",
IF(REGEXMATCH(S218, ""Ponte Jornalismo|pontejornalismo""), ""Ponte Jornalismo"",
IF(REGEXMATCH(S218, ""letras\.mus\.br|Letras,""), ""Letras"",
IF(REGEXMATCH(S218, ""YouTube|youtube""), 
   ""YouTube "&amp;"(""&amp;
   IF(REGEXMATCH(S218, ""Itaú Cultural""), ""Itaú Cultural"",
   IF(REGEXMATCH(S218, ""Rede TVT""), ""Rede TVT"",
   IF(REGEXMATCH(S218, ""Frente pelo Desencarceramento SP""), ""Frente Pelo Desencarceramento SP"",
   IF(REGEXMATCH(S218, ""TV ABA""), "&amp;"""TV ABA"",
   IF(REGEXMATCH(S218, ""TV SENADO""), ""TV Senado"",
   IF(REGEXMATCH(S218, ""Canal USP""), ""Canal USP"",
   IF(REGEXMATCH(S218, ""Douer, Zack|Zack Douer""), ""Douer Zack"",
   IF(REGEXMATCH(S218, ""PRISIONEIRO 84\.901|PRISIONEIRO 84""), ""P"&amp;"risioneiro 84.901"",
   IF(REGEXMATCH(S218, ""^[^,]*, ""), 
        PROPER(REGEXREPLACE(REGEXEXTRACT(S218, ""^([^.]*)\.""), ""^([^,]*), (.*)"", ""$2 $1"")),
        PROPER(REGEXEXTRACT(S218, ""^([^.]*)\.""))
   )))))))))&amp;"")"",
IF(REGEXMATCH(S218, ""Spot"&amp;"ify|spotify""), 
   ""Spotify (""&amp;
   IF(REGEXMATCH(S218, ""ESTRANHO SORRISO""), ""Estranho Sorriso"",
   PROPER(REGEXEXTRACT(S218, ""^([^.]*)\.""))
   )&amp;"")"",
IF(REGEXMATCH(S218, ""Vimeo|vimeo""), 
   ""Vimeo (""&amp;
   IF(REGEXMATCH(S218, ""Passa Palavra"&amp;"""), ""Passa Palavra"",
   PROPER(REGEXEXTRACT(S218, ""^([^.]*)\.""))
   )&amp;"")"",
IF(REGEXMATCH(S218, ""Blogspot""), 
   ""Blogspot (""&amp;
   IF(REGEXMATCH(S218, ""rede2deoutubro""), ""Rede 02 de Outubro"",
   PROPER(REGEXEXTRACT(S218, ""^([^.]*)\.""))
   "&amp;")&amp;"")"",
IF(REGEXMATCH(S218, ""Facebook""), 
   ""Facebook (""&amp;
   IF(REGEXMATCH(S218, ""Mídia Ninja""), ""Mídia Ninja"",
   PROPER(REGEXEXTRACT(S218, ""^([^.]*)\.""))
   )&amp;"")"",
IF(REGEXMATCH(S218, ""Instagram""), 
   ""Instagram (""&amp;
   IF(REGEXMATCH"&amp;"(S218, ""Memórias Carandiru""), ""Memórias Carandiru"",
   PROPER(REGEXEXTRACT(S218, ""^([^.]*)\.""))
   )&amp;"")"",
IF(REGEXMATCH(S218, ""Folha de S\. Paulo|FOLHA DE S\. PAULO""), ""Folha de S. Paulo"",
IF(REGEXMATCH(S218, ""O Estado de S\. Paulo|ESTADAO"""&amp;"), ""O Estado de S. Paulo"",
IF(REGEXMATCH(S218, ""salasecreta""), ""Wordpress (Sala Secreta)"",
IF(REGEXMATCH(S218, ""Wikipedia|Wikipédia|WIKIPÉDIA""), ""Wikipedia"",
IF(REGEXMATCH(S218, ""VEJA|Veja""), ""Veja Abril"",
IF(REGEXMATCH(S491, ""Rede Globo|RE"&amp;"DE GLOBO""), ""Rede Globo"",
IF(REGEXMATCH(S491, ""G1|globo\.com""), ""G1"",
IF(REGEXMATCH(S218, ""Deutsche Welle|DW\.com""), ""Deutsche Welle"",
IF(REGEXMATCH(S218, ""CIDH|Comissão Interamericana""), ""Comissão Interamericana de Direitos Humanos (CIDH)"""&amp;",
IF(REGEXMATCH(S218, ""Pastoral Carcerária""), ""Pastoral Carcerária"",
IF(REGEXMATCH(S218, ""Esquerda Web""), ""Esquerda Web"",
IF(REGEXMATCH(S218, ""ONU|Organização das Nações Unidas""), ""ONU Brasil"",
IF(REGEXMATCH(S218, ""Quilombo Invisível""), ""Qu"&amp;"ilombo Invisível"",
IF(REGEXMATCH(S218, ""ALESP|Assembleia Legislativa""), ""ALESP"",
IF(REGEXMATCH(S218, ""Revista Opera""), ""Revista Opera"",
IF(REGEXMATCH(S218, ""SP Escola de Teatro""), ""SP Escola de Teatro"",
IF(REGEXMATCH(S218, ""EMC|Espaço Memóri"&amp;"a Carandiru""), ""EMC Espaço Memória Carandiru"",
IF(REGEXMATCH(S218, ""^RAMOS, Nuno|Nuno Ramos""), ""Nuno Ramos"",
IF(REGEXMATCH(S218, ""^VELOSO, Caetano|Caetano Veloso""), ""YouTube (Caetano Veloso)"",
IF(REGEXMATCH(S218, ""^FATOS REAIS""), ""YouTube ("&amp;"Fatos Reais - Topic)"",
IF(REGEXMATCH(S218, ""^SALA SECRETA""), ""Wordpress (Sala Secreta)"",
PROPER(REGEXEXTRACT(S218, ""^([^.]*)\.""))
))))))))))))))))))))))))))))))))))))))))))))))))))))))))"),"YouTube (Prisioneiro 84.901)")</f>
        <v>YouTube (Prisioneiro 84.901)</v>
      </c>
      <c r="N218" s="11" t="s">
        <v>47</v>
      </c>
      <c r="O218" s="14" t="s">
        <v>546</v>
      </c>
      <c r="P218" s="171">
        <v>45946.0</v>
      </c>
      <c r="Q218" s="11" t="s">
        <v>154</v>
      </c>
      <c r="R218" s="70" t="str">
        <f t="shared" si="8"/>
        <v>Aqui</v>
      </c>
      <c r="S218" s="172" t="s">
        <v>982</v>
      </c>
    </row>
    <row r="219">
      <c r="A219" s="11">
        <v>217.0</v>
      </c>
      <c r="B219" s="11" t="s">
        <v>703</v>
      </c>
      <c r="C219" s="12" t="str">
        <f>IFERROR(__xludf.DUMMYFUNCTION("IF(B219="""","""",IF(OR(
  REGEXMATCH(B219,""Performance|Instalação|Álbum|Música|Poema|Livro|Filme|Documentário|Recitação|Espetáculo|Peça|Intervenção|Desfile|Fotografia|Exposição|Charge|Grafite|Leitura pública|Fabricação de cachaça artesanal""),
  REGEXMA"&amp;"TCH(B219,""dança|teatral|artístico|musical|artística"")
),""Manifestação artístico-cultural"",
IF(OR(
  REGEXMATCH(B219,""Crônica|Série|Reportagem|Podcast|Audiotour|Entrevista|Vídeo|Rádio""),
  REGEXMATCH(B219,""midiática"")
),""Produção midiática"","""")"&amp;"))
"),"Produção midiática")</f>
        <v>Produção midiática</v>
      </c>
      <c r="D219" s="13" t="str">
        <f>IFERROR(__xludf.DUMMYFUNCTION("IF(B219="""","""",IF(OR(
  REGEXMATCH(B219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REGEXMATCH(B219,""público|Imediato|artística|teatral|memória"")
),""Público Imediato"",
IF(REGEXMATCH(B219,""Música|Álbum|Filme|Documentário|Série|Podc"&amp;"ast|Rádio|Audiotour|Entrevista|Reportagem|Crônica|Relatório|Abaixo-assinado|Manifesto|Petição|Poema|Livro|Fotografia|Curta|Live|Webinário|Charge|Leitura pública|Vídeo""),
""Público Mediado"","""")))
"),"Público Mediado")</f>
        <v>Público Mediado</v>
      </c>
      <c r="E219" s="13" t="str">
        <f>IFERROR(__xludf.DUMMYFUNCTION("IF(B219="""","""",IF(OR(
  REGEXMATCH(B219,""Live|Webinário|Virtual""),
  REGEXMATCH(B219,""online"")
),""Virtual"",
IF(REGEXMATCH(B219,""Música|Álbum|Filme|Documentário|Série|Podcast|Rádio|Audiotour|Episódio|Reportagem|Curta|Charge|Livro|Vídeo|Entrevista"&amp;"""),
""Midiático"",
IF(REGEXMATCH(B219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9" s="211" t="str">
        <f>IFERROR(__xludf.DUMMYFUNCTION("IF(REGEXMATCH(S219,""YouTube""),
  REGEXREPLACE(
    REGEXREPLACE(
      REGEXREPLACE(
        REGEXREPLACE(
          REGEXREPLACE(
            REGEXREPLACE(
              REGEXREPLACE(
                REGEXREPLACE(
                  REGEXREPLACE(
      "&amp;"              REGEXREPLACE(
                      REGEXREPLACE(
                        REGEXREPLACE(
                          REGEXREPLACE(
                            REGEXEXTRACT(S219,""YouTube, ([0-9]{1,2} [a-z]{3,8}\. [0-9]{4})""),
                 "&amp;"         "" jan\. "",""\/01\/""),
                        "" fev\. "",""\/02\/""),
                      "" mar\. "",""\/03\/""),
                    "" abr\. "",""\/04\/""),
                  "" mai\. "",""\/05\/""),
                "" jun\. "",""\/06\/"&amp;"""),
              "" jul\. "",""\/07\/""),
            "" ago\. "",""\/08\/""),
          "" set\. "",""\/09\/""),
        "" out\. "",""\/10\/""),
      "" nov\. "",""\/11\/""),
    "" dez\. "",""\/12\/""),
  ""\s*/\s*"",""/""),
"""")
"),"21/04/2024")</f>
        <v>21/04/2024</v>
      </c>
      <c r="G219" s="15">
        <f t="shared" si="1"/>
        <v>2024</v>
      </c>
      <c r="H219" s="14" t="s">
        <v>23</v>
      </c>
      <c r="I219" s="16" t="s">
        <v>757</v>
      </c>
      <c r="J219" s="169" t="str">
        <f>IFERROR(__xludf.DUMMYFUNCTION("REGEXEXTRACT(S219, ""\.\s(.*?)\s*YouTube"")"),"Realidades e mitos do Carandiru.")</f>
        <v>Realidades e mitos do Carandiru.</v>
      </c>
      <c r="K219" s="16" t="s">
        <v>83</v>
      </c>
      <c r="L219" s="18" t="s">
        <v>329</v>
      </c>
      <c r="M219" s="15" t="str">
        <f>IFERROR(__xludf.DUMMYFUNCTION("IF(REGEXMATCH(S219, ""Companhia das Letras""), ""Companhia das Letras"",
IF(REGEXMATCH(S219, ""Labortexto Editorial""), ""Labortexto Editorial"",
IF(REGEXMATCH(S219, ""Geração Editorial""), ""Geração Editorial"",
IF(REGEXMATCH(S219, ""Editora Imprensa Ofi"&amp;"cial|Imprensa Oficial""), ""Editora Imprensa Oficial"",
IF(REGEXMATCH(S219, ""Folha Online""), ""Folha Online"",
IF(REGEXMATCH(S219, ""FGV DIREITO SP|FGV Direito SP""), ""FGV DIREITO SP"",
IF(REGEXMATCH(S219, ""massacrecarandiru\.org\.br""), ""Memória Mas"&amp;"sacre Carandiru"",
IF(REGEXMATCH(S219, ""Itaú Cultural""), ""YouTube (Itaú Cultural)"",
IF(REGEXMATCH(S219, ""Passa Palavra""), ""Vimeo (Passa Palavra)"",
IF(REGEXMATCH(S219, ""rede2deoutubro\.blogspot""), ""Blogspot (Rede 02 de Outubro)"",
IF(REGEXMATCH("&amp;"S219, ""Rede TVT""), ""YouTube (Rede TVT)"",
IF(REGEXMATCH(S219, ""Esquerda Diário""), ""Esquerda Diário"",
IF(REGEXMATCH(S219, ""GZH""), ""GZH"",
IF(REGEXMATCH(S219, ""TVPUC""), ""TVPUC"",
IF(REGEXMATCH(S219, ""Mídia Ninja.*Facebook""), ""Facebook (Mídia"&amp;" Ninja)"",
IF(REGEXMATCH(S219, ""Memórias Carandiru.*Instagram""), ""Instagram (Memórias Carandiru)"",
IF(REGEXMATCH(S219, ""Frente pelo Desencarceramento SP""), ""YouTube (Frente Pelo Desencarceramento SP)"",
IF(REGEXMATCH(S219, ""TV ABA""), ""YouTube (T"&amp;"V ABA)"",
IF(REGEXMATCH(S219, ""TV SENADO""), ""YouTube (TV Senado)"",
IF(REGEXMATCH(S219, ""Google Arts &amp; Culture""), ""Google Arts &amp; Culture (Memória Massacre Carandiru)"",
IF(REGEXMATCH(S219, ""Anistia Internacional|ANISTIA INTERNACIONAL""), ""Anistia "&amp;"Internacional"",
IF(REGEXMATCH(S219, ""47\.mostra|47a Mostra""), ""47a Mostra Internacional de Cinema em São Paulo"",
IF(REGEXMATCH(S219, ""Canal USP""), ""YouTube (Canal USP)"",
IF(AND(
  REGEXMATCH(S219, ""(?i)(teses?\.usp\.br|dissertacoes?\.usp\.br|rep"&amp;"ositorio\.usp\.br)""),
  NOT(REGEXMATCH(S219, ""Canal USP""))
), ""Biblioteca Digital de Teses e Dissertações da USP"",
IF(REGEXMATCH(S219, ""SINTRAJUSC""), ""SINTRAJUSC"",
IF(REGEXMATCH(S219, ""Agência Brasil|Agencia Brasil""), ""Agência Brasil"",
IF(REG"&amp;"EXMATCH(S219, ""Brasil de Fato""), ""Brasil de Fato"",
IF(REGEXMATCH(S219, ""Ponte Jornalismo|pontejornalismo""), ""Ponte Jornalismo"",
IF(REGEXMATCH(S219, ""letras\.mus\.br|Letras,""), ""Letras"",
IF(REGEXMATCH(S219, ""YouTube|youtube""), 
   ""YouTube "&amp;"(""&amp;
   IF(REGEXMATCH(S219, ""Itaú Cultural""), ""Itaú Cultural"",
   IF(REGEXMATCH(S219, ""Rede TVT""), ""Rede TVT"",
   IF(REGEXMATCH(S219, ""Frente pelo Desencarceramento SP""), ""Frente Pelo Desencarceramento SP"",
   IF(REGEXMATCH(S219, ""TV ABA""), "&amp;"""TV ABA"",
   IF(REGEXMATCH(S219, ""TV SENADO""), ""TV Senado"",
   IF(REGEXMATCH(S219, ""Canal USP""), ""Canal USP"",
   IF(REGEXMATCH(S219, ""Douer, Zack|Zack Douer""), ""Douer Zack"",
   IF(REGEXMATCH(S219, ""PRISIONEIRO 84\.901|PRISIONEIRO 84""), ""P"&amp;"risioneiro 84.901"",
   IF(REGEXMATCH(S219, ""^[^,]*, ""), 
        PROPER(REGEXREPLACE(REGEXEXTRACT(S219, ""^([^.]*)\.""), ""^([^,]*), (.*)"", ""$2 $1"")),
        PROPER(REGEXEXTRACT(S219, ""^([^.]*)\.""))
   )))))))))&amp;"")"",
IF(REGEXMATCH(S219, ""Spot"&amp;"ify|spotify""), 
   ""Spotify (""&amp;
   IF(REGEXMATCH(S219, ""ESTRANHO SORRISO""), ""Estranho Sorriso"",
   PROPER(REGEXEXTRACT(S219, ""^([^.]*)\.""))
   )&amp;"")"",
IF(REGEXMATCH(S219, ""Vimeo|vimeo""), 
   ""Vimeo (""&amp;
   IF(REGEXMATCH(S219, ""Passa Palavra"&amp;"""), ""Passa Palavra"",
   PROPER(REGEXEXTRACT(S219, ""^([^.]*)\.""))
   )&amp;"")"",
IF(REGEXMATCH(S219, ""Blogspot""), 
   ""Blogspot (""&amp;
   IF(REGEXMATCH(S219, ""rede2deoutubro""), ""Rede 02 de Outubro"",
   PROPER(REGEXEXTRACT(S219, ""^([^.]*)\.""))
   "&amp;")&amp;"")"",
IF(REGEXMATCH(S219, ""Facebook""), 
   ""Facebook (""&amp;
   IF(REGEXMATCH(S219, ""Mídia Ninja""), ""Mídia Ninja"",
   PROPER(REGEXEXTRACT(S219, ""^([^.]*)\.""))
   )&amp;"")"",
IF(REGEXMATCH(S219, ""Instagram""), 
   ""Instagram (""&amp;
   IF(REGEXMATCH"&amp;"(S219, ""Memórias Carandiru""), ""Memórias Carandiru"",
   PROPER(REGEXEXTRACT(S219, ""^([^.]*)\.""))
   )&amp;"")"",
IF(REGEXMATCH(S219, ""Folha de S\. Paulo|FOLHA DE S\. PAULO""), ""Folha de S. Paulo"",
IF(REGEXMATCH(S219, ""O Estado de S\. Paulo|ESTADAO"""&amp;"), ""O Estado de S. Paulo"",
IF(REGEXMATCH(S219, ""salasecreta""), ""Wordpress (Sala Secreta)"",
IF(REGEXMATCH(S219, ""Wikipedia|Wikipédia|WIKIPÉDIA""), ""Wikipedia"",
IF(REGEXMATCH(S219, ""VEJA|Veja""), ""Veja Abril"",
IF(REGEXMATCH(S492, ""Rede Globo|RE"&amp;"DE GLOBO""), ""Rede Globo"",
IF(REGEXMATCH(S492, ""G1|globo\.com""), ""G1"",
IF(REGEXMATCH(S219, ""Deutsche Welle|DW\.com""), ""Deutsche Welle"",
IF(REGEXMATCH(S219, ""CIDH|Comissão Interamericana""), ""Comissão Interamericana de Direitos Humanos (CIDH)"""&amp;",
IF(REGEXMATCH(S219, ""Pastoral Carcerária""), ""Pastoral Carcerária"",
IF(REGEXMATCH(S219, ""Esquerda Web""), ""Esquerda Web"",
IF(REGEXMATCH(S219, ""ONU|Organização das Nações Unidas""), ""ONU Brasil"",
IF(REGEXMATCH(S219, ""Quilombo Invisível""), ""Qu"&amp;"ilombo Invisível"",
IF(REGEXMATCH(S219, ""ALESP|Assembleia Legislativa""), ""ALESP"",
IF(REGEXMATCH(S219, ""Revista Opera""), ""Revista Opera"",
IF(REGEXMATCH(S219, ""SP Escola de Teatro""), ""SP Escola de Teatro"",
IF(REGEXMATCH(S219, ""EMC|Espaço Memóri"&amp;"a Carandiru""), ""EMC Espaço Memória Carandiru"",
IF(REGEXMATCH(S219, ""^RAMOS, Nuno|Nuno Ramos""), ""Nuno Ramos"",
IF(REGEXMATCH(S219, ""^VELOSO, Caetano|Caetano Veloso""), ""YouTube (Caetano Veloso)"",
IF(REGEXMATCH(S219, ""^FATOS REAIS""), ""YouTube ("&amp;"Fatos Reais - Topic)"",
IF(REGEXMATCH(S219, ""^SALA SECRETA""), ""Wordpress (Sala Secreta)"",
PROPER(REGEXEXTRACT(S219, ""^([^.]*)\.""))
))))))))))))))))))))))))))))))))))))))))))))))))))))))))"),"YouTube (Prisioneiro 84.901)")</f>
        <v>YouTube (Prisioneiro 84.901)</v>
      </c>
      <c r="N219" s="11" t="s">
        <v>47</v>
      </c>
      <c r="O219" s="14" t="s">
        <v>546</v>
      </c>
      <c r="P219" s="171">
        <v>45946.0</v>
      </c>
      <c r="Q219" s="11" t="s">
        <v>154</v>
      </c>
      <c r="R219" s="70" t="str">
        <f t="shared" si="8"/>
        <v>Aqui</v>
      </c>
      <c r="S219" s="172" t="s">
        <v>983</v>
      </c>
    </row>
    <row r="220">
      <c r="A220" s="11">
        <v>218.0</v>
      </c>
      <c r="B220" s="11" t="s">
        <v>703</v>
      </c>
      <c r="C220" s="12" t="str">
        <f>IFERROR(__xludf.DUMMYFUNCTION("IF(B220="""","""",IF(OR(
  REGEXMATCH(B220,""Performance|Instalação|Álbum|Música|Poema|Livro|Filme|Documentário|Recitação|Espetáculo|Peça|Intervenção|Desfile|Fotografia|Exposição|Charge|Grafite|Leitura pública|Fabricação de cachaça artesanal""),
  REGEXMA"&amp;"TCH(B220,""dança|teatral|artístico|musical|artística"")
),""Manifestação artístico-cultural"",
IF(OR(
  REGEXMATCH(B220,""Crônica|Série|Reportagem|Podcast|Audiotour|Entrevista|Vídeo|Rádio""),
  REGEXMATCH(B220,""midiática"")
),""Produção midiática"","""")"&amp;"))
"),"Produção midiática")</f>
        <v>Produção midiática</v>
      </c>
      <c r="D220" s="13" t="str">
        <f>IFERROR(__xludf.DUMMYFUNCTION("IF(B220="""","""",IF(OR(
  REGEXMATCH(B220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REGEXMATCH(B220,""público|Imediato|artística|teatral|memória"")
),""Público Imediato"",
IF(REGEXMATCH(B220,""Música|Álbum|Filme|Documentário|Série|Podc"&amp;"ast|Rádio|Audiotour|Entrevista|Reportagem|Crônica|Relatório|Abaixo-assinado|Manifesto|Petição|Poema|Livro|Fotografia|Curta|Live|Webinário|Charge|Leitura pública|Vídeo""),
""Público Mediado"","""")))
"),"Público Mediado")</f>
        <v>Público Mediado</v>
      </c>
      <c r="E220" s="13" t="str">
        <f>IFERROR(__xludf.DUMMYFUNCTION("IF(B220="""","""",IF(OR(
  REGEXMATCH(B220,""Live|Webinário|Virtual""),
  REGEXMATCH(B220,""online"")
),""Virtual"",
IF(REGEXMATCH(B220,""Música|Álbum|Filme|Documentário|Série|Podcast|Rádio|Audiotour|Episódio|Reportagem|Curta|Charge|Livro|Vídeo|Entrevista"&amp;"""),
""Midiático"",
IF(REGEXMATCH(B220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0" s="211" t="str">
        <f>IFERROR(__xludf.DUMMYFUNCTION("IF(REGEXMATCH(S220,""YouTube""),
  REGEXREPLACE(
    REGEXREPLACE(
      REGEXREPLACE(
        REGEXREPLACE(
          REGEXREPLACE(
            REGEXREPLACE(
              REGEXREPLACE(
                REGEXREPLACE(
                  REGEXREPLACE(
      "&amp;"              REGEXREPLACE(
                      REGEXREPLACE(
                        REGEXREPLACE(
                          REGEXREPLACE(
                            REGEXEXTRACT(S220,""YouTube, ([0-9]{1,2} [a-z]{3,8}\. [0-9]{4})""),
                 "&amp;"         "" jan\. "",""\/01\/""),
                        "" fev\. "",""\/02\/""),
                      "" mar\. "",""\/03\/""),
                    "" abr\. "",""\/04\/""),
                  "" mai\. "",""\/05\/""),
                "" jun\. "",""\/06\/"&amp;"""),
              "" jul\. "",""\/07\/""),
            "" ago\. "",""\/08\/""),
          "" set\. "",""\/09\/""),
        "" out\. "",""\/10\/""),
      "" nov\. "",""\/11\/""),
    "" dez\. "",""\/12\/""),
  ""\s*/\s*"",""/""),
"""")
"),"16/04/2024")</f>
        <v>16/04/2024</v>
      </c>
      <c r="G220" s="15">
        <f t="shared" si="1"/>
        <v>2024</v>
      </c>
      <c r="H220" s="14" t="s">
        <v>23</v>
      </c>
      <c r="I220" s="16" t="s">
        <v>757</v>
      </c>
      <c r="J220" s="169" t="str">
        <f>IFERROR(__xludf.DUMMYFUNCTION("REGEXEXTRACT(S220, ""\.\s(.*?)\s*YouTube"")"),"Morte pesada na mega rebelião 2001: vista da Penitenciária do Estado (Mercadão) – Parte 2.")</f>
        <v>Morte pesada na mega rebelião 2001: vista da Penitenciária do Estado (Mercadão) – Parte 2.</v>
      </c>
      <c r="K220" s="16" t="s">
        <v>83</v>
      </c>
      <c r="L220" s="18" t="s">
        <v>329</v>
      </c>
      <c r="M220" s="15" t="str">
        <f>IFERROR(__xludf.DUMMYFUNCTION("IF(REGEXMATCH(S220, ""Companhia das Letras""), ""Companhia das Letras"",
IF(REGEXMATCH(S220, ""Labortexto Editorial""), ""Labortexto Editorial"",
IF(REGEXMATCH(S220, ""Geração Editorial""), ""Geração Editorial"",
IF(REGEXMATCH(S220, ""Editora Imprensa Ofi"&amp;"cial|Imprensa Oficial""), ""Editora Imprensa Oficial"",
IF(REGEXMATCH(S220, ""Folha Online""), ""Folha Online"",
IF(REGEXMATCH(S220, ""FGV DIREITO SP|FGV Direito SP""), ""FGV DIREITO SP"",
IF(REGEXMATCH(S220, ""massacrecarandiru\.org\.br""), ""Memória Mas"&amp;"sacre Carandiru"",
IF(REGEXMATCH(S220, ""Itaú Cultural""), ""YouTube (Itaú Cultural)"",
IF(REGEXMATCH(S220, ""Passa Palavra""), ""Vimeo (Passa Palavra)"",
IF(REGEXMATCH(S220, ""rede2deoutubro\.blogspot""), ""Blogspot (Rede 02 de Outubro)"",
IF(REGEXMATCH("&amp;"S220, ""Rede TVT""), ""YouTube (Rede TVT)"",
IF(REGEXMATCH(S220, ""Esquerda Diário""), ""Esquerda Diário"",
IF(REGEXMATCH(S220, ""GZH""), ""GZH"",
IF(REGEXMATCH(S220, ""TVPUC""), ""TVPUC"",
IF(REGEXMATCH(S220, ""Mídia Ninja.*Facebook""), ""Facebook (Mídia"&amp;" Ninja)"",
IF(REGEXMATCH(S220, ""Memórias Carandiru.*Instagram""), ""Instagram (Memórias Carandiru)"",
IF(REGEXMATCH(S220, ""Frente pelo Desencarceramento SP""), ""YouTube (Frente Pelo Desencarceramento SP)"",
IF(REGEXMATCH(S220, ""TV ABA""), ""YouTube (T"&amp;"V ABA)"",
IF(REGEXMATCH(S220, ""TV SENADO""), ""YouTube (TV Senado)"",
IF(REGEXMATCH(S220, ""Google Arts &amp; Culture""), ""Google Arts &amp; Culture (Memória Massacre Carandiru)"",
IF(REGEXMATCH(S220, ""Anistia Internacional|ANISTIA INTERNACIONAL""), ""Anistia "&amp;"Internacional"",
IF(REGEXMATCH(S220, ""47\.mostra|47a Mostra""), ""47a Mostra Internacional de Cinema em São Paulo"",
IF(REGEXMATCH(S220, ""Canal USP""), ""YouTube (Canal USP)"",
IF(AND(
  REGEXMATCH(S220, ""(?i)(teses?\.usp\.br|dissertacoes?\.usp\.br|rep"&amp;"ositorio\.usp\.br)""),
  NOT(REGEXMATCH(S220, ""Canal USP""))
), ""Biblioteca Digital de Teses e Dissertações da USP"",
IF(REGEXMATCH(S220, ""SINTRAJUSC""), ""SINTRAJUSC"",
IF(REGEXMATCH(S220, ""Agência Brasil|Agencia Brasil""), ""Agência Brasil"",
IF(REG"&amp;"EXMATCH(S220, ""Brasil de Fato""), ""Brasil de Fato"",
IF(REGEXMATCH(S220, ""Ponte Jornalismo|pontejornalismo""), ""Ponte Jornalismo"",
IF(REGEXMATCH(S220, ""letras\.mus\.br|Letras,""), ""Letras"",
IF(REGEXMATCH(S220, ""YouTube|youtube""), 
   ""YouTube "&amp;"(""&amp;
   IF(REGEXMATCH(S220, ""Itaú Cultural""), ""Itaú Cultural"",
   IF(REGEXMATCH(S220, ""Rede TVT""), ""Rede TVT"",
   IF(REGEXMATCH(S220, ""Frente pelo Desencarceramento SP""), ""Frente Pelo Desencarceramento SP"",
   IF(REGEXMATCH(S220, ""TV ABA""), "&amp;"""TV ABA"",
   IF(REGEXMATCH(S220, ""TV SENADO""), ""TV Senado"",
   IF(REGEXMATCH(S220, ""Canal USP""), ""Canal USP"",
   IF(REGEXMATCH(S220, ""Douer, Zack|Zack Douer""), ""Douer Zack"",
   IF(REGEXMATCH(S220, ""PRISIONEIRO 84\.901|PRISIONEIRO 84""), ""P"&amp;"risioneiro 84.901"",
   IF(REGEXMATCH(S220, ""^[^,]*, ""), 
        PROPER(REGEXREPLACE(REGEXEXTRACT(S220, ""^([^.]*)\.""), ""^([^,]*), (.*)"", ""$2 $1"")),
        PROPER(REGEXEXTRACT(S220, ""^([^.]*)\.""))
   )))))))))&amp;"")"",
IF(REGEXMATCH(S220, ""Spot"&amp;"ify|spotify""), 
   ""Spotify (""&amp;
   IF(REGEXMATCH(S220, ""ESTRANHO SORRISO""), ""Estranho Sorriso"",
   PROPER(REGEXEXTRACT(S220, ""^([^.]*)\.""))
   )&amp;"")"",
IF(REGEXMATCH(S220, ""Vimeo|vimeo""), 
   ""Vimeo (""&amp;
   IF(REGEXMATCH(S220, ""Passa Palavra"&amp;"""), ""Passa Palavra"",
   PROPER(REGEXEXTRACT(S220, ""^([^.]*)\.""))
   )&amp;"")"",
IF(REGEXMATCH(S220, ""Blogspot""), 
   ""Blogspot (""&amp;
   IF(REGEXMATCH(S220, ""rede2deoutubro""), ""Rede 02 de Outubro"",
   PROPER(REGEXEXTRACT(S220, ""^([^.]*)\.""))
   "&amp;")&amp;"")"",
IF(REGEXMATCH(S220, ""Facebook""), 
   ""Facebook (""&amp;
   IF(REGEXMATCH(S220, ""Mídia Ninja""), ""Mídia Ninja"",
   PROPER(REGEXEXTRACT(S220, ""^([^.]*)\.""))
   )&amp;"")"",
IF(REGEXMATCH(S220, ""Instagram""), 
   ""Instagram (""&amp;
   IF(REGEXMATCH"&amp;"(S220, ""Memórias Carandiru""), ""Memórias Carandiru"",
   PROPER(REGEXEXTRACT(S220, ""^([^.]*)\.""))
   )&amp;"")"",
IF(REGEXMATCH(S220, ""Folha de S\. Paulo|FOLHA DE S\. PAULO""), ""Folha de S. Paulo"",
IF(REGEXMATCH(S220, ""O Estado de S\. Paulo|ESTADAO"""&amp;"), ""O Estado de S. Paulo"",
IF(REGEXMATCH(S220, ""salasecreta""), ""Wordpress (Sala Secreta)"",
IF(REGEXMATCH(S220, ""Wikipedia|Wikipédia|WIKIPÉDIA""), ""Wikipedia"",
IF(REGEXMATCH(S220, ""VEJA|Veja""), ""Veja Abril"",
IF(REGEXMATCH(S493, ""Rede Globo|RE"&amp;"DE GLOBO""), ""Rede Globo"",
IF(REGEXMATCH(S493, ""G1|globo\.com""), ""G1"",
IF(REGEXMATCH(S220, ""Deutsche Welle|DW\.com""), ""Deutsche Welle"",
IF(REGEXMATCH(S220, ""CIDH|Comissão Interamericana""), ""Comissão Interamericana de Direitos Humanos (CIDH)"""&amp;",
IF(REGEXMATCH(S220, ""Pastoral Carcerária""), ""Pastoral Carcerária"",
IF(REGEXMATCH(S220, ""Esquerda Web""), ""Esquerda Web"",
IF(REGEXMATCH(S220, ""ONU|Organização das Nações Unidas""), ""ONU Brasil"",
IF(REGEXMATCH(S220, ""Quilombo Invisível""), ""Qu"&amp;"ilombo Invisível"",
IF(REGEXMATCH(S220, ""ALESP|Assembleia Legislativa""), ""ALESP"",
IF(REGEXMATCH(S220, ""Revista Opera""), ""Revista Opera"",
IF(REGEXMATCH(S220, ""SP Escola de Teatro""), ""SP Escola de Teatro"",
IF(REGEXMATCH(S220, ""EMC|Espaço Memóri"&amp;"a Carandiru""), ""EMC Espaço Memória Carandiru"",
IF(REGEXMATCH(S220, ""^RAMOS, Nuno|Nuno Ramos""), ""Nuno Ramos"",
IF(REGEXMATCH(S220, ""^VELOSO, Caetano|Caetano Veloso""), ""YouTube (Caetano Veloso)"",
IF(REGEXMATCH(S220, ""^FATOS REAIS""), ""YouTube ("&amp;"Fatos Reais - Topic)"",
IF(REGEXMATCH(S220, ""^SALA SECRETA""), ""Wordpress (Sala Secreta)"",
PROPER(REGEXEXTRACT(S220, ""^([^.]*)\.""))
))))))))))))))))))))))))))))))))))))))))))))))))))))))))"),"YouTube (Prisioneiro 84.901)")</f>
        <v>YouTube (Prisioneiro 84.901)</v>
      </c>
      <c r="N220" s="11" t="s">
        <v>47</v>
      </c>
      <c r="O220" s="14" t="s">
        <v>546</v>
      </c>
      <c r="P220" s="171">
        <v>45946.0</v>
      </c>
      <c r="Q220" s="11" t="s">
        <v>154</v>
      </c>
      <c r="R220" s="70" t="str">
        <f t="shared" si="8"/>
        <v>Aqui</v>
      </c>
      <c r="S220" s="172" t="s">
        <v>984</v>
      </c>
    </row>
    <row r="221">
      <c r="A221" s="11">
        <v>219.0</v>
      </c>
      <c r="B221" s="11" t="s">
        <v>703</v>
      </c>
      <c r="C221" s="12" t="str">
        <f>IFERROR(__xludf.DUMMYFUNCTION("IF(B221="""","""",IF(OR(
  REGEXMATCH(B221,""Performance|Instalação|Álbum|Música|Poema|Livro|Filme|Documentário|Recitação|Espetáculo|Peça|Intervenção|Desfile|Fotografia|Exposição|Charge|Grafite|Leitura pública|Fabricação de cachaça artesanal""),
  REGEXMA"&amp;"TCH(B221,""dança|teatral|artístico|musical|artística"")
),""Manifestação artístico-cultural"",
IF(OR(
  REGEXMATCH(B221,""Crônica|Série|Reportagem|Podcast|Audiotour|Entrevista|Vídeo|Rádio""),
  REGEXMATCH(B221,""midiática"")
),""Produção midiática"","""")"&amp;"))
"),"Produção midiática")</f>
        <v>Produção midiática</v>
      </c>
      <c r="D221" s="13" t="str">
        <f>IFERROR(__xludf.DUMMYFUNCTION("IF(B221="""","""",IF(OR(
  REGEXMATCH(B221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REGEXMATCH(B221,""público|Imediato|artística|teatral|memória"")
),""Público Imediato"",
IF(REGEXMATCH(B221,""Música|Álbum|Filme|Documentário|Série|Podc"&amp;"ast|Rádio|Audiotour|Entrevista|Reportagem|Crônica|Relatório|Abaixo-assinado|Manifesto|Petição|Poema|Livro|Fotografia|Curta|Live|Webinário|Charge|Leitura pública|Vídeo""),
""Público Mediado"","""")))
"),"Público Mediado")</f>
        <v>Público Mediado</v>
      </c>
      <c r="E221" s="13" t="str">
        <f>IFERROR(__xludf.DUMMYFUNCTION("IF(B221="""","""",IF(OR(
  REGEXMATCH(B221,""Live|Webinário|Virtual""),
  REGEXMATCH(B221,""online"")
),""Virtual"",
IF(REGEXMATCH(B221,""Música|Álbum|Filme|Documentário|Série|Podcast|Rádio|Audiotour|Episódio|Reportagem|Curta|Charge|Livro|Vídeo|Entrevista"&amp;"""),
""Midiático"",
IF(REGEXMATCH(B221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1" s="211" t="str">
        <f>IFERROR(__xludf.DUMMYFUNCTION("IF(REGEXMATCH(S221,""YouTube""),
  REGEXREPLACE(
    REGEXREPLACE(
      REGEXREPLACE(
        REGEXREPLACE(
          REGEXREPLACE(
            REGEXREPLACE(
              REGEXREPLACE(
                REGEXREPLACE(
                  REGEXREPLACE(
      "&amp;"              REGEXREPLACE(
                      REGEXREPLACE(
                        REGEXREPLACE(
                          REGEXREPLACE(
                            REGEXEXTRACT(S221,""YouTube, ([0-9]{1,2} [a-z]{3,8}\. [0-9]{4})""),
                 "&amp;"         "" jan\. "",""\/01\/""),
                        "" fev\. "",""\/02\/""),
                      "" mar\. "",""\/03\/""),
                    "" abr\. "",""\/04\/""),
                  "" mai\. "",""\/05\/""),
                "" jun\. "",""\/06\/"&amp;"""),
              "" jul\. "",""\/07\/""),
            "" ago\. "",""\/08\/""),
          "" set\. "",""\/09\/""),
        "" out\. "",""\/10\/""),
      "" nov\. "",""\/11\/""),
    "" dez\. "",""\/12\/""),
  ""\s*/\s*"",""/""),
"""")
"),"5/04/2024")</f>
        <v>5/04/2024</v>
      </c>
      <c r="G221" s="15">
        <f t="shared" si="1"/>
        <v>2024</v>
      </c>
      <c r="H221" s="14" t="s">
        <v>23</v>
      </c>
      <c r="I221" s="16" t="s">
        <v>757</v>
      </c>
      <c r="J221" s="169" t="str">
        <f>IFERROR(__xludf.DUMMYFUNCTION("REGEXEXTRACT(S221, ""\.\s(.*?)\s*YouTube"")"),"Da infância criminosa ao Pav. 9 (André Du Rap).")</f>
        <v>Da infância criminosa ao Pav. 9 (André Du Rap).</v>
      </c>
      <c r="K221" s="16" t="s">
        <v>83</v>
      </c>
      <c r="L221" s="18" t="s">
        <v>329</v>
      </c>
      <c r="M221" s="15" t="str">
        <f>IFERROR(__xludf.DUMMYFUNCTION("IF(REGEXMATCH(S221, ""Companhia das Letras""), ""Companhia das Letras"",
IF(REGEXMATCH(S221, ""Labortexto Editorial""), ""Labortexto Editorial"",
IF(REGEXMATCH(S221, ""Geração Editorial""), ""Geração Editorial"",
IF(REGEXMATCH(S221, ""Editora Imprensa Ofi"&amp;"cial|Imprensa Oficial""), ""Editora Imprensa Oficial"",
IF(REGEXMATCH(S221, ""Folha Online""), ""Folha Online"",
IF(REGEXMATCH(S221, ""FGV DIREITO SP|FGV Direito SP""), ""FGV DIREITO SP"",
IF(REGEXMATCH(S221, ""massacrecarandiru\.org\.br""), ""Memória Mas"&amp;"sacre Carandiru"",
IF(REGEXMATCH(S221, ""Itaú Cultural""), ""YouTube (Itaú Cultural)"",
IF(REGEXMATCH(S221, ""Passa Palavra""), ""Vimeo (Passa Palavra)"",
IF(REGEXMATCH(S221, ""rede2deoutubro\.blogspot""), ""Blogspot (Rede 02 de Outubro)"",
IF(REGEXMATCH("&amp;"S221, ""Rede TVT""), ""YouTube (Rede TVT)"",
IF(REGEXMATCH(S221, ""Esquerda Diário""), ""Esquerda Diário"",
IF(REGEXMATCH(S221, ""GZH""), ""GZH"",
IF(REGEXMATCH(S221, ""TVPUC""), ""TVPUC"",
IF(REGEXMATCH(S221, ""Mídia Ninja.*Facebook""), ""Facebook (Mídia"&amp;" Ninja)"",
IF(REGEXMATCH(S221, ""Memórias Carandiru.*Instagram""), ""Instagram (Memórias Carandiru)"",
IF(REGEXMATCH(S221, ""Frente pelo Desencarceramento SP""), ""YouTube (Frente Pelo Desencarceramento SP)"",
IF(REGEXMATCH(S221, ""TV ABA""), ""YouTube (T"&amp;"V ABA)"",
IF(REGEXMATCH(S221, ""TV SENADO""), ""YouTube (TV Senado)"",
IF(REGEXMATCH(S221, ""Google Arts &amp; Culture""), ""Google Arts &amp; Culture (Memória Massacre Carandiru)"",
IF(REGEXMATCH(S221, ""Anistia Internacional|ANISTIA INTERNACIONAL""), ""Anistia "&amp;"Internacional"",
IF(REGEXMATCH(S221, ""47\.mostra|47a Mostra""), ""47a Mostra Internacional de Cinema em São Paulo"",
IF(REGEXMATCH(S221, ""Canal USP""), ""YouTube (Canal USP)"",
IF(AND(
  REGEXMATCH(S221, ""(?i)(teses?\.usp\.br|dissertacoes?\.usp\.br|rep"&amp;"ositorio\.usp\.br)""),
  NOT(REGEXMATCH(S221, ""Canal USP""))
), ""Biblioteca Digital de Teses e Dissertações da USP"",
IF(REGEXMATCH(S221, ""SINTRAJUSC""), ""SINTRAJUSC"",
IF(REGEXMATCH(S221, ""Agência Brasil|Agencia Brasil""), ""Agência Brasil"",
IF(REG"&amp;"EXMATCH(S221, ""Brasil de Fato""), ""Brasil de Fato"",
IF(REGEXMATCH(S221, ""Ponte Jornalismo|pontejornalismo""), ""Ponte Jornalismo"",
IF(REGEXMATCH(S221, ""letras\.mus\.br|Letras,""), ""Letras"",
IF(REGEXMATCH(S221, ""YouTube|youtube""), 
   ""YouTube "&amp;"(""&amp;
   IF(REGEXMATCH(S221, ""Itaú Cultural""), ""Itaú Cultural"",
   IF(REGEXMATCH(S221, ""Rede TVT""), ""Rede TVT"",
   IF(REGEXMATCH(S221, ""Frente pelo Desencarceramento SP""), ""Frente Pelo Desencarceramento SP"",
   IF(REGEXMATCH(S221, ""TV ABA""), "&amp;"""TV ABA"",
   IF(REGEXMATCH(S221, ""TV SENADO""), ""TV Senado"",
   IF(REGEXMATCH(S221, ""Canal USP""), ""Canal USP"",
   IF(REGEXMATCH(S221, ""Douer, Zack|Zack Douer""), ""Douer Zack"",
   IF(REGEXMATCH(S221, ""PRISIONEIRO 84\.901|PRISIONEIRO 84""), ""P"&amp;"risioneiro 84.901"",
   IF(REGEXMATCH(S221, ""^[^,]*, ""), 
        PROPER(REGEXREPLACE(REGEXEXTRACT(S221, ""^([^.]*)\.""), ""^([^,]*), (.*)"", ""$2 $1"")),
        PROPER(REGEXEXTRACT(S221, ""^([^.]*)\.""))
   )))))))))&amp;"")"",
IF(REGEXMATCH(S221, ""Spot"&amp;"ify|spotify""), 
   ""Spotify (""&amp;
   IF(REGEXMATCH(S221, ""ESTRANHO SORRISO""), ""Estranho Sorriso"",
   PROPER(REGEXEXTRACT(S221, ""^([^.]*)\.""))
   )&amp;"")"",
IF(REGEXMATCH(S221, ""Vimeo|vimeo""), 
   ""Vimeo (""&amp;
   IF(REGEXMATCH(S221, ""Passa Palavra"&amp;"""), ""Passa Palavra"",
   PROPER(REGEXEXTRACT(S221, ""^([^.]*)\.""))
   )&amp;"")"",
IF(REGEXMATCH(S221, ""Blogspot""), 
   ""Blogspot (""&amp;
   IF(REGEXMATCH(S221, ""rede2deoutubro""), ""Rede 02 de Outubro"",
   PROPER(REGEXEXTRACT(S221, ""^([^.]*)\.""))
   "&amp;")&amp;"")"",
IF(REGEXMATCH(S221, ""Facebook""), 
   ""Facebook (""&amp;
   IF(REGEXMATCH(S221, ""Mídia Ninja""), ""Mídia Ninja"",
   PROPER(REGEXEXTRACT(S221, ""^([^.]*)\.""))
   )&amp;"")"",
IF(REGEXMATCH(S221, ""Instagram""), 
   ""Instagram (""&amp;
   IF(REGEXMATCH"&amp;"(S221, ""Memórias Carandiru""), ""Memórias Carandiru"",
   PROPER(REGEXEXTRACT(S221, ""^([^.]*)\.""))
   )&amp;"")"",
IF(REGEXMATCH(S221, ""Folha de S\. Paulo|FOLHA DE S\. PAULO""), ""Folha de S. Paulo"",
IF(REGEXMATCH(S221, ""O Estado de S\. Paulo|ESTADAO"""&amp;"), ""O Estado de S. Paulo"",
IF(REGEXMATCH(S221, ""salasecreta""), ""Wordpress (Sala Secreta)"",
IF(REGEXMATCH(S221, ""Wikipedia|Wikipédia|WIKIPÉDIA""), ""Wikipedia"",
IF(REGEXMATCH(S221, ""VEJA|Veja""), ""Veja Abril"",
IF(REGEXMATCH(S494, ""Rede Globo|RE"&amp;"DE GLOBO""), ""Rede Globo"",
IF(REGEXMATCH(S494, ""G1|globo\.com""), ""G1"",
IF(REGEXMATCH(S221, ""Deutsche Welle|DW\.com""), ""Deutsche Welle"",
IF(REGEXMATCH(S221, ""CIDH|Comissão Interamericana""), ""Comissão Interamericana de Direitos Humanos (CIDH)"""&amp;",
IF(REGEXMATCH(S221, ""Pastoral Carcerária""), ""Pastoral Carcerária"",
IF(REGEXMATCH(S221, ""Esquerda Web""), ""Esquerda Web"",
IF(REGEXMATCH(S221, ""ONU|Organização das Nações Unidas""), ""ONU Brasil"",
IF(REGEXMATCH(S221, ""Quilombo Invisível""), ""Qu"&amp;"ilombo Invisível"",
IF(REGEXMATCH(S221, ""ALESP|Assembleia Legislativa""), ""ALESP"",
IF(REGEXMATCH(S221, ""Revista Opera""), ""Revista Opera"",
IF(REGEXMATCH(S221, ""SP Escola de Teatro""), ""SP Escola de Teatro"",
IF(REGEXMATCH(S221, ""EMC|Espaço Memóri"&amp;"a Carandiru""), ""EMC Espaço Memória Carandiru"",
IF(REGEXMATCH(S221, ""^RAMOS, Nuno|Nuno Ramos""), ""Nuno Ramos"",
IF(REGEXMATCH(S221, ""^VELOSO, Caetano|Caetano Veloso""), ""YouTube (Caetano Veloso)"",
IF(REGEXMATCH(S221, ""^FATOS REAIS""), ""YouTube ("&amp;"Fatos Reais - Topic)"",
IF(REGEXMATCH(S221, ""^SALA SECRETA""), ""Wordpress (Sala Secreta)"",
PROPER(REGEXEXTRACT(S221, ""^([^.]*)\.""))
))))))))))))))))))))))))))))))))))))))))))))))))))))))))"),"YouTube (Prisioneiro 84.901)")</f>
        <v>YouTube (Prisioneiro 84.901)</v>
      </c>
      <c r="N221" s="11" t="s">
        <v>47</v>
      </c>
      <c r="O221" s="14" t="s">
        <v>546</v>
      </c>
      <c r="P221" s="171">
        <v>45946.0</v>
      </c>
      <c r="Q221" s="11" t="s">
        <v>154</v>
      </c>
      <c r="R221" s="70" t="str">
        <f t="shared" si="8"/>
        <v>Aqui</v>
      </c>
      <c r="S221" s="172" t="s">
        <v>985</v>
      </c>
    </row>
    <row r="222">
      <c r="A222" s="11">
        <v>220.0</v>
      </c>
      <c r="B222" s="11" t="s">
        <v>703</v>
      </c>
      <c r="C222" s="12" t="str">
        <f>IFERROR(__xludf.DUMMYFUNCTION("IF(B222="""","""",IF(OR(
  REGEXMATCH(B222,""Performance|Instalação|Álbum|Música|Poema|Livro|Filme|Documentário|Recitação|Espetáculo|Peça|Intervenção|Desfile|Fotografia|Exposição|Charge|Grafite|Leitura pública|Fabricação de cachaça artesanal""),
  REGEXMA"&amp;"TCH(B222,""dança|teatral|artístico|musical|artística"")
),""Manifestação artístico-cultural"",
IF(OR(
  REGEXMATCH(B222,""Crônica|Série|Reportagem|Podcast|Audiotour|Entrevista|Vídeo|Rádio""),
  REGEXMATCH(B222,""midiática"")
),""Produção midiática"","""")"&amp;"))
"),"Produção midiática")</f>
        <v>Produção midiática</v>
      </c>
      <c r="D222" s="13" t="str">
        <f>IFERROR(__xludf.DUMMYFUNCTION("IF(B222="""","""",IF(OR(
  REGEXMATCH(B222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REGEXMATCH(B222,""público|Imediato|artística|teatral|memória"")
),""Público Imediato"",
IF(REGEXMATCH(B222,""Música|Álbum|Filme|Documentário|Série|Podc"&amp;"ast|Rádio|Audiotour|Entrevista|Reportagem|Crônica|Relatório|Abaixo-assinado|Manifesto|Petição|Poema|Livro|Fotografia|Curta|Live|Webinário|Charge|Leitura pública|Vídeo""),
""Público Mediado"","""")))
"),"Público Mediado")</f>
        <v>Público Mediado</v>
      </c>
      <c r="E222" s="13" t="str">
        <f>IFERROR(__xludf.DUMMYFUNCTION("IF(B222="""","""",IF(OR(
  REGEXMATCH(B222,""Live|Webinário|Virtual""),
  REGEXMATCH(B222,""online"")
),""Virtual"",
IF(REGEXMATCH(B222,""Música|Álbum|Filme|Documentário|Série|Podcast|Rádio|Audiotour|Episódio|Reportagem|Curta|Charge|Livro|Vídeo|Entrevista"&amp;"""),
""Midiático"",
IF(REGEXMATCH(B222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2" s="211" t="str">
        <f>IFERROR(__xludf.DUMMYFUNCTION("IF(REGEXMATCH(S222,""YouTube""),
  REGEXREPLACE(
    REGEXREPLACE(
      REGEXREPLACE(
        REGEXREPLACE(
          REGEXREPLACE(
            REGEXREPLACE(
              REGEXREPLACE(
                REGEXREPLACE(
                  REGEXREPLACE(
      "&amp;"              REGEXREPLACE(
                      REGEXREPLACE(
                        REGEXREPLACE(
                          REGEXREPLACE(
                            REGEXEXTRACT(S222,""YouTube, ([0-9]{1,2} [a-z]{3,8}\. [0-9]{4})""),
                 "&amp;"         "" jan\. "",""\/01\/""),
                        "" fev\. "",""\/02\/""),
                      "" mar\. "",""\/03\/""),
                    "" abr\. "",""\/04\/""),
                  "" mai\. "",""\/05\/""),
                "" jun\. "",""\/06\/"&amp;"""),
              "" jul\. "",""\/07\/""),
            "" ago\. "",""\/08\/""),
          "" set\. "",""\/09\/""),
        "" out\. "",""\/10\/""),
      "" nov\. "",""\/11\/""),
    "" dez\. "",""\/12\/""),
  ""\s*/\s*"",""/""),
"""")
"),"7/04/2024")</f>
        <v>7/04/2024</v>
      </c>
      <c r="G222" s="15">
        <f t="shared" si="1"/>
        <v>2024</v>
      </c>
      <c r="H222" s="14" t="s">
        <v>23</v>
      </c>
      <c r="I222" s="16" t="s">
        <v>757</v>
      </c>
      <c r="J222" s="169" t="str">
        <f>IFERROR(__xludf.DUMMYFUNCTION("REGEXEXTRACT(S222, ""\.\s(.*?)\s*YouTube"")"),"Memórias da Casa de Detenção de São Paulo.")</f>
        <v>Memórias da Casa de Detenção de São Paulo.</v>
      </c>
      <c r="K222" s="16" t="s">
        <v>83</v>
      </c>
      <c r="L222" s="18" t="s">
        <v>329</v>
      </c>
      <c r="M222" s="15" t="str">
        <f>IFERROR(__xludf.DUMMYFUNCTION("IF(REGEXMATCH(S222, ""Companhia das Letras""), ""Companhia das Letras"",
IF(REGEXMATCH(S222, ""Labortexto Editorial""), ""Labortexto Editorial"",
IF(REGEXMATCH(S222, ""Geração Editorial""), ""Geração Editorial"",
IF(REGEXMATCH(S222, ""Editora Imprensa Ofi"&amp;"cial|Imprensa Oficial""), ""Editora Imprensa Oficial"",
IF(REGEXMATCH(S222, ""Folha Online""), ""Folha Online"",
IF(REGEXMATCH(S222, ""FGV DIREITO SP|FGV Direito SP""), ""FGV DIREITO SP"",
IF(REGEXMATCH(S222, ""massacrecarandiru\.org\.br""), ""Memória Mas"&amp;"sacre Carandiru"",
IF(REGEXMATCH(S222, ""Itaú Cultural""), ""YouTube (Itaú Cultural)"",
IF(REGEXMATCH(S222, ""Passa Palavra""), ""Vimeo (Passa Palavra)"",
IF(REGEXMATCH(S222, ""rede2deoutubro\.blogspot""), ""Blogspot (Rede 02 de Outubro)"",
IF(REGEXMATCH("&amp;"S222, ""Rede TVT""), ""YouTube (Rede TVT)"",
IF(REGEXMATCH(S222, ""Esquerda Diário""), ""Esquerda Diário"",
IF(REGEXMATCH(S222, ""GZH""), ""GZH"",
IF(REGEXMATCH(S222, ""TVPUC""), ""TVPUC"",
IF(REGEXMATCH(S222, ""Mídia Ninja.*Facebook""), ""Facebook (Mídia"&amp;" Ninja)"",
IF(REGEXMATCH(S222, ""Memórias Carandiru.*Instagram""), ""Instagram (Memórias Carandiru)"",
IF(REGEXMATCH(S222, ""Frente pelo Desencarceramento SP""), ""YouTube (Frente Pelo Desencarceramento SP)"",
IF(REGEXMATCH(S222, ""TV ABA""), ""YouTube (T"&amp;"V ABA)"",
IF(REGEXMATCH(S222, ""TV SENADO""), ""YouTube (TV Senado)"",
IF(REGEXMATCH(S222, ""Google Arts &amp; Culture""), ""Google Arts &amp; Culture (Memória Massacre Carandiru)"",
IF(REGEXMATCH(S222, ""Anistia Internacional|ANISTIA INTERNACIONAL""), ""Anistia "&amp;"Internacional"",
IF(REGEXMATCH(S222, ""47\.mostra|47a Mostra""), ""47a Mostra Internacional de Cinema em São Paulo"",
IF(REGEXMATCH(S222, ""Canal USP""), ""YouTube (Canal USP)"",
IF(AND(
  REGEXMATCH(S222, ""(?i)(teses?\.usp\.br|dissertacoes?\.usp\.br|rep"&amp;"ositorio\.usp\.br)""),
  NOT(REGEXMATCH(S222, ""Canal USP""))
), ""Biblioteca Digital de Teses e Dissertações da USP"",
IF(REGEXMATCH(S222, ""SINTRAJUSC""), ""SINTRAJUSC"",
IF(REGEXMATCH(S222, ""Agência Brasil|Agencia Brasil""), ""Agência Brasil"",
IF(REG"&amp;"EXMATCH(S222, ""Brasil de Fato""), ""Brasil de Fato"",
IF(REGEXMATCH(S222, ""Ponte Jornalismo|pontejornalismo""), ""Ponte Jornalismo"",
IF(REGEXMATCH(S222, ""letras\.mus\.br|Letras,""), ""Letras"",
IF(REGEXMATCH(S222, ""YouTube|youtube""), 
   ""YouTube "&amp;"(""&amp;
   IF(REGEXMATCH(S222, ""Itaú Cultural""), ""Itaú Cultural"",
   IF(REGEXMATCH(S222, ""Rede TVT""), ""Rede TVT"",
   IF(REGEXMATCH(S222, ""Frente pelo Desencarceramento SP""), ""Frente Pelo Desencarceramento SP"",
   IF(REGEXMATCH(S222, ""TV ABA""), "&amp;"""TV ABA"",
   IF(REGEXMATCH(S222, ""TV SENADO""), ""TV Senado"",
   IF(REGEXMATCH(S222, ""Canal USP""), ""Canal USP"",
   IF(REGEXMATCH(S222, ""Douer, Zack|Zack Douer""), ""Douer Zack"",
   IF(REGEXMATCH(S222, ""PRISIONEIRO 84\.901|PRISIONEIRO 84""), ""P"&amp;"risioneiro 84.901"",
   IF(REGEXMATCH(S222, ""^[^,]*, ""), 
        PROPER(REGEXREPLACE(REGEXEXTRACT(S222, ""^([^.]*)\.""), ""^([^,]*), (.*)"", ""$2 $1"")),
        PROPER(REGEXEXTRACT(S222, ""^([^.]*)\.""))
   )))))))))&amp;"")"",
IF(REGEXMATCH(S222, ""Spot"&amp;"ify|spotify""), 
   ""Spotify (""&amp;
   IF(REGEXMATCH(S222, ""ESTRANHO SORRISO""), ""Estranho Sorriso"",
   PROPER(REGEXEXTRACT(S222, ""^([^.]*)\.""))
   )&amp;"")"",
IF(REGEXMATCH(S222, ""Vimeo|vimeo""), 
   ""Vimeo (""&amp;
   IF(REGEXMATCH(S222, ""Passa Palavra"&amp;"""), ""Passa Palavra"",
   PROPER(REGEXEXTRACT(S222, ""^([^.]*)\.""))
   )&amp;"")"",
IF(REGEXMATCH(S222, ""Blogspot""), 
   ""Blogspot (""&amp;
   IF(REGEXMATCH(S222, ""rede2deoutubro""), ""Rede 02 de Outubro"",
   PROPER(REGEXEXTRACT(S222, ""^([^.]*)\.""))
   "&amp;")&amp;"")"",
IF(REGEXMATCH(S222, ""Facebook""), 
   ""Facebook (""&amp;
   IF(REGEXMATCH(S222, ""Mídia Ninja""), ""Mídia Ninja"",
   PROPER(REGEXEXTRACT(S222, ""^([^.]*)\.""))
   )&amp;"")"",
IF(REGEXMATCH(S222, ""Instagram""), 
   ""Instagram (""&amp;
   IF(REGEXMATCH"&amp;"(S222, ""Memórias Carandiru""), ""Memórias Carandiru"",
   PROPER(REGEXEXTRACT(S222, ""^([^.]*)\.""))
   )&amp;"")"",
IF(REGEXMATCH(S222, ""Folha de S\. Paulo|FOLHA DE S\. PAULO""), ""Folha de S. Paulo"",
IF(REGEXMATCH(S222, ""O Estado de S\. Paulo|ESTADAO"""&amp;"), ""O Estado de S. Paulo"",
IF(REGEXMATCH(S222, ""salasecreta""), ""Wordpress (Sala Secreta)"",
IF(REGEXMATCH(S222, ""Wikipedia|Wikipédia|WIKIPÉDIA""), ""Wikipedia"",
IF(REGEXMATCH(S222, ""VEJA|Veja""), ""Veja Abril"",
IF(REGEXMATCH(S495, ""Rede Globo|RE"&amp;"DE GLOBO""), ""Rede Globo"",
IF(REGEXMATCH(S495, ""G1|globo\.com""), ""G1"",
IF(REGEXMATCH(S222, ""Deutsche Welle|DW\.com""), ""Deutsche Welle"",
IF(REGEXMATCH(S222, ""CIDH|Comissão Interamericana""), ""Comissão Interamericana de Direitos Humanos (CIDH)"""&amp;",
IF(REGEXMATCH(S222, ""Pastoral Carcerária""), ""Pastoral Carcerária"",
IF(REGEXMATCH(S222, ""Esquerda Web""), ""Esquerda Web"",
IF(REGEXMATCH(S222, ""ONU|Organização das Nações Unidas""), ""ONU Brasil"",
IF(REGEXMATCH(S222, ""Quilombo Invisível""), ""Qu"&amp;"ilombo Invisível"",
IF(REGEXMATCH(S222, ""ALESP|Assembleia Legislativa""), ""ALESP"",
IF(REGEXMATCH(S222, ""Revista Opera""), ""Revista Opera"",
IF(REGEXMATCH(S222, ""SP Escola de Teatro""), ""SP Escola de Teatro"",
IF(REGEXMATCH(S222, ""EMC|Espaço Memóri"&amp;"a Carandiru""), ""EMC Espaço Memória Carandiru"",
IF(REGEXMATCH(S222, ""^RAMOS, Nuno|Nuno Ramos""), ""Nuno Ramos"",
IF(REGEXMATCH(S222, ""^VELOSO, Caetano|Caetano Veloso""), ""YouTube (Caetano Veloso)"",
IF(REGEXMATCH(S222, ""^FATOS REAIS""), ""YouTube ("&amp;"Fatos Reais - Topic)"",
IF(REGEXMATCH(S222, ""^SALA SECRETA""), ""Wordpress (Sala Secreta)"",
PROPER(REGEXEXTRACT(S222, ""^([^.]*)\.""))
))))))))))))))))))))))))))))))))))))))))))))))))))))))))"),"YouTube (Prisioneiro 84.901)")</f>
        <v>YouTube (Prisioneiro 84.901)</v>
      </c>
      <c r="N222" s="11" t="s">
        <v>47</v>
      </c>
      <c r="O222" s="14" t="s">
        <v>546</v>
      </c>
      <c r="P222" s="171">
        <v>45946.0</v>
      </c>
      <c r="Q222" s="11" t="s">
        <v>154</v>
      </c>
      <c r="R222" s="70" t="str">
        <f t="shared" si="8"/>
        <v>Aqui</v>
      </c>
      <c r="S222" s="172" t="s">
        <v>986</v>
      </c>
    </row>
    <row r="223">
      <c r="A223" s="11">
        <v>221.0</v>
      </c>
      <c r="B223" s="11" t="s">
        <v>703</v>
      </c>
      <c r="C223" s="12" t="str">
        <f>IFERROR(__xludf.DUMMYFUNCTION("IF(B223="""","""",IF(OR(
  REGEXMATCH(B223,""Performance|Instalação|Álbum|Música|Poema|Livro|Filme|Documentário|Recitação|Espetáculo|Peça|Intervenção|Desfile|Fotografia|Exposição|Charge|Grafite|Leitura pública|Fabricação de cachaça artesanal""),
  REGEXMA"&amp;"TCH(B223,""dança|teatral|artístico|musical|artística"")
),""Manifestação artístico-cultural"",
IF(OR(
  REGEXMATCH(B223,""Crônica|Série|Reportagem|Podcast|Audiotour|Entrevista|Vídeo|Rádio""),
  REGEXMATCH(B223,""midiática"")
),""Produção midiática"","""")"&amp;"))
"),"Produção midiática")</f>
        <v>Produção midiática</v>
      </c>
      <c r="D223" s="13" t="str">
        <f>IFERROR(__xludf.DUMMYFUNCTION("IF(B223="""","""",IF(OR(
  REGEXMATCH(B223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REGEXMATCH(B223,""público|Imediato|artística|teatral|memória"")
),""Público Imediato"",
IF(REGEXMATCH(B223,""Música|Álbum|Filme|Documentário|Série|Podc"&amp;"ast|Rádio|Audiotour|Entrevista|Reportagem|Crônica|Relatório|Abaixo-assinado|Manifesto|Petição|Poema|Livro|Fotografia|Curta|Live|Webinário|Charge|Leitura pública|Vídeo""),
""Público Mediado"","""")))
"),"Público Mediado")</f>
        <v>Público Mediado</v>
      </c>
      <c r="E223" s="13" t="str">
        <f>IFERROR(__xludf.DUMMYFUNCTION("IF(B223="""","""",IF(OR(
  REGEXMATCH(B223,""Live|Webinário|Virtual""),
  REGEXMATCH(B223,""online"")
),""Virtual"",
IF(REGEXMATCH(B223,""Música|Álbum|Filme|Documentário|Série|Podcast|Rádio|Audiotour|Episódio|Reportagem|Curta|Charge|Livro|Vídeo|Entrevista"&amp;"""),
""Midiático"",
IF(REGEXMATCH(B223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3" s="211" t="str">
        <f>IFERROR(__xludf.DUMMYFUNCTION("IF(REGEXMATCH(S223,""YouTube""),
  REGEXREPLACE(
    REGEXREPLACE(
      REGEXREPLACE(
        REGEXREPLACE(
          REGEXREPLACE(
            REGEXREPLACE(
              REGEXREPLACE(
                REGEXREPLACE(
                  REGEXREPLACE(
      "&amp;"              REGEXREPLACE(
                      REGEXREPLACE(
                        REGEXREPLACE(
                          REGEXREPLACE(
                            REGEXEXTRACT(S223,""YouTube, ([0-9]{1,2} [a-z]{3,8}\. [0-9]{4})""),
                 "&amp;"         "" jan\. "",""\/01\/""),
                        "" fev\. "",""\/02\/""),
                      "" mar\. "",""\/03\/""),
                    "" abr\. "",""\/04\/""),
                  "" mai\. "",""\/05\/""),
                "" jun\. "",""\/06\/"&amp;"""),
              "" jul\. "",""\/07\/""),
            "" ago\. "",""\/08\/""),
          "" set\. "",""\/09\/""),
        "" out\. "",""\/10\/""),
      "" nov\. "",""\/11\/""),
    "" dez\. "",""\/12\/""),
  ""\s*/\s*"",""/""),
"""")
"),"9/04/2024")</f>
        <v>9/04/2024</v>
      </c>
      <c r="G223" s="15">
        <f t="shared" si="1"/>
        <v>2024</v>
      </c>
      <c r="H223" s="14" t="s">
        <v>23</v>
      </c>
      <c r="I223" s="16" t="s">
        <v>757</v>
      </c>
      <c r="J223" s="169" t="str">
        <f>IFERROR(__xludf.DUMMYFUNCTION("REGEXEXTRACT(S223, ""\.\s(.*?)\s*YouTube"")"),"Du Rap e o dia 02 de outubro de 1992.")</f>
        <v>Du Rap e o dia 02 de outubro de 1992.</v>
      </c>
      <c r="K223" s="16" t="s">
        <v>83</v>
      </c>
      <c r="L223" s="18" t="s">
        <v>329</v>
      </c>
      <c r="M223" s="15" t="str">
        <f>IFERROR(__xludf.DUMMYFUNCTION("IF(REGEXMATCH(S223, ""Companhia das Letras""), ""Companhia das Letras"",
IF(REGEXMATCH(S223, ""Labortexto Editorial""), ""Labortexto Editorial"",
IF(REGEXMATCH(S223, ""Geração Editorial""), ""Geração Editorial"",
IF(REGEXMATCH(S223, ""Editora Imprensa Ofi"&amp;"cial|Imprensa Oficial""), ""Editora Imprensa Oficial"",
IF(REGEXMATCH(S223, ""Folha Online""), ""Folha Online"",
IF(REGEXMATCH(S223, ""FGV DIREITO SP|FGV Direito SP""), ""FGV DIREITO SP"",
IF(REGEXMATCH(S223, ""massacrecarandiru\.org\.br""), ""Memória Mas"&amp;"sacre Carandiru"",
IF(REGEXMATCH(S223, ""Itaú Cultural""), ""YouTube (Itaú Cultural)"",
IF(REGEXMATCH(S223, ""Passa Palavra""), ""Vimeo (Passa Palavra)"",
IF(REGEXMATCH(S223, ""rede2deoutubro\.blogspot""), ""Blogspot (Rede 02 de Outubro)"",
IF(REGEXMATCH("&amp;"S223, ""Rede TVT""), ""YouTube (Rede TVT)"",
IF(REGEXMATCH(S223, ""Esquerda Diário""), ""Esquerda Diário"",
IF(REGEXMATCH(S223, ""GZH""), ""GZH"",
IF(REGEXMATCH(S223, ""TVPUC""), ""TVPUC"",
IF(REGEXMATCH(S223, ""Mídia Ninja.*Facebook""), ""Facebook (Mídia"&amp;" Ninja)"",
IF(REGEXMATCH(S223, ""Memórias Carandiru.*Instagram""), ""Instagram (Memórias Carandiru)"",
IF(REGEXMATCH(S223, ""Frente pelo Desencarceramento SP""), ""YouTube (Frente Pelo Desencarceramento SP)"",
IF(REGEXMATCH(S223, ""TV ABA""), ""YouTube (T"&amp;"V ABA)"",
IF(REGEXMATCH(S223, ""TV SENADO""), ""YouTube (TV Senado)"",
IF(REGEXMATCH(S223, ""Google Arts &amp; Culture""), ""Google Arts &amp; Culture (Memória Massacre Carandiru)"",
IF(REGEXMATCH(S223, ""Anistia Internacional|ANISTIA INTERNACIONAL""), ""Anistia "&amp;"Internacional"",
IF(REGEXMATCH(S223, ""47\.mostra|47a Mostra""), ""47a Mostra Internacional de Cinema em São Paulo"",
IF(REGEXMATCH(S223, ""Canal USP""), ""YouTube (Canal USP)"",
IF(AND(
  REGEXMATCH(S223, ""(?i)(teses?\.usp\.br|dissertacoes?\.usp\.br|rep"&amp;"ositorio\.usp\.br)""),
  NOT(REGEXMATCH(S223, ""Canal USP""))
), ""Biblioteca Digital de Teses e Dissertações da USP"",
IF(REGEXMATCH(S223, ""SINTRAJUSC""), ""SINTRAJUSC"",
IF(REGEXMATCH(S223, ""Agência Brasil|Agencia Brasil""), ""Agência Brasil"",
IF(REG"&amp;"EXMATCH(S223, ""Brasil de Fato""), ""Brasil de Fato"",
IF(REGEXMATCH(S223, ""Ponte Jornalismo|pontejornalismo""), ""Ponte Jornalismo"",
IF(REGEXMATCH(S223, ""letras\.mus\.br|Letras,""), ""Letras"",
IF(REGEXMATCH(S223, ""YouTube|youtube""), 
   ""YouTube "&amp;"(""&amp;
   IF(REGEXMATCH(S223, ""Itaú Cultural""), ""Itaú Cultural"",
   IF(REGEXMATCH(S223, ""Rede TVT""), ""Rede TVT"",
   IF(REGEXMATCH(S223, ""Frente pelo Desencarceramento SP""), ""Frente Pelo Desencarceramento SP"",
   IF(REGEXMATCH(S223, ""TV ABA""), "&amp;"""TV ABA"",
   IF(REGEXMATCH(S223, ""TV SENADO""), ""TV Senado"",
   IF(REGEXMATCH(S223, ""Canal USP""), ""Canal USP"",
   IF(REGEXMATCH(S223, ""Douer, Zack|Zack Douer""), ""Douer Zack"",
   IF(REGEXMATCH(S223, ""PRISIONEIRO 84\.901|PRISIONEIRO 84""), ""P"&amp;"risioneiro 84.901"",
   IF(REGEXMATCH(S223, ""^[^,]*, ""), 
        PROPER(REGEXREPLACE(REGEXEXTRACT(S223, ""^([^.]*)\.""), ""^([^,]*), (.*)"", ""$2 $1"")),
        PROPER(REGEXEXTRACT(S223, ""^([^.]*)\.""))
   )))))))))&amp;"")"",
IF(REGEXMATCH(S223, ""Spot"&amp;"ify|spotify""), 
   ""Spotify (""&amp;
   IF(REGEXMATCH(S223, ""ESTRANHO SORRISO""), ""Estranho Sorriso"",
   PROPER(REGEXEXTRACT(S223, ""^([^.]*)\.""))
   )&amp;"")"",
IF(REGEXMATCH(S223, ""Vimeo|vimeo""), 
   ""Vimeo (""&amp;
   IF(REGEXMATCH(S223, ""Passa Palavra"&amp;"""), ""Passa Palavra"",
   PROPER(REGEXEXTRACT(S223, ""^([^.]*)\.""))
   )&amp;"")"",
IF(REGEXMATCH(S223, ""Blogspot""), 
   ""Blogspot (""&amp;
   IF(REGEXMATCH(S223, ""rede2deoutubro""), ""Rede 02 de Outubro"",
   PROPER(REGEXEXTRACT(S223, ""^([^.]*)\.""))
   "&amp;")&amp;"")"",
IF(REGEXMATCH(S223, ""Facebook""), 
   ""Facebook (""&amp;
   IF(REGEXMATCH(S223, ""Mídia Ninja""), ""Mídia Ninja"",
   PROPER(REGEXEXTRACT(S223, ""^([^.]*)\.""))
   )&amp;"")"",
IF(REGEXMATCH(S223, ""Instagram""), 
   ""Instagram (""&amp;
   IF(REGEXMATCH"&amp;"(S223, ""Memórias Carandiru""), ""Memórias Carandiru"",
   PROPER(REGEXEXTRACT(S223, ""^([^.]*)\.""))
   )&amp;"")"",
IF(REGEXMATCH(S223, ""Folha de S\. Paulo|FOLHA DE S\. PAULO""), ""Folha de S. Paulo"",
IF(REGEXMATCH(S223, ""O Estado de S\. Paulo|ESTADAO"""&amp;"), ""O Estado de S. Paulo"",
IF(REGEXMATCH(S223, ""salasecreta""), ""Wordpress (Sala Secreta)"",
IF(REGEXMATCH(S223, ""Wikipedia|Wikipédia|WIKIPÉDIA""), ""Wikipedia"",
IF(REGEXMATCH(S223, ""VEJA|Veja""), ""Veja Abril"",
IF(REGEXMATCH(S496, ""Rede Globo|RE"&amp;"DE GLOBO""), ""Rede Globo"",
IF(REGEXMATCH(S496, ""G1|globo\.com""), ""G1"",
IF(REGEXMATCH(S223, ""Deutsche Welle|DW\.com""), ""Deutsche Welle"",
IF(REGEXMATCH(S223, ""CIDH|Comissão Interamericana""), ""Comissão Interamericana de Direitos Humanos (CIDH)"""&amp;",
IF(REGEXMATCH(S223, ""Pastoral Carcerária""), ""Pastoral Carcerária"",
IF(REGEXMATCH(S223, ""Esquerda Web""), ""Esquerda Web"",
IF(REGEXMATCH(S223, ""ONU|Organização das Nações Unidas""), ""ONU Brasil"",
IF(REGEXMATCH(S223, ""Quilombo Invisível""), ""Qu"&amp;"ilombo Invisível"",
IF(REGEXMATCH(S223, ""ALESP|Assembleia Legislativa""), ""ALESP"",
IF(REGEXMATCH(S223, ""Revista Opera""), ""Revista Opera"",
IF(REGEXMATCH(S223, ""SP Escola de Teatro""), ""SP Escola de Teatro"",
IF(REGEXMATCH(S223, ""EMC|Espaço Memóri"&amp;"a Carandiru""), ""EMC Espaço Memória Carandiru"",
IF(REGEXMATCH(S223, ""^RAMOS, Nuno|Nuno Ramos""), ""Nuno Ramos"",
IF(REGEXMATCH(S223, ""^VELOSO, Caetano|Caetano Veloso""), ""YouTube (Caetano Veloso)"",
IF(REGEXMATCH(S223, ""^FATOS REAIS""), ""YouTube ("&amp;"Fatos Reais - Topic)"",
IF(REGEXMATCH(S223, ""^SALA SECRETA""), ""Wordpress (Sala Secreta)"",
PROPER(REGEXEXTRACT(S223, ""^([^.]*)\.""))
))))))))))))))))))))))))))))))))))))))))))))))))))))))))"),"YouTube (Prisioneiro 84.901)")</f>
        <v>YouTube (Prisioneiro 84.901)</v>
      </c>
      <c r="N223" s="11" t="s">
        <v>47</v>
      </c>
      <c r="O223" s="14" t="s">
        <v>546</v>
      </c>
      <c r="P223" s="171">
        <v>45946.0</v>
      </c>
      <c r="Q223" s="11" t="s">
        <v>154</v>
      </c>
      <c r="R223" s="70" t="str">
        <f t="shared" si="8"/>
        <v>Aqui</v>
      </c>
      <c r="S223" s="172" t="s">
        <v>987</v>
      </c>
    </row>
    <row r="224">
      <c r="A224" s="11">
        <v>222.0</v>
      </c>
      <c r="B224" s="11" t="s">
        <v>703</v>
      </c>
      <c r="C224" s="12" t="str">
        <f>IFERROR(__xludf.DUMMYFUNCTION("IF(B224="""","""",IF(OR(
  REGEXMATCH(B224,""Performance|Instalação|Álbum|Música|Poema|Livro|Filme|Documentário|Recitação|Espetáculo|Peça|Intervenção|Desfile|Fotografia|Exposição|Charge|Grafite|Leitura pública|Fabricação de cachaça artesanal""),
  REGEXMA"&amp;"TCH(B224,""dança|teatral|artístico|musical|artística"")
),""Manifestação artístico-cultural"",
IF(OR(
  REGEXMATCH(B224,""Crônica|Série|Reportagem|Podcast|Audiotour|Entrevista|Vídeo|Rádio""),
  REGEXMATCH(B224,""midiática"")
),""Produção midiática"","""")"&amp;"))
"),"Produção midiática")</f>
        <v>Produção midiática</v>
      </c>
      <c r="D224" s="13" t="str">
        <f>IFERROR(__xludf.DUMMYFUNCTION("IF(B224="""","""",IF(OR(
  REGEXMATCH(B224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REGEXMATCH(B224,""público|Imediato|artística|teatral|memória"")
),""Público Imediato"",
IF(REGEXMATCH(B224,""Música|Álbum|Filme|Documentário|Série|Podc"&amp;"ast|Rádio|Audiotour|Entrevista|Reportagem|Crônica|Relatório|Abaixo-assinado|Manifesto|Petição|Poema|Livro|Fotografia|Curta|Live|Webinário|Charge|Leitura pública|Vídeo""),
""Público Mediado"","""")))
"),"Público Mediado")</f>
        <v>Público Mediado</v>
      </c>
      <c r="E224" s="13" t="str">
        <f>IFERROR(__xludf.DUMMYFUNCTION("IF(B224="""","""",IF(OR(
  REGEXMATCH(B224,""Live|Webinário|Virtual""),
  REGEXMATCH(B224,""online"")
),""Virtual"",
IF(REGEXMATCH(B224,""Música|Álbum|Filme|Documentário|Série|Podcast|Rádio|Audiotour|Episódio|Reportagem|Curta|Charge|Livro|Vídeo|Entrevista"&amp;"""),
""Midiático"",
IF(REGEXMATCH(B224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4" s="211" t="str">
        <f>IFERROR(__xludf.DUMMYFUNCTION("IF(REGEXMATCH(S224,""YouTube""),
  REGEXREPLACE(
    REGEXREPLACE(
      REGEXREPLACE(
        REGEXREPLACE(
          REGEXREPLACE(
            REGEXREPLACE(
              REGEXREPLACE(
                REGEXREPLACE(
                  REGEXREPLACE(
      "&amp;"              REGEXREPLACE(
                      REGEXREPLACE(
                        REGEXREPLACE(
                          REGEXREPLACE(
                            REGEXEXTRACT(S224,""YouTube, ([0-9]{1,2} [a-z]{3,8}\. [0-9]{4})""),
                 "&amp;"         "" jan\. "",""\/01\/""),
                        "" fev\. "",""\/02\/""),
                      "" mar\. "",""\/03\/""),
                    "" abr\. "",""\/04\/""),
                  "" mai\. "",""\/05\/""),
                "" jun\. "",""\/06\/"&amp;"""),
              "" jul\. "",""\/07\/""),
            "" ago\. "",""\/08\/""),
          "" set\. "",""\/09\/""),
        "" out\. "",""\/10\/""),
      "" nov\. "",""\/11\/""),
    "" dez\. "",""\/12\/""),
  ""\s*/\s*"",""/""),
"""")
"),"2/04/2024")</f>
        <v>2/04/2024</v>
      </c>
      <c r="G224" s="15">
        <f t="shared" si="1"/>
        <v>2024</v>
      </c>
      <c r="H224" s="14" t="s">
        <v>23</v>
      </c>
      <c r="I224" s="16" t="s">
        <v>757</v>
      </c>
      <c r="J224" s="169" t="str">
        <f>IFERROR(__xludf.DUMMYFUNCTION("REGEXEXTRACT(S224, ""\.\s(.*?)\s*YouTube"")"),"Tudo nublado no dia 02 de outubro de 1992: José Paulino (Bizil).")</f>
        <v>Tudo nublado no dia 02 de outubro de 1992: José Paulino (Bizil).</v>
      </c>
      <c r="K224" s="16" t="s">
        <v>83</v>
      </c>
      <c r="L224" s="18" t="s">
        <v>329</v>
      </c>
      <c r="M224" s="15" t="str">
        <f>IFERROR(__xludf.DUMMYFUNCTION("IF(REGEXMATCH(S224, ""Companhia das Letras""), ""Companhia das Letras"",
IF(REGEXMATCH(S224, ""Labortexto Editorial""), ""Labortexto Editorial"",
IF(REGEXMATCH(S224, ""Geração Editorial""), ""Geração Editorial"",
IF(REGEXMATCH(S224, ""Editora Imprensa Ofi"&amp;"cial|Imprensa Oficial""), ""Editora Imprensa Oficial"",
IF(REGEXMATCH(S224, ""Folha Online""), ""Folha Online"",
IF(REGEXMATCH(S224, ""FGV DIREITO SP|FGV Direito SP""), ""FGV DIREITO SP"",
IF(REGEXMATCH(S224, ""massacrecarandiru\.org\.br""), ""Memória Mas"&amp;"sacre Carandiru"",
IF(REGEXMATCH(S224, ""Itaú Cultural""), ""YouTube (Itaú Cultural)"",
IF(REGEXMATCH(S224, ""Passa Palavra""), ""Vimeo (Passa Palavra)"",
IF(REGEXMATCH(S224, ""rede2deoutubro\.blogspot""), ""Blogspot (Rede 02 de Outubro)"",
IF(REGEXMATCH("&amp;"S224, ""Rede TVT""), ""YouTube (Rede TVT)"",
IF(REGEXMATCH(S224, ""Esquerda Diário""), ""Esquerda Diário"",
IF(REGEXMATCH(S224, ""GZH""), ""GZH"",
IF(REGEXMATCH(S224, ""TVPUC""), ""TVPUC"",
IF(REGEXMATCH(S224, ""Mídia Ninja.*Facebook""), ""Facebook (Mídia"&amp;" Ninja)"",
IF(REGEXMATCH(S224, ""Memórias Carandiru.*Instagram""), ""Instagram (Memórias Carandiru)"",
IF(REGEXMATCH(S224, ""Frente pelo Desencarceramento SP""), ""YouTube (Frente Pelo Desencarceramento SP)"",
IF(REGEXMATCH(S224, ""TV ABA""), ""YouTube (T"&amp;"V ABA)"",
IF(REGEXMATCH(S224, ""TV SENADO""), ""YouTube (TV Senado)"",
IF(REGEXMATCH(S224, ""Google Arts &amp; Culture""), ""Google Arts &amp; Culture (Memória Massacre Carandiru)"",
IF(REGEXMATCH(S224, ""Anistia Internacional|ANISTIA INTERNACIONAL""), ""Anistia "&amp;"Internacional"",
IF(REGEXMATCH(S224, ""47\.mostra|47a Mostra""), ""47a Mostra Internacional de Cinema em São Paulo"",
IF(REGEXMATCH(S224, ""Canal USP""), ""YouTube (Canal USP)"",
IF(AND(
  REGEXMATCH(S224, ""(?i)(teses?\.usp\.br|dissertacoes?\.usp\.br|rep"&amp;"ositorio\.usp\.br)""),
  NOT(REGEXMATCH(S224, ""Canal USP""))
), ""Biblioteca Digital de Teses e Dissertações da USP"",
IF(REGEXMATCH(S224, ""SINTRAJUSC""), ""SINTRAJUSC"",
IF(REGEXMATCH(S224, ""Agência Brasil|Agencia Brasil""), ""Agência Brasil"",
IF(REG"&amp;"EXMATCH(S224, ""Brasil de Fato""), ""Brasil de Fato"",
IF(REGEXMATCH(S224, ""Ponte Jornalismo|pontejornalismo""), ""Ponte Jornalismo"",
IF(REGEXMATCH(S224, ""letras\.mus\.br|Letras,""), ""Letras"",
IF(REGEXMATCH(S224, ""YouTube|youtube""), 
   ""YouTube "&amp;"(""&amp;
   IF(REGEXMATCH(S224, ""Itaú Cultural""), ""Itaú Cultural"",
   IF(REGEXMATCH(S224, ""Rede TVT""), ""Rede TVT"",
   IF(REGEXMATCH(S224, ""Frente pelo Desencarceramento SP""), ""Frente Pelo Desencarceramento SP"",
   IF(REGEXMATCH(S224, ""TV ABA""), "&amp;"""TV ABA"",
   IF(REGEXMATCH(S224, ""TV SENADO""), ""TV Senado"",
   IF(REGEXMATCH(S224, ""Canal USP""), ""Canal USP"",
   IF(REGEXMATCH(S224, ""Douer, Zack|Zack Douer""), ""Douer Zack"",
   IF(REGEXMATCH(S224, ""PRISIONEIRO 84\.901|PRISIONEIRO 84""), ""P"&amp;"risioneiro 84.901"",
   IF(REGEXMATCH(S224, ""^[^,]*, ""), 
        PROPER(REGEXREPLACE(REGEXEXTRACT(S224, ""^([^.]*)\.""), ""^([^,]*), (.*)"", ""$2 $1"")),
        PROPER(REGEXEXTRACT(S224, ""^([^.]*)\.""))
   )))))))))&amp;"")"",
IF(REGEXMATCH(S224, ""Spot"&amp;"ify|spotify""), 
   ""Spotify (""&amp;
   IF(REGEXMATCH(S224, ""ESTRANHO SORRISO""), ""Estranho Sorriso"",
   PROPER(REGEXEXTRACT(S224, ""^([^.]*)\.""))
   )&amp;"")"",
IF(REGEXMATCH(S224, ""Vimeo|vimeo""), 
   ""Vimeo (""&amp;
   IF(REGEXMATCH(S224, ""Passa Palavra"&amp;"""), ""Passa Palavra"",
   PROPER(REGEXEXTRACT(S224, ""^([^.]*)\.""))
   )&amp;"")"",
IF(REGEXMATCH(S224, ""Blogspot""), 
   ""Blogspot (""&amp;
   IF(REGEXMATCH(S224, ""rede2deoutubro""), ""Rede 02 de Outubro"",
   PROPER(REGEXEXTRACT(S224, ""^([^.]*)\.""))
   "&amp;")&amp;"")"",
IF(REGEXMATCH(S224, ""Facebook""), 
   ""Facebook (""&amp;
   IF(REGEXMATCH(S224, ""Mídia Ninja""), ""Mídia Ninja"",
   PROPER(REGEXEXTRACT(S224, ""^([^.]*)\.""))
   )&amp;"")"",
IF(REGEXMATCH(S224, ""Instagram""), 
   ""Instagram (""&amp;
   IF(REGEXMATCH"&amp;"(S224, ""Memórias Carandiru""), ""Memórias Carandiru"",
   PROPER(REGEXEXTRACT(S224, ""^([^.]*)\.""))
   )&amp;"")"",
IF(REGEXMATCH(S224, ""Folha de S\. Paulo|FOLHA DE S\. PAULO""), ""Folha de S. Paulo"",
IF(REGEXMATCH(S224, ""O Estado de S\. Paulo|ESTADAO"""&amp;"), ""O Estado de S. Paulo"",
IF(REGEXMATCH(S224, ""salasecreta""), ""Wordpress (Sala Secreta)"",
IF(REGEXMATCH(S224, ""Wikipedia|Wikipédia|WIKIPÉDIA""), ""Wikipedia"",
IF(REGEXMATCH(S224, ""VEJA|Veja""), ""Veja Abril"",
IF(REGEXMATCH(S497, ""Rede Globo|RE"&amp;"DE GLOBO""), ""Rede Globo"",
IF(REGEXMATCH(S497, ""G1|globo\.com""), ""G1"",
IF(REGEXMATCH(S224, ""Deutsche Welle|DW\.com""), ""Deutsche Welle"",
IF(REGEXMATCH(S224, ""CIDH|Comissão Interamericana""), ""Comissão Interamericana de Direitos Humanos (CIDH)"""&amp;",
IF(REGEXMATCH(S224, ""Pastoral Carcerária""), ""Pastoral Carcerária"",
IF(REGEXMATCH(S224, ""Esquerda Web""), ""Esquerda Web"",
IF(REGEXMATCH(S224, ""ONU|Organização das Nações Unidas""), ""ONU Brasil"",
IF(REGEXMATCH(S224, ""Quilombo Invisível""), ""Qu"&amp;"ilombo Invisível"",
IF(REGEXMATCH(S224, ""ALESP|Assembleia Legislativa""), ""ALESP"",
IF(REGEXMATCH(S224, ""Revista Opera""), ""Revista Opera"",
IF(REGEXMATCH(S224, ""SP Escola de Teatro""), ""SP Escola de Teatro"",
IF(REGEXMATCH(S224, ""EMC|Espaço Memóri"&amp;"a Carandiru""), ""EMC Espaço Memória Carandiru"",
IF(REGEXMATCH(S224, ""^RAMOS, Nuno|Nuno Ramos""), ""Nuno Ramos"",
IF(REGEXMATCH(S224, ""^VELOSO, Caetano|Caetano Veloso""), ""YouTube (Caetano Veloso)"",
IF(REGEXMATCH(S224, ""^FATOS REAIS""), ""YouTube ("&amp;"Fatos Reais - Topic)"",
IF(REGEXMATCH(S224, ""^SALA SECRETA""), ""Wordpress (Sala Secreta)"",
PROPER(REGEXEXTRACT(S224, ""^([^.]*)\.""))
))))))))))))))))))))))))))))))))))))))))))))))))))))))))"),"YouTube (Prisioneiro 84.901)")</f>
        <v>YouTube (Prisioneiro 84.901)</v>
      </c>
      <c r="N224" s="11" t="s">
        <v>47</v>
      </c>
      <c r="O224" s="14" t="s">
        <v>546</v>
      </c>
      <c r="P224" s="171">
        <v>45946.0</v>
      </c>
      <c r="Q224" s="11" t="s">
        <v>154</v>
      </c>
      <c r="R224" s="70" t="str">
        <f t="shared" si="8"/>
        <v>Aqui</v>
      </c>
      <c r="S224" s="172" t="s">
        <v>988</v>
      </c>
    </row>
    <row r="225">
      <c r="A225" s="11">
        <v>223.0</v>
      </c>
      <c r="B225" s="11" t="s">
        <v>703</v>
      </c>
      <c r="C225" s="12" t="str">
        <f>IFERROR(__xludf.DUMMYFUNCTION("IF(B225="""","""",IF(OR(
  REGEXMATCH(B225,""Performance|Instalação|Álbum|Música|Poema|Livro|Filme|Documentário|Recitação|Espetáculo|Peça|Intervenção|Desfile|Fotografia|Exposição|Charge|Grafite|Leitura pública|Fabricação de cachaça artesanal""),
  REGEXMA"&amp;"TCH(B225,""dança|teatral|artístico|musical|artística"")
),""Manifestação artístico-cultural"",
IF(OR(
  REGEXMATCH(B225,""Crônica|Série|Reportagem|Podcast|Audiotour|Entrevista|Vídeo|Rádio""),
  REGEXMATCH(B225,""midiática"")
),""Produção midiática"","""")"&amp;"))
"),"Produção midiática")</f>
        <v>Produção midiática</v>
      </c>
      <c r="D225" s="13" t="str">
        <f>IFERROR(__xludf.DUMMYFUNCTION("IF(B225="""","""",IF(OR(
  REGEXMATCH(B225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REGEXMATCH(B225,""público|Imediato|artística|teatral|memória"")
),""Público Imediato"",
IF(REGEXMATCH(B225,""Música|Álbum|Filme|Documentário|Série|Podc"&amp;"ast|Rádio|Audiotour|Entrevista|Reportagem|Crônica|Relatório|Abaixo-assinado|Manifesto|Petição|Poema|Livro|Fotografia|Curta|Live|Webinário|Charge|Leitura pública|Vídeo""),
""Público Mediado"","""")))
"),"Público Mediado")</f>
        <v>Público Mediado</v>
      </c>
      <c r="E225" s="13" t="str">
        <f>IFERROR(__xludf.DUMMYFUNCTION("IF(B225="""","""",IF(OR(
  REGEXMATCH(B225,""Live|Webinário|Virtual""),
  REGEXMATCH(B225,""online"")
),""Virtual"",
IF(REGEXMATCH(B225,""Música|Álbum|Filme|Documentário|Série|Podcast|Rádio|Audiotour|Episódio|Reportagem|Curta|Charge|Livro|Vídeo|Entrevista"&amp;"""),
""Midiático"",
IF(REGEXMATCH(B225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5" s="211" t="str">
        <f>IFERROR(__xludf.DUMMYFUNCTION("IF(REGEXMATCH(S225,""YouTube""),
  REGEXREPLACE(
    REGEXREPLACE(
      REGEXREPLACE(
        REGEXREPLACE(
          REGEXREPLACE(
            REGEXREPLACE(
              REGEXREPLACE(
                REGEXREPLACE(
                  REGEXREPLACE(
      "&amp;"              REGEXREPLACE(
                      REGEXREPLACE(
                        REGEXREPLACE(
                          REGEXREPLACE(
                            REGEXEXTRACT(S225,""YouTube, ([0-9]{1,2} [a-z]{3,8}\. [0-9]{4})""),
                 "&amp;"         "" jan\. "",""\/01\/""),
                        "" fev\. "",""\/02\/""),
                      "" mar\. "",""\/03\/""),
                    "" abr\. "",""\/04\/""),
                  "" mai\. "",""\/05\/""),
                "" jun\. "",""\/06\/"&amp;"""),
              "" jul\. "",""\/07\/""),
            "" ago\. "",""\/08\/""),
          "" set\. "",""\/09\/""),
        "" out\. "",""\/10\/""),
      "" nov\. "",""\/11\/""),
    "" dez\. "",""\/12\/""),
  ""\s*/\s*"",""/""),
"""")
"),"15/03/2024")</f>
        <v>15/03/2024</v>
      </c>
      <c r="G225" s="15">
        <f t="shared" si="1"/>
        <v>2024</v>
      </c>
      <c r="H225" s="14" t="s">
        <v>23</v>
      </c>
      <c r="I225" s="16" t="s">
        <v>757</v>
      </c>
      <c r="J225" s="169" t="str">
        <f>IFERROR(__xludf.DUMMYFUNCTION("REGEXEXTRACT(S225, ""\.\s(.*?)\s*YouTube"")"),"“Caminhos antes do crime e prisão”: Zé Roberto, sobrevivente do massacre na Casa de Detenção.")</f>
        <v>“Caminhos antes do crime e prisão”: Zé Roberto, sobrevivente do massacre na Casa de Detenção.</v>
      </c>
      <c r="K225" s="16" t="s">
        <v>83</v>
      </c>
      <c r="L225" s="18" t="s">
        <v>329</v>
      </c>
      <c r="M225" s="15" t="str">
        <f>IFERROR(__xludf.DUMMYFUNCTION("IF(REGEXMATCH(S225, ""Companhia das Letras""), ""Companhia das Letras"",
IF(REGEXMATCH(S225, ""Labortexto Editorial""), ""Labortexto Editorial"",
IF(REGEXMATCH(S225, ""Geração Editorial""), ""Geração Editorial"",
IF(REGEXMATCH(S225, ""Editora Imprensa Ofi"&amp;"cial|Imprensa Oficial""), ""Editora Imprensa Oficial"",
IF(REGEXMATCH(S225, ""Folha Online""), ""Folha Online"",
IF(REGEXMATCH(S225, ""FGV DIREITO SP|FGV Direito SP""), ""FGV DIREITO SP"",
IF(REGEXMATCH(S225, ""massacrecarandiru\.org\.br""), ""Memória Mas"&amp;"sacre Carandiru"",
IF(REGEXMATCH(S225, ""Itaú Cultural""), ""YouTube (Itaú Cultural)"",
IF(REGEXMATCH(S225, ""Passa Palavra""), ""Vimeo (Passa Palavra)"",
IF(REGEXMATCH(S225, ""rede2deoutubro\.blogspot""), ""Blogspot (Rede 02 de Outubro)"",
IF(REGEXMATCH("&amp;"S225, ""Rede TVT""), ""YouTube (Rede TVT)"",
IF(REGEXMATCH(S225, ""Esquerda Diário""), ""Esquerda Diário"",
IF(REGEXMATCH(S225, ""GZH""), ""GZH"",
IF(REGEXMATCH(S225, ""TVPUC""), ""TVPUC"",
IF(REGEXMATCH(S225, ""Mídia Ninja.*Facebook""), ""Facebook (Mídia"&amp;" Ninja)"",
IF(REGEXMATCH(S225, ""Memórias Carandiru.*Instagram""), ""Instagram (Memórias Carandiru)"",
IF(REGEXMATCH(S225, ""Frente pelo Desencarceramento SP""), ""YouTube (Frente Pelo Desencarceramento SP)"",
IF(REGEXMATCH(S225, ""TV ABA""), ""YouTube (T"&amp;"V ABA)"",
IF(REGEXMATCH(S225, ""TV SENADO""), ""YouTube (TV Senado)"",
IF(REGEXMATCH(S225, ""Google Arts &amp; Culture""), ""Google Arts &amp; Culture (Memória Massacre Carandiru)"",
IF(REGEXMATCH(S225, ""Anistia Internacional|ANISTIA INTERNACIONAL""), ""Anistia "&amp;"Internacional"",
IF(REGEXMATCH(S225, ""47\.mostra|47a Mostra""), ""47a Mostra Internacional de Cinema em São Paulo"",
IF(REGEXMATCH(S225, ""Canal USP""), ""YouTube (Canal USP)"",
IF(AND(
  REGEXMATCH(S225, ""(?i)(teses?\.usp\.br|dissertacoes?\.usp\.br|rep"&amp;"ositorio\.usp\.br)""),
  NOT(REGEXMATCH(S225, ""Canal USP""))
), ""Biblioteca Digital de Teses e Dissertações da USP"",
IF(REGEXMATCH(S225, ""SINTRAJUSC""), ""SINTRAJUSC"",
IF(REGEXMATCH(S225, ""Agência Brasil|Agencia Brasil""), ""Agência Brasil"",
IF(REG"&amp;"EXMATCH(S225, ""Brasil de Fato""), ""Brasil de Fato"",
IF(REGEXMATCH(S225, ""Ponte Jornalismo|pontejornalismo""), ""Ponte Jornalismo"",
IF(REGEXMATCH(S225, ""letras\.mus\.br|Letras,""), ""Letras"",
IF(REGEXMATCH(S225, ""YouTube|youtube""), 
   ""YouTube "&amp;"(""&amp;
   IF(REGEXMATCH(S225, ""Itaú Cultural""), ""Itaú Cultural"",
   IF(REGEXMATCH(S225, ""Rede TVT""), ""Rede TVT"",
   IF(REGEXMATCH(S225, ""Frente pelo Desencarceramento SP""), ""Frente Pelo Desencarceramento SP"",
   IF(REGEXMATCH(S225, ""TV ABA""), "&amp;"""TV ABA"",
   IF(REGEXMATCH(S225, ""TV SENADO""), ""TV Senado"",
   IF(REGEXMATCH(S225, ""Canal USP""), ""Canal USP"",
   IF(REGEXMATCH(S225, ""Douer, Zack|Zack Douer""), ""Douer Zack"",
   IF(REGEXMATCH(S225, ""PRISIONEIRO 84\.901|PRISIONEIRO 84""), ""P"&amp;"risioneiro 84.901"",
   IF(REGEXMATCH(S225, ""^[^,]*, ""), 
        PROPER(REGEXREPLACE(REGEXEXTRACT(S225, ""^([^.]*)\.""), ""^([^,]*), (.*)"", ""$2 $1"")),
        PROPER(REGEXEXTRACT(S225, ""^([^.]*)\.""))
   )))))))))&amp;"")"",
IF(REGEXMATCH(S225, ""Spot"&amp;"ify|spotify""), 
   ""Spotify (""&amp;
   IF(REGEXMATCH(S225, ""ESTRANHO SORRISO""), ""Estranho Sorriso"",
   PROPER(REGEXEXTRACT(S225, ""^([^.]*)\.""))
   )&amp;"")"",
IF(REGEXMATCH(S225, ""Vimeo|vimeo""), 
   ""Vimeo (""&amp;
   IF(REGEXMATCH(S225, ""Passa Palavra"&amp;"""), ""Passa Palavra"",
   PROPER(REGEXEXTRACT(S225, ""^([^.]*)\.""))
   )&amp;"")"",
IF(REGEXMATCH(S225, ""Blogspot""), 
   ""Blogspot (""&amp;
   IF(REGEXMATCH(S225, ""rede2deoutubro""), ""Rede 02 de Outubro"",
   PROPER(REGEXEXTRACT(S225, ""^([^.]*)\.""))
   "&amp;")&amp;"")"",
IF(REGEXMATCH(S225, ""Facebook""), 
   ""Facebook (""&amp;
   IF(REGEXMATCH(S225, ""Mídia Ninja""), ""Mídia Ninja"",
   PROPER(REGEXEXTRACT(S225, ""^([^.]*)\.""))
   )&amp;"")"",
IF(REGEXMATCH(S225, ""Instagram""), 
   ""Instagram (""&amp;
   IF(REGEXMATCH"&amp;"(S225, ""Memórias Carandiru""), ""Memórias Carandiru"",
   PROPER(REGEXEXTRACT(S225, ""^([^.]*)\.""))
   )&amp;"")"",
IF(REGEXMATCH(S225, ""Folha de S\. Paulo|FOLHA DE S\. PAULO""), ""Folha de S. Paulo"",
IF(REGEXMATCH(S225, ""O Estado de S\. Paulo|ESTADAO"""&amp;"), ""O Estado de S. Paulo"",
IF(REGEXMATCH(S225, ""salasecreta""), ""Wordpress (Sala Secreta)"",
IF(REGEXMATCH(S225, ""Wikipedia|Wikipédia|WIKIPÉDIA""), ""Wikipedia"",
IF(REGEXMATCH(S225, ""VEJA|Veja""), ""Veja Abril"",
IF(REGEXMATCH(S498, ""Rede Globo|RE"&amp;"DE GLOBO""), ""Rede Globo"",
IF(REGEXMATCH(S498, ""G1|globo\.com""), ""G1"",
IF(REGEXMATCH(S225, ""Deutsche Welle|DW\.com""), ""Deutsche Welle"",
IF(REGEXMATCH(S225, ""CIDH|Comissão Interamericana""), ""Comissão Interamericana de Direitos Humanos (CIDH)"""&amp;",
IF(REGEXMATCH(S225, ""Pastoral Carcerária""), ""Pastoral Carcerária"",
IF(REGEXMATCH(S225, ""Esquerda Web""), ""Esquerda Web"",
IF(REGEXMATCH(S225, ""ONU|Organização das Nações Unidas""), ""ONU Brasil"",
IF(REGEXMATCH(S225, ""Quilombo Invisível""), ""Qu"&amp;"ilombo Invisível"",
IF(REGEXMATCH(S225, ""ALESP|Assembleia Legislativa""), ""ALESP"",
IF(REGEXMATCH(S225, ""Revista Opera""), ""Revista Opera"",
IF(REGEXMATCH(S225, ""SP Escola de Teatro""), ""SP Escola de Teatro"",
IF(REGEXMATCH(S225, ""EMC|Espaço Memóri"&amp;"a Carandiru""), ""EMC Espaço Memória Carandiru"",
IF(REGEXMATCH(S225, ""^RAMOS, Nuno|Nuno Ramos""), ""Nuno Ramos"",
IF(REGEXMATCH(S225, ""^VELOSO, Caetano|Caetano Veloso""), ""YouTube (Caetano Veloso)"",
IF(REGEXMATCH(S225, ""^FATOS REAIS""), ""YouTube ("&amp;"Fatos Reais - Topic)"",
IF(REGEXMATCH(S225, ""^SALA SECRETA""), ""Wordpress (Sala Secreta)"",
PROPER(REGEXEXTRACT(S225, ""^([^.]*)\.""))
))))))))))))))))))))))))))))))))))))))))))))))))))))))))"),"YouTube (Prisioneiro 84.901)")</f>
        <v>YouTube (Prisioneiro 84.901)</v>
      </c>
      <c r="N225" s="11" t="s">
        <v>47</v>
      </c>
      <c r="O225" s="14" t="s">
        <v>546</v>
      </c>
      <c r="P225" s="171">
        <v>45946.0</v>
      </c>
      <c r="Q225" s="11" t="s">
        <v>154</v>
      </c>
      <c r="R225" s="70" t="str">
        <f t="shared" si="8"/>
        <v>Aqui</v>
      </c>
      <c r="S225" s="172" t="s">
        <v>989</v>
      </c>
    </row>
    <row r="226">
      <c r="A226" s="11">
        <v>224.0</v>
      </c>
      <c r="B226" s="11" t="s">
        <v>703</v>
      </c>
      <c r="C226" s="12" t="str">
        <f>IFERROR(__xludf.DUMMYFUNCTION("IF(B226="""","""",IF(OR(
  REGEXMATCH(B226,""Performance|Instalação|Álbum|Música|Poema|Livro|Filme|Documentário|Recitação|Espetáculo|Peça|Intervenção|Desfile|Fotografia|Exposição|Charge|Grafite|Leitura pública|Fabricação de cachaça artesanal""),
  REGEXMA"&amp;"TCH(B226,""dança|teatral|artístico|musical|artística"")
),""Manifestação artístico-cultural"",
IF(OR(
  REGEXMATCH(B226,""Crônica|Série|Reportagem|Podcast|Audiotour|Entrevista|Vídeo|Rádio""),
  REGEXMATCH(B226,""midiática"")
),""Produção midiática"","""")"&amp;"))
"),"Produção midiática")</f>
        <v>Produção midiática</v>
      </c>
      <c r="D226" s="13" t="str">
        <f>IFERROR(__xludf.DUMMYFUNCTION("IF(B226="""","""",IF(OR(
  REGEXMATCH(B226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REGEXMATCH(B226,""público|Imediato|artística|teatral|memória"")
),""Público Imediato"",
IF(REGEXMATCH(B226,""Música|Álbum|Filme|Documentário|Série|Podc"&amp;"ast|Rádio|Audiotour|Entrevista|Reportagem|Crônica|Relatório|Abaixo-assinado|Manifesto|Petição|Poema|Livro|Fotografia|Curta|Live|Webinário|Charge|Leitura pública|Vídeo""),
""Público Mediado"","""")))
"),"Público Mediado")</f>
        <v>Público Mediado</v>
      </c>
      <c r="E226" s="13" t="str">
        <f>IFERROR(__xludf.DUMMYFUNCTION("IF(B226="""","""",IF(OR(
  REGEXMATCH(B226,""Live|Webinário|Virtual""),
  REGEXMATCH(B226,""online"")
),""Virtual"",
IF(REGEXMATCH(B226,""Música|Álbum|Filme|Documentário|Série|Podcast|Rádio|Audiotour|Episódio|Reportagem|Curta|Charge|Livro|Vídeo|Entrevista"&amp;"""),
""Midiático"",
IF(REGEXMATCH(B226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6" s="211" t="str">
        <f>IFERROR(__xludf.DUMMYFUNCTION("IF(REGEXMATCH(S226,""YouTube""),
  REGEXREPLACE(
    REGEXREPLACE(
      REGEXREPLACE(
        REGEXREPLACE(
          REGEXREPLACE(
            REGEXREPLACE(
              REGEXREPLACE(
                REGEXREPLACE(
                  REGEXREPLACE(
      "&amp;"              REGEXREPLACE(
                      REGEXREPLACE(
                        REGEXREPLACE(
                          REGEXREPLACE(
                            REGEXEXTRACT(S226,""YouTube, ([0-9]{1,2} [a-z]{3,8}\. [0-9]{4})""),
                 "&amp;"         "" jan\. "",""\/01\/""),
                        "" fev\. "",""\/02\/""),
                      "" mar\. "",""\/03\/""),
                    "" abr\. "",""\/04\/""),
                  "" mai\. "",""\/05\/""),
                "" jun\. "",""\/06\/"&amp;"""),
              "" jul\. "",""\/07\/""),
            "" ago\. "",""\/08\/""),
          "" set\. "",""\/09\/""),
        "" out\. "",""\/10\/""),
      "" nov\. "",""\/11\/""),
    "" dez\. "",""\/12\/""),
  ""\s*/\s*"",""/""),
"""")
"),"16/03/2024")</f>
        <v>16/03/2024</v>
      </c>
      <c r="G226" s="15">
        <f t="shared" si="1"/>
        <v>2024</v>
      </c>
      <c r="H226" s="14" t="s">
        <v>23</v>
      </c>
      <c r="I226" s="16" t="s">
        <v>757</v>
      </c>
      <c r="J226" s="169" t="str">
        <f>IFERROR(__xludf.DUMMYFUNCTION("REGEXEXTRACT(S226, ""\.\s(.*?)\s*YouTube"")"),"Casa de Detenção de SP 1985: Zé Roberto, sobrevivente do massacre de 1992.")</f>
        <v>Casa de Detenção de SP 1985: Zé Roberto, sobrevivente do massacre de 1992.</v>
      </c>
      <c r="K226" s="16" t="s">
        <v>83</v>
      </c>
      <c r="L226" s="18" t="s">
        <v>329</v>
      </c>
      <c r="M226" s="15" t="str">
        <f>IFERROR(__xludf.DUMMYFUNCTION("IF(REGEXMATCH(S226, ""Companhia das Letras""), ""Companhia das Letras"",
IF(REGEXMATCH(S226, ""Labortexto Editorial""), ""Labortexto Editorial"",
IF(REGEXMATCH(S226, ""Geração Editorial""), ""Geração Editorial"",
IF(REGEXMATCH(S226, ""Editora Imprensa Ofi"&amp;"cial|Imprensa Oficial""), ""Editora Imprensa Oficial"",
IF(REGEXMATCH(S226, ""Folha Online""), ""Folha Online"",
IF(REGEXMATCH(S226, ""FGV DIREITO SP|FGV Direito SP""), ""FGV DIREITO SP"",
IF(REGEXMATCH(S226, ""massacrecarandiru\.org\.br""), ""Memória Mas"&amp;"sacre Carandiru"",
IF(REGEXMATCH(S226, ""Itaú Cultural""), ""YouTube (Itaú Cultural)"",
IF(REGEXMATCH(S226, ""Passa Palavra""), ""Vimeo (Passa Palavra)"",
IF(REGEXMATCH(S226, ""rede2deoutubro\.blogspot""), ""Blogspot (Rede 02 de Outubro)"",
IF(REGEXMATCH("&amp;"S226, ""Rede TVT""), ""YouTube (Rede TVT)"",
IF(REGEXMATCH(S226, ""Esquerda Diário""), ""Esquerda Diário"",
IF(REGEXMATCH(S226, ""GZH""), ""GZH"",
IF(REGEXMATCH(S226, ""TVPUC""), ""TVPUC"",
IF(REGEXMATCH(S226, ""Mídia Ninja.*Facebook""), ""Facebook (Mídia"&amp;" Ninja)"",
IF(REGEXMATCH(S226, ""Memórias Carandiru.*Instagram""), ""Instagram (Memórias Carandiru)"",
IF(REGEXMATCH(S226, ""Frente pelo Desencarceramento SP""), ""YouTube (Frente Pelo Desencarceramento SP)"",
IF(REGEXMATCH(S226, ""TV ABA""), ""YouTube (T"&amp;"V ABA)"",
IF(REGEXMATCH(S226, ""TV SENADO""), ""YouTube (TV Senado)"",
IF(REGEXMATCH(S226, ""Google Arts &amp; Culture""), ""Google Arts &amp; Culture (Memória Massacre Carandiru)"",
IF(REGEXMATCH(S226, ""Anistia Internacional|ANISTIA INTERNACIONAL""), ""Anistia "&amp;"Internacional"",
IF(REGEXMATCH(S226, ""47\.mostra|47a Mostra""), ""47a Mostra Internacional de Cinema em São Paulo"",
IF(REGEXMATCH(S226, ""Canal USP""), ""YouTube (Canal USP)"",
IF(AND(
  REGEXMATCH(S226, ""(?i)(teses?\.usp\.br|dissertacoes?\.usp\.br|rep"&amp;"ositorio\.usp\.br)""),
  NOT(REGEXMATCH(S226, ""Canal USP""))
), ""Biblioteca Digital de Teses e Dissertações da USP"",
IF(REGEXMATCH(S226, ""SINTRAJUSC""), ""SINTRAJUSC"",
IF(REGEXMATCH(S226, ""Agência Brasil|Agencia Brasil""), ""Agência Brasil"",
IF(REG"&amp;"EXMATCH(S226, ""Brasil de Fato""), ""Brasil de Fato"",
IF(REGEXMATCH(S226, ""Ponte Jornalismo|pontejornalismo""), ""Ponte Jornalismo"",
IF(REGEXMATCH(S226, ""letras\.mus\.br|Letras,""), ""Letras"",
IF(REGEXMATCH(S226, ""YouTube|youtube""), 
   ""YouTube "&amp;"(""&amp;
   IF(REGEXMATCH(S226, ""Itaú Cultural""), ""Itaú Cultural"",
   IF(REGEXMATCH(S226, ""Rede TVT""), ""Rede TVT"",
   IF(REGEXMATCH(S226, ""Frente pelo Desencarceramento SP""), ""Frente Pelo Desencarceramento SP"",
   IF(REGEXMATCH(S226, ""TV ABA""), "&amp;"""TV ABA"",
   IF(REGEXMATCH(S226, ""TV SENADO""), ""TV Senado"",
   IF(REGEXMATCH(S226, ""Canal USP""), ""Canal USP"",
   IF(REGEXMATCH(S226, ""Douer, Zack|Zack Douer""), ""Douer Zack"",
   IF(REGEXMATCH(S226, ""PRISIONEIRO 84\.901|PRISIONEIRO 84""), ""P"&amp;"risioneiro 84.901"",
   IF(REGEXMATCH(S226, ""^[^,]*, ""), 
        PROPER(REGEXREPLACE(REGEXEXTRACT(S226, ""^([^.]*)\.""), ""^([^,]*), (.*)"", ""$2 $1"")),
        PROPER(REGEXEXTRACT(S226, ""^([^.]*)\.""))
   )))))))))&amp;"")"",
IF(REGEXMATCH(S226, ""Spot"&amp;"ify|spotify""), 
   ""Spotify (""&amp;
   IF(REGEXMATCH(S226, ""ESTRANHO SORRISO""), ""Estranho Sorriso"",
   PROPER(REGEXEXTRACT(S226, ""^([^.]*)\.""))
   )&amp;"")"",
IF(REGEXMATCH(S226, ""Vimeo|vimeo""), 
   ""Vimeo (""&amp;
   IF(REGEXMATCH(S226, ""Passa Palavra"&amp;"""), ""Passa Palavra"",
   PROPER(REGEXEXTRACT(S226, ""^([^.]*)\.""))
   )&amp;"")"",
IF(REGEXMATCH(S226, ""Blogspot""), 
   ""Blogspot (""&amp;
   IF(REGEXMATCH(S226, ""rede2deoutubro""), ""Rede 02 de Outubro"",
   PROPER(REGEXEXTRACT(S226, ""^([^.]*)\.""))
   "&amp;")&amp;"")"",
IF(REGEXMATCH(S226, ""Facebook""), 
   ""Facebook (""&amp;
   IF(REGEXMATCH(S226, ""Mídia Ninja""), ""Mídia Ninja"",
   PROPER(REGEXEXTRACT(S226, ""^([^.]*)\.""))
   )&amp;"")"",
IF(REGEXMATCH(S226, ""Instagram""), 
   ""Instagram (""&amp;
   IF(REGEXMATCH"&amp;"(S226, ""Memórias Carandiru""), ""Memórias Carandiru"",
   PROPER(REGEXEXTRACT(S226, ""^([^.]*)\.""))
   )&amp;"")"",
IF(REGEXMATCH(S226, ""Folha de S\. Paulo|FOLHA DE S\. PAULO""), ""Folha de S. Paulo"",
IF(REGEXMATCH(S226, ""O Estado de S\. Paulo|ESTADAO"""&amp;"), ""O Estado de S. Paulo"",
IF(REGEXMATCH(S226, ""salasecreta""), ""Wordpress (Sala Secreta)"",
IF(REGEXMATCH(S226, ""Wikipedia|Wikipédia|WIKIPÉDIA""), ""Wikipedia"",
IF(REGEXMATCH(S226, ""VEJA|Veja""), ""Veja Abril"",
IF(REGEXMATCH(S499, ""Rede Globo|RE"&amp;"DE GLOBO""), ""Rede Globo"",
IF(REGEXMATCH(S499, ""G1|globo\.com""), ""G1"",
IF(REGEXMATCH(S226, ""Deutsche Welle|DW\.com""), ""Deutsche Welle"",
IF(REGEXMATCH(S226, ""CIDH|Comissão Interamericana""), ""Comissão Interamericana de Direitos Humanos (CIDH)"""&amp;",
IF(REGEXMATCH(S226, ""Pastoral Carcerária""), ""Pastoral Carcerária"",
IF(REGEXMATCH(S226, ""Esquerda Web""), ""Esquerda Web"",
IF(REGEXMATCH(S226, ""ONU|Organização das Nações Unidas""), ""ONU Brasil"",
IF(REGEXMATCH(S226, ""Quilombo Invisível""), ""Qu"&amp;"ilombo Invisível"",
IF(REGEXMATCH(S226, ""ALESP|Assembleia Legislativa""), ""ALESP"",
IF(REGEXMATCH(S226, ""Revista Opera""), ""Revista Opera"",
IF(REGEXMATCH(S226, ""SP Escola de Teatro""), ""SP Escola de Teatro"",
IF(REGEXMATCH(S226, ""EMC|Espaço Memóri"&amp;"a Carandiru""), ""EMC Espaço Memória Carandiru"",
IF(REGEXMATCH(S226, ""^RAMOS, Nuno|Nuno Ramos""), ""Nuno Ramos"",
IF(REGEXMATCH(S226, ""^VELOSO, Caetano|Caetano Veloso""), ""YouTube (Caetano Veloso)"",
IF(REGEXMATCH(S226, ""^FATOS REAIS""), ""YouTube ("&amp;"Fatos Reais - Topic)"",
IF(REGEXMATCH(S226, ""^SALA SECRETA""), ""Wordpress (Sala Secreta)"",
PROPER(REGEXEXTRACT(S226, ""^([^.]*)\.""))
))))))))))))))))))))))))))))))))))))))))))))))))))))))))"),"YouTube (Prisioneiro 84.901)")</f>
        <v>YouTube (Prisioneiro 84.901)</v>
      </c>
      <c r="N226" s="11" t="s">
        <v>47</v>
      </c>
      <c r="O226" s="14" t="s">
        <v>546</v>
      </c>
      <c r="P226" s="171">
        <v>45946.0</v>
      </c>
      <c r="Q226" s="11" t="s">
        <v>154</v>
      </c>
      <c r="R226" s="70" t="str">
        <f t="shared" si="8"/>
        <v>Aqui</v>
      </c>
      <c r="S226" s="172" t="s">
        <v>990</v>
      </c>
    </row>
    <row r="227">
      <c r="A227" s="11">
        <v>225.0</v>
      </c>
      <c r="B227" s="11" t="s">
        <v>703</v>
      </c>
      <c r="C227" s="12" t="str">
        <f>IFERROR(__xludf.DUMMYFUNCTION("IF(B227="""","""",IF(OR(
  REGEXMATCH(B227,""Performance|Instalação|Álbum|Música|Poema|Livro|Filme|Documentário|Recitação|Espetáculo|Peça|Intervenção|Desfile|Fotografia|Exposição|Charge|Grafite|Leitura pública|Fabricação de cachaça artesanal""),
  REGEXMA"&amp;"TCH(B227,""dança|teatral|artístico|musical|artística"")
),""Manifestação artístico-cultural"",
IF(OR(
  REGEXMATCH(B227,""Crônica|Série|Reportagem|Podcast|Audiotour|Entrevista|Vídeo|Rádio""),
  REGEXMATCH(B227,""midiática"")
),""Produção midiática"","""")"&amp;"))
"),"Produção midiática")</f>
        <v>Produção midiática</v>
      </c>
      <c r="D227" s="13" t="str">
        <f>IFERROR(__xludf.DUMMYFUNCTION("IF(B227="""","""",IF(OR(
  REGEXMATCH(B227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REGEXMATCH(B227,""público|Imediato|artística|teatral|memória"")
),""Público Imediato"",
IF(REGEXMATCH(B227,""Música|Álbum|Filme|Documentário|Série|Podc"&amp;"ast|Rádio|Audiotour|Entrevista|Reportagem|Crônica|Relatório|Abaixo-assinado|Manifesto|Petição|Poema|Livro|Fotografia|Curta|Live|Webinário|Charge|Leitura pública|Vídeo""),
""Público Mediado"","""")))
"),"Público Mediado")</f>
        <v>Público Mediado</v>
      </c>
      <c r="E227" s="13" t="str">
        <f>IFERROR(__xludf.DUMMYFUNCTION("IF(B227="""","""",IF(OR(
  REGEXMATCH(B227,""Live|Webinário|Virtual""),
  REGEXMATCH(B227,""online"")
),""Virtual"",
IF(REGEXMATCH(B227,""Música|Álbum|Filme|Documentário|Série|Podcast|Rádio|Audiotour|Episódio|Reportagem|Curta|Charge|Livro|Vídeo|Entrevista"&amp;"""),
""Midiático"",
IF(REGEXMATCH(B227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7" s="211" t="str">
        <f>IFERROR(__xludf.DUMMYFUNCTION("IF(REGEXMATCH(S227,""YouTube""),
  REGEXREPLACE(
    REGEXREPLACE(
      REGEXREPLACE(
        REGEXREPLACE(
          REGEXREPLACE(
            REGEXREPLACE(
              REGEXREPLACE(
                REGEXREPLACE(
                  REGEXREPLACE(
      "&amp;"              REGEXREPLACE(
                      REGEXREPLACE(
                        REGEXREPLACE(
                          REGEXREPLACE(
                            REGEXEXTRACT(S227,""YouTube, ([0-9]{1,2} [a-z]{3,8}\. [0-9]{4})""),
                 "&amp;"         "" jan\. "",""\/01\/""),
                        "" fev\. "",""\/02\/""),
                      "" mar\. "",""\/03\/""),
                    "" abr\. "",""\/04\/""),
                  "" mai\. "",""\/05\/""),
                "" jun\. "",""\/06\/"&amp;"""),
              "" jul\. "",""\/07\/""),
            "" ago\. "",""\/08\/""),
          "" set\. "",""\/09\/""),
        "" out\. "",""\/10\/""),
      "" nov\. "",""\/11\/""),
    "" dez\. "",""\/12\/""),
  ""\s*/\s*"",""/""),
"""")
"),"17/03/2024")</f>
        <v>17/03/2024</v>
      </c>
      <c r="G227" s="15">
        <f t="shared" si="1"/>
        <v>2024</v>
      </c>
      <c r="H227" s="14" t="s">
        <v>23</v>
      </c>
      <c r="I227" s="16" t="s">
        <v>757</v>
      </c>
      <c r="J227" s="169" t="str">
        <f>IFERROR(__xludf.DUMMYFUNCTION("REGEXEXTRACT(S227, ""\.\s(.*?)\s*YouTube"")"),"Cenas pesadas no Pav. 9: Zé Roberto (Parte 3), sobrevivente do massacre na Casa de Detenção.")</f>
        <v>Cenas pesadas no Pav. 9: Zé Roberto (Parte 3), sobrevivente do massacre na Casa de Detenção.</v>
      </c>
      <c r="K227" s="16" t="s">
        <v>83</v>
      </c>
      <c r="L227" s="18" t="s">
        <v>329</v>
      </c>
      <c r="M227" s="15" t="str">
        <f>IFERROR(__xludf.DUMMYFUNCTION("IF(REGEXMATCH(S227, ""Companhia das Letras""), ""Companhia das Letras"",
IF(REGEXMATCH(S227, ""Labortexto Editorial""), ""Labortexto Editorial"",
IF(REGEXMATCH(S227, ""Geração Editorial""), ""Geração Editorial"",
IF(REGEXMATCH(S227, ""Editora Imprensa Ofi"&amp;"cial|Imprensa Oficial""), ""Editora Imprensa Oficial"",
IF(REGEXMATCH(S227, ""Folha Online""), ""Folha Online"",
IF(REGEXMATCH(S227, ""FGV DIREITO SP|FGV Direito SP""), ""FGV DIREITO SP"",
IF(REGEXMATCH(S227, ""massacrecarandiru\.org\.br""), ""Memória Mas"&amp;"sacre Carandiru"",
IF(REGEXMATCH(S227, ""Itaú Cultural""), ""YouTube (Itaú Cultural)"",
IF(REGEXMATCH(S227, ""Passa Palavra""), ""Vimeo (Passa Palavra)"",
IF(REGEXMATCH(S227, ""rede2deoutubro\.blogspot""), ""Blogspot (Rede 02 de Outubro)"",
IF(REGEXMATCH("&amp;"S227, ""Rede TVT""), ""YouTube (Rede TVT)"",
IF(REGEXMATCH(S227, ""Esquerda Diário""), ""Esquerda Diário"",
IF(REGEXMATCH(S227, ""GZH""), ""GZH"",
IF(REGEXMATCH(S227, ""TVPUC""), ""TVPUC"",
IF(REGEXMATCH(S227, ""Mídia Ninja.*Facebook""), ""Facebook (Mídia"&amp;" Ninja)"",
IF(REGEXMATCH(S227, ""Memórias Carandiru.*Instagram""), ""Instagram (Memórias Carandiru)"",
IF(REGEXMATCH(S227, ""Frente pelo Desencarceramento SP""), ""YouTube (Frente Pelo Desencarceramento SP)"",
IF(REGEXMATCH(S227, ""TV ABA""), ""YouTube (T"&amp;"V ABA)"",
IF(REGEXMATCH(S227, ""TV SENADO""), ""YouTube (TV Senado)"",
IF(REGEXMATCH(S227, ""Google Arts &amp; Culture""), ""Google Arts &amp; Culture (Memória Massacre Carandiru)"",
IF(REGEXMATCH(S227, ""Anistia Internacional|ANISTIA INTERNACIONAL""), ""Anistia "&amp;"Internacional"",
IF(REGEXMATCH(S227, ""47\.mostra|47a Mostra""), ""47a Mostra Internacional de Cinema em São Paulo"",
IF(REGEXMATCH(S227, ""Canal USP""), ""YouTube (Canal USP)"",
IF(AND(
  REGEXMATCH(S227, ""(?i)(teses?\.usp\.br|dissertacoes?\.usp\.br|rep"&amp;"ositorio\.usp\.br)""),
  NOT(REGEXMATCH(S227, ""Canal USP""))
), ""Biblioteca Digital de Teses e Dissertações da USP"",
IF(REGEXMATCH(S227, ""SINTRAJUSC""), ""SINTRAJUSC"",
IF(REGEXMATCH(S227, ""Agência Brasil|Agencia Brasil""), ""Agência Brasil"",
IF(REG"&amp;"EXMATCH(S227, ""Brasil de Fato""), ""Brasil de Fato"",
IF(REGEXMATCH(S227, ""Ponte Jornalismo|pontejornalismo""), ""Ponte Jornalismo"",
IF(REGEXMATCH(S227, ""letras\.mus\.br|Letras,""), ""Letras"",
IF(REGEXMATCH(S227, ""YouTube|youtube""), 
   ""YouTube "&amp;"(""&amp;
   IF(REGEXMATCH(S227, ""Itaú Cultural""), ""Itaú Cultural"",
   IF(REGEXMATCH(S227, ""Rede TVT""), ""Rede TVT"",
   IF(REGEXMATCH(S227, ""Frente pelo Desencarceramento SP""), ""Frente Pelo Desencarceramento SP"",
   IF(REGEXMATCH(S227, ""TV ABA""), "&amp;"""TV ABA"",
   IF(REGEXMATCH(S227, ""TV SENADO""), ""TV Senado"",
   IF(REGEXMATCH(S227, ""Canal USP""), ""Canal USP"",
   IF(REGEXMATCH(S227, ""Douer, Zack|Zack Douer""), ""Douer Zack"",
   IF(REGEXMATCH(S227, ""PRISIONEIRO 84\.901|PRISIONEIRO 84""), ""P"&amp;"risioneiro 84.901"",
   IF(REGEXMATCH(S227, ""^[^,]*, ""), 
        PROPER(REGEXREPLACE(REGEXEXTRACT(S227, ""^([^.]*)\.""), ""^([^,]*), (.*)"", ""$2 $1"")),
        PROPER(REGEXEXTRACT(S227, ""^([^.]*)\.""))
   )))))))))&amp;"")"",
IF(REGEXMATCH(S227, ""Spot"&amp;"ify|spotify""), 
   ""Spotify (""&amp;
   IF(REGEXMATCH(S227, ""ESTRANHO SORRISO""), ""Estranho Sorriso"",
   PROPER(REGEXEXTRACT(S227, ""^([^.]*)\.""))
   )&amp;"")"",
IF(REGEXMATCH(S227, ""Vimeo|vimeo""), 
   ""Vimeo (""&amp;
   IF(REGEXMATCH(S227, ""Passa Palavra"&amp;"""), ""Passa Palavra"",
   PROPER(REGEXEXTRACT(S227, ""^([^.]*)\.""))
   )&amp;"")"",
IF(REGEXMATCH(S227, ""Blogspot""), 
   ""Blogspot (""&amp;
   IF(REGEXMATCH(S227, ""rede2deoutubro""), ""Rede 02 de Outubro"",
   PROPER(REGEXEXTRACT(S227, ""^([^.]*)\.""))
   "&amp;")&amp;"")"",
IF(REGEXMATCH(S227, ""Facebook""), 
   ""Facebook (""&amp;
   IF(REGEXMATCH(S227, ""Mídia Ninja""), ""Mídia Ninja"",
   PROPER(REGEXEXTRACT(S227, ""^([^.]*)\.""))
   )&amp;"")"",
IF(REGEXMATCH(S227, ""Instagram""), 
   ""Instagram (""&amp;
   IF(REGEXMATCH"&amp;"(S227, ""Memórias Carandiru""), ""Memórias Carandiru"",
   PROPER(REGEXEXTRACT(S227, ""^([^.]*)\.""))
   )&amp;"")"",
IF(REGEXMATCH(S227, ""Folha de S\. Paulo|FOLHA DE S\. PAULO""), ""Folha de S. Paulo"",
IF(REGEXMATCH(S227, ""O Estado de S\. Paulo|ESTADAO"""&amp;"), ""O Estado de S. Paulo"",
IF(REGEXMATCH(S227, ""salasecreta""), ""Wordpress (Sala Secreta)"",
IF(REGEXMATCH(S227, ""Wikipedia|Wikipédia|WIKIPÉDIA""), ""Wikipedia"",
IF(REGEXMATCH(S227, ""VEJA|Veja""), ""Veja Abril"",
IF(REGEXMATCH(S500, ""Rede Globo|RE"&amp;"DE GLOBO""), ""Rede Globo"",
IF(REGEXMATCH(S500, ""G1|globo\.com""), ""G1"",
IF(REGEXMATCH(S227, ""Deutsche Welle|DW\.com""), ""Deutsche Welle"",
IF(REGEXMATCH(S227, ""CIDH|Comissão Interamericana""), ""Comissão Interamericana de Direitos Humanos (CIDH)"""&amp;",
IF(REGEXMATCH(S227, ""Pastoral Carcerária""), ""Pastoral Carcerária"",
IF(REGEXMATCH(S227, ""Esquerda Web""), ""Esquerda Web"",
IF(REGEXMATCH(S227, ""ONU|Organização das Nações Unidas""), ""ONU Brasil"",
IF(REGEXMATCH(S227, ""Quilombo Invisível""), ""Qu"&amp;"ilombo Invisível"",
IF(REGEXMATCH(S227, ""ALESP|Assembleia Legislativa""), ""ALESP"",
IF(REGEXMATCH(S227, ""Revista Opera""), ""Revista Opera"",
IF(REGEXMATCH(S227, ""SP Escola de Teatro""), ""SP Escola de Teatro"",
IF(REGEXMATCH(S227, ""EMC|Espaço Memóri"&amp;"a Carandiru""), ""EMC Espaço Memória Carandiru"",
IF(REGEXMATCH(S227, ""^RAMOS, Nuno|Nuno Ramos""), ""Nuno Ramos"",
IF(REGEXMATCH(S227, ""^VELOSO, Caetano|Caetano Veloso""), ""YouTube (Caetano Veloso)"",
IF(REGEXMATCH(S227, ""^FATOS REAIS""), ""YouTube ("&amp;"Fatos Reais - Topic)"",
IF(REGEXMATCH(S227, ""^SALA SECRETA""), ""Wordpress (Sala Secreta)"",
PROPER(REGEXEXTRACT(S227, ""^([^.]*)\.""))
))))))))))))))))))))))))))))))))))))))))))))))))))))))))"),"YouTube (Prisioneiro 84.901)")</f>
        <v>YouTube (Prisioneiro 84.901)</v>
      </c>
      <c r="N227" s="11" t="s">
        <v>47</v>
      </c>
      <c r="O227" s="14" t="s">
        <v>546</v>
      </c>
      <c r="P227" s="171">
        <v>45946.0</v>
      </c>
      <c r="Q227" s="11" t="s">
        <v>154</v>
      </c>
      <c r="R227" s="70" t="str">
        <f t="shared" si="8"/>
        <v>Aqui</v>
      </c>
      <c r="S227" s="172" t="s">
        <v>991</v>
      </c>
    </row>
    <row r="228">
      <c r="A228" s="11">
        <v>226.0</v>
      </c>
      <c r="B228" s="11" t="s">
        <v>703</v>
      </c>
      <c r="C228" s="12" t="str">
        <f>IFERROR(__xludf.DUMMYFUNCTION("IF(B228="""","""",IF(OR(
  REGEXMATCH(B228,""Performance|Instalação|Álbum|Música|Poema|Livro|Filme|Documentário|Recitação|Espetáculo|Peça|Intervenção|Desfile|Fotografia|Exposição|Charge|Grafite|Leitura pública|Fabricação de cachaça artesanal""),
  REGEXMA"&amp;"TCH(B228,""dança|teatral|artístico|musical|artística"")
),""Manifestação artístico-cultural"",
IF(OR(
  REGEXMATCH(B228,""Crônica|Série|Reportagem|Podcast|Audiotour|Entrevista|Vídeo|Rádio""),
  REGEXMATCH(B228,""midiática"")
),""Produção midiática"","""")"&amp;"))
"),"Produção midiática")</f>
        <v>Produção midiática</v>
      </c>
      <c r="D228" s="13" t="str">
        <f>IFERROR(__xludf.DUMMYFUNCTION("IF(B228="""","""",IF(OR(
  REGEXMATCH(B228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REGEXMATCH(B228,""público|Imediato|artística|teatral|memória"")
),""Público Imediato"",
IF(REGEXMATCH(B228,""Música|Álbum|Filme|Documentário|Série|Podc"&amp;"ast|Rádio|Audiotour|Entrevista|Reportagem|Crônica|Relatório|Abaixo-assinado|Manifesto|Petição|Poema|Livro|Fotografia|Curta|Live|Webinário|Charge|Leitura pública|Vídeo""),
""Público Mediado"","""")))
"),"Público Mediado")</f>
        <v>Público Mediado</v>
      </c>
      <c r="E228" s="13" t="str">
        <f>IFERROR(__xludf.DUMMYFUNCTION("IF(B228="""","""",IF(OR(
  REGEXMATCH(B228,""Live|Webinário|Virtual""),
  REGEXMATCH(B228,""online"")
),""Virtual"",
IF(REGEXMATCH(B228,""Música|Álbum|Filme|Documentário|Série|Podcast|Rádio|Audiotour|Episódio|Reportagem|Curta|Charge|Livro|Vídeo|Entrevista"&amp;"""),
""Midiático"",
IF(REGEXMATCH(B228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8" s="211" t="str">
        <f>IFERROR(__xludf.DUMMYFUNCTION("IF(REGEXMATCH(S228,""YouTube""),
  REGEXREPLACE(
    REGEXREPLACE(
      REGEXREPLACE(
        REGEXREPLACE(
          REGEXREPLACE(
            REGEXREPLACE(
              REGEXREPLACE(
                REGEXREPLACE(
                  REGEXREPLACE(
      "&amp;"              REGEXREPLACE(
                      REGEXREPLACE(
                        REGEXREPLACE(
                          REGEXREPLACE(
                            REGEXEXTRACT(S228,""YouTube, ([0-9]{1,2} [a-z]{3,8}\. [0-9]{4})""),
                 "&amp;"         "" jan\. "",""\/01\/""),
                        "" fev\. "",""\/02\/""),
                      "" mar\. "",""\/03\/""),
                    "" abr\. "",""\/04\/""),
                  "" mai\. "",""\/05\/""),
                "" jun\. "",""\/06\/"&amp;"""),
              "" jul\. "",""\/07\/""),
            "" ago\. "",""\/08\/""),
          "" set\. "",""\/09\/""),
        "" out\. "",""\/10\/""),
      "" nov\. "",""\/11\/""),
    "" dez\. "",""\/12\/""),
  ""\s*/\s*"",""/""),
"""")
"),"24/03/2024")</f>
        <v>24/03/2024</v>
      </c>
      <c r="G228" s="15">
        <f t="shared" si="1"/>
        <v>2024</v>
      </c>
      <c r="H228" s="14" t="s">
        <v>23</v>
      </c>
      <c r="I228" s="16" t="s">
        <v>757</v>
      </c>
      <c r="J228" s="169" t="str">
        <f>IFERROR(__xludf.DUMMYFUNCTION("REGEXEXTRACT(S228, ""\.\s(.*?)\s*YouTube"")"),"Detalhes do dia 2 de outubro de 1992 no Pav. 9: Zé Roberto (Parte 4).")</f>
        <v>Detalhes do dia 2 de outubro de 1992 no Pav. 9: Zé Roberto (Parte 4).</v>
      </c>
      <c r="K228" s="16" t="s">
        <v>83</v>
      </c>
      <c r="L228" s="18" t="s">
        <v>329</v>
      </c>
      <c r="M228" s="15" t="str">
        <f>IFERROR(__xludf.DUMMYFUNCTION("IF(REGEXMATCH(S228, ""Companhia das Letras""), ""Companhia das Letras"",
IF(REGEXMATCH(S228, ""Labortexto Editorial""), ""Labortexto Editorial"",
IF(REGEXMATCH(S228, ""Geração Editorial""), ""Geração Editorial"",
IF(REGEXMATCH(S228, ""Editora Imprensa Ofi"&amp;"cial|Imprensa Oficial""), ""Editora Imprensa Oficial"",
IF(REGEXMATCH(S228, ""Folha Online""), ""Folha Online"",
IF(REGEXMATCH(S228, ""FGV DIREITO SP|FGV Direito SP""), ""FGV DIREITO SP"",
IF(REGEXMATCH(S228, ""massacrecarandiru\.org\.br""), ""Memória Mas"&amp;"sacre Carandiru"",
IF(REGEXMATCH(S228, ""Itaú Cultural""), ""YouTube (Itaú Cultural)"",
IF(REGEXMATCH(S228, ""Passa Palavra""), ""Vimeo (Passa Palavra)"",
IF(REGEXMATCH(S228, ""rede2deoutubro\.blogspot""), ""Blogspot (Rede 02 de Outubro)"",
IF(REGEXMATCH("&amp;"S228, ""Rede TVT""), ""YouTube (Rede TVT)"",
IF(REGEXMATCH(S228, ""Esquerda Diário""), ""Esquerda Diário"",
IF(REGEXMATCH(S228, ""GZH""), ""GZH"",
IF(REGEXMATCH(S228, ""TVPUC""), ""TVPUC"",
IF(REGEXMATCH(S228, ""Mídia Ninja.*Facebook""), ""Facebook (Mídia"&amp;" Ninja)"",
IF(REGEXMATCH(S228, ""Memórias Carandiru.*Instagram""), ""Instagram (Memórias Carandiru)"",
IF(REGEXMATCH(S228, ""Frente pelo Desencarceramento SP""), ""YouTube (Frente Pelo Desencarceramento SP)"",
IF(REGEXMATCH(S228, ""TV ABA""), ""YouTube (T"&amp;"V ABA)"",
IF(REGEXMATCH(S228, ""TV SENADO""), ""YouTube (TV Senado)"",
IF(REGEXMATCH(S228, ""Google Arts &amp; Culture""), ""Google Arts &amp; Culture (Memória Massacre Carandiru)"",
IF(REGEXMATCH(S228, ""Anistia Internacional|ANISTIA INTERNACIONAL""), ""Anistia "&amp;"Internacional"",
IF(REGEXMATCH(S228, ""47\.mostra|47a Mostra""), ""47a Mostra Internacional de Cinema em São Paulo"",
IF(REGEXMATCH(S228, ""Canal USP""), ""YouTube (Canal USP)"",
IF(AND(
  REGEXMATCH(S228, ""(?i)(teses?\.usp\.br|dissertacoes?\.usp\.br|rep"&amp;"ositorio\.usp\.br)""),
  NOT(REGEXMATCH(S228, ""Canal USP""))
), ""Biblioteca Digital de Teses e Dissertações da USP"",
IF(REGEXMATCH(S228, ""SINTRAJUSC""), ""SINTRAJUSC"",
IF(REGEXMATCH(S228, ""Agência Brasil|Agencia Brasil""), ""Agência Brasil"",
IF(REG"&amp;"EXMATCH(S228, ""Brasil de Fato""), ""Brasil de Fato"",
IF(REGEXMATCH(S228, ""Ponte Jornalismo|pontejornalismo""), ""Ponte Jornalismo"",
IF(REGEXMATCH(S228, ""letras\.mus\.br|Letras,""), ""Letras"",
IF(REGEXMATCH(S228, ""YouTube|youtube""), 
   ""YouTube "&amp;"(""&amp;
   IF(REGEXMATCH(S228, ""Itaú Cultural""), ""Itaú Cultural"",
   IF(REGEXMATCH(S228, ""Rede TVT""), ""Rede TVT"",
   IF(REGEXMATCH(S228, ""Frente pelo Desencarceramento SP""), ""Frente Pelo Desencarceramento SP"",
   IF(REGEXMATCH(S228, ""TV ABA""), "&amp;"""TV ABA"",
   IF(REGEXMATCH(S228, ""TV SENADO""), ""TV Senado"",
   IF(REGEXMATCH(S228, ""Canal USP""), ""Canal USP"",
   IF(REGEXMATCH(S228, ""Douer, Zack|Zack Douer""), ""Douer Zack"",
   IF(REGEXMATCH(S228, ""PRISIONEIRO 84\.901|PRISIONEIRO 84""), ""P"&amp;"risioneiro 84.901"",
   IF(REGEXMATCH(S228, ""^[^,]*, ""), 
        PROPER(REGEXREPLACE(REGEXEXTRACT(S228, ""^([^.]*)\.""), ""^([^,]*), (.*)"", ""$2 $1"")),
        PROPER(REGEXEXTRACT(S228, ""^([^.]*)\.""))
   )))))))))&amp;"")"",
IF(REGEXMATCH(S228, ""Spot"&amp;"ify|spotify""), 
   ""Spotify (""&amp;
   IF(REGEXMATCH(S228, ""ESTRANHO SORRISO""), ""Estranho Sorriso"",
   PROPER(REGEXEXTRACT(S228, ""^([^.]*)\.""))
   )&amp;"")"",
IF(REGEXMATCH(S228, ""Vimeo|vimeo""), 
   ""Vimeo (""&amp;
   IF(REGEXMATCH(S228, ""Passa Palavra"&amp;"""), ""Passa Palavra"",
   PROPER(REGEXEXTRACT(S228, ""^([^.]*)\.""))
   )&amp;"")"",
IF(REGEXMATCH(S228, ""Blogspot""), 
   ""Blogspot (""&amp;
   IF(REGEXMATCH(S228, ""rede2deoutubro""), ""Rede 02 de Outubro"",
   PROPER(REGEXEXTRACT(S228, ""^([^.]*)\.""))
   "&amp;")&amp;"")"",
IF(REGEXMATCH(S228, ""Facebook""), 
   ""Facebook (""&amp;
   IF(REGEXMATCH(S228, ""Mídia Ninja""), ""Mídia Ninja"",
   PROPER(REGEXEXTRACT(S228, ""^([^.]*)\.""))
   )&amp;"")"",
IF(REGEXMATCH(S228, ""Instagram""), 
   ""Instagram (""&amp;
   IF(REGEXMATCH"&amp;"(S228, ""Memórias Carandiru""), ""Memórias Carandiru"",
   PROPER(REGEXEXTRACT(S228, ""^([^.]*)\.""))
   )&amp;"")"",
IF(REGEXMATCH(S228, ""Folha de S\. Paulo|FOLHA DE S\. PAULO""), ""Folha de S. Paulo"",
IF(REGEXMATCH(S228, ""O Estado de S\. Paulo|ESTADAO"""&amp;"), ""O Estado de S. Paulo"",
IF(REGEXMATCH(S228, ""salasecreta""), ""Wordpress (Sala Secreta)"",
IF(REGEXMATCH(S228, ""Wikipedia|Wikipédia|WIKIPÉDIA""), ""Wikipedia"",
IF(REGEXMATCH(S228, ""VEJA|Veja""), ""Veja Abril"",
IF(REGEXMATCH(S501, ""Rede Globo|RE"&amp;"DE GLOBO""), ""Rede Globo"",
IF(REGEXMATCH(S501, ""G1|globo\.com""), ""G1"",
IF(REGEXMATCH(S228, ""Deutsche Welle|DW\.com""), ""Deutsche Welle"",
IF(REGEXMATCH(S228, ""CIDH|Comissão Interamericana""), ""Comissão Interamericana de Direitos Humanos (CIDH)"""&amp;",
IF(REGEXMATCH(S228, ""Pastoral Carcerária""), ""Pastoral Carcerária"",
IF(REGEXMATCH(S228, ""Esquerda Web""), ""Esquerda Web"",
IF(REGEXMATCH(S228, ""ONU|Organização das Nações Unidas""), ""ONU Brasil"",
IF(REGEXMATCH(S228, ""Quilombo Invisível""), ""Qu"&amp;"ilombo Invisível"",
IF(REGEXMATCH(S228, ""ALESP|Assembleia Legislativa""), ""ALESP"",
IF(REGEXMATCH(S228, ""Revista Opera""), ""Revista Opera"",
IF(REGEXMATCH(S228, ""SP Escola de Teatro""), ""SP Escola de Teatro"",
IF(REGEXMATCH(S228, ""EMC|Espaço Memóri"&amp;"a Carandiru""), ""EMC Espaço Memória Carandiru"",
IF(REGEXMATCH(S228, ""^RAMOS, Nuno|Nuno Ramos""), ""Nuno Ramos"",
IF(REGEXMATCH(S228, ""^VELOSO, Caetano|Caetano Veloso""), ""YouTube (Caetano Veloso)"",
IF(REGEXMATCH(S228, ""^FATOS REAIS""), ""YouTube ("&amp;"Fatos Reais - Topic)"",
IF(REGEXMATCH(S228, ""^SALA SECRETA""), ""Wordpress (Sala Secreta)"",
PROPER(REGEXEXTRACT(S228, ""^([^.]*)\.""))
))))))))))))))))))))))))))))))))))))))))))))))))))))))))"),"YouTube (Prisioneiro 84.901)")</f>
        <v>YouTube (Prisioneiro 84.901)</v>
      </c>
      <c r="N228" s="11" t="s">
        <v>47</v>
      </c>
      <c r="O228" s="14" t="s">
        <v>546</v>
      </c>
      <c r="P228" s="171">
        <v>45946.0</v>
      </c>
      <c r="Q228" s="11" t="s">
        <v>154</v>
      </c>
      <c r="R228" s="70" t="str">
        <f t="shared" si="8"/>
        <v>Aqui</v>
      </c>
      <c r="S228" s="172" t="s">
        <v>992</v>
      </c>
    </row>
    <row r="229">
      <c r="A229" s="11">
        <v>227.0</v>
      </c>
      <c r="B229" s="11" t="s">
        <v>703</v>
      </c>
      <c r="C229" s="12" t="str">
        <f>IFERROR(__xludf.DUMMYFUNCTION("IF(B229="""","""",IF(OR(
  REGEXMATCH(B229,""Performance|Instalação|Álbum|Música|Poema|Livro|Filme|Documentário|Recitação|Espetáculo|Peça|Intervenção|Desfile|Fotografia|Exposição|Charge|Grafite|Leitura pública|Fabricação de cachaça artesanal""),
  REGEXMA"&amp;"TCH(B229,""dança|teatral|artístico|musical|artística"")
),""Manifestação artístico-cultural"",
IF(OR(
  REGEXMATCH(B229,""Crônica|Série|Reportagem|Podcast|Audiotour|Entrevista|Vídeo|Rádio""),
  REGEXMATCH(B229,""midiática"")
),""Produção midiática"","""")"&amp;"))
"),"Produção midiática")</f>
        <v>Produção midiática</v>
      </c>
      <c r="D229" s="13" t="str">
        <f>IFERROR(__xludf.DUMMYFUNCTION("IF(B229="""","""",IF(OR(
  REGEXMATCH(B229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REGEXMATCH(B229,""público|Imediato|artística|teatral|memória"")
),""Público Imediato"",
IF(REGEXMATCH(B229,""Música|Álbum|Filme|Documentário|Série|Podc"&amp;"ast|Rádio|Audiotour|Entrevista|Reportagem|Crônica|Relatório|Abaixo-assinado|Manifesto|Petição|Poema|Livro|Fotografia|Curta|Live|Webinário|Charge|Leitura pública|Vídeo""),
""Público Mediado"","""")))
"),"Público Mediado")</f>
        <v>Público Mediado</v>
      </c>
      <c r="E229" s="13" t="str">
        <f>IFERROR(__xludf.DUMMYFUNCTION("IF(B229="""","""",IF(OR(
  REGEXMATCH(B229,""Live|Webinário|Virtual""),
  REGEXMATCH(B229,""online"")
),""Virtual"",
IF(REGEXMATCH(B229,""Música|Álbum|Filme|Documentário|Série|Podcast|Rádio|Audiotour|Episódio|Reportagem|Curta|Charge|Livro|Vídeo|Entrevista"&amp;"""),
""Midiático"",
IF(REGEXMATCH(B229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9" s="211" t="str">
        <f>IFERROR(__xludf.DUMMYFUNCTION("IF(REGEXMATCH(S229,""YouTube""),
  REGEXREPLACE(
    REGEXREPLACE(
      REGEXREPLACE(
        REGEXREPLACE(
          REGEXREPLACE(
            REGEXREPLACE(
              REGEXREPLACE(
                REGEXREPLACE(
                  REGEXREPLACE(
      "&amp;"              REGEXREPLACE(
                      REGEXREPLACE(
                        REGEXREPLACE(
                          REGEXREPLACE(
                            REGEXEXTRACT(S229,""YouTube, ([0-9]{1,2} [a-z]{3,8}\. [0-9]{4})""),
                 "&amp;"         "" jan\. "",""\/01\/""),
                        "" fev\. "",""\/02\/""),
                      "" mar\. "",""\/03\/""),
                    "" abr\. "",""\/04\/""),
                  "" mai\. "",""\/05\/""),
                "" jun\. "",""\/06\/"&amp;"""),
              "" jul\. "",""\/07\/""),
            "" ago\. "",""\/08\/""),
          "" set\. "",""\/09\/""),
        "" out\. "",""\/10\/""),
      "" nov\. "",""\/11\/""),
    "" dez\. "",""\/12\/""),
  ""\s*/\s*"",""/""),
"""")
"),"23/02/2024")</f>
        <v>23/02/2024</v>
      </c>
      <c r="G229" s="15">
        <f t="shared" si="1"/>
        <v>2024</v>
      </c>
      <c r="H229" s="14" t="s">
        <v>23</v>
      </c>
      <c r="I229" s="16" t="s">
        <v>757</v>
      </c>
      <c r="J229" s="169" t="str">
        <f>IFERROR(__xludf.DUMMYFUNCTION("REGEXEXTRACT(S229, ""\.\s(.*?)\s*YouTube"")"),"Não era do crime, e tirou uns anos na Casa de Detenção de São Paulo (Parte 1).")</f>
        <v>Não era do crime, e tirou uns anos na Casa de Detenção de São Paulo (Parte 1).</v>
      </c>
      <c r="K229" s="16" t="s">
        <v>83</v>
      </c>
      <c r="L229" s="18" t="s">
        <v>329</v>
      </c>
      <c r="M229" s="15" t="str">
        <f>IFERROR(__xludf.DUMMYFUNCTION("IF(REGEXMATCH(S229, ""Companhia das Letras""), ""Companhia das Letras"",
IF(REGEXMATCH(S229, ""Labortexto Editorial""), ""Labortexto Editorial"",
IF(REGEXMATCH(S229, ""Geração Editorial""), ""Geração Editorial"",
IF(REGEXMATCH(S229, ""Editora Imprensa Ofi"&amp;"cial|Imprensa Oficial""), ""Editora Imprensa Oficial"",
IF(REGEXMATCH(S229, ""Folha Online""), ""Folha Online"",
IF(REGEXMATCH(S229, ""FGV DIREITO SP|FGV Direito SP""), ""FGV DIREITO SP"",
IF(REGEXMATCH(S229, ""massacrecarandiru\.org\.br""), ""Memória Mas"&amp;"sacre Carandiru"",
IF(REGEXMATCH(S229, ""Itaú Cultural""), ""YouTube (Itaú Cultural)"",
IF(REGEXMATCH(S229, ""Passa Palavra""), ""Vimeo (Passa Palavra)"",
IF(REGEXMATCH(S229, ""rede2deoutubro\.blogspot""), ""Blogspot (Rede 02 de Outubro)"",
IF(REGEXMATCH("&amp;"S229, ""Rede TVT""), ""YouTube (Rede TVT)"",
IF(REGEXMATCH(S229, ""Esquerda Diário""), ""Esquerda Diário"",
IF(REGEXMATCH(S229, ""GZH""), ""GZH"",
IF(REGEXMATCH(S229, ""TVPUC""), ""TVPUC"",
IF(REGEXMATCH(S229, ""Mídia Ninja.*Facebook""), ""Facebook (Mídia"&amp;" Ninja)"",
IF(REGEXMATCH(S229, ""Memórias Carandiru.*Instagram""), ""Instagram (Memórias Carandiru)"",
IF(REGEXMATCH(S229, ""Frente pelo Desencarceramento SP""), ""YouTube (Frente Pelo Desencarceramento SP)"",
IF(REGEXMATCH(S229, ""TV ABA""), ""YouTube (T"&amp;"V ABA)"",
IF(REGEXMATCH(S229, ""TV SENADO""), ""YouTube (TV Senado)"",
IF(REGEXMATCH(S229, ""Google Arts &amp; Culture""), ""Google Arts &amp; Culture (Memória Massacre Carandiru)"",
IF(REGEXMATCH(S229, ""Anistia Internacional|ANISTIA INTERNACIONAL""), ""Anistia "&amp;"Internacional"",
IF(REGEXMATCH(S229, ""47\.mostra|47a Mostra""), ""47a Mostra Internacional de Cinema em São Paulo"",
IF(REGEXMATCH(S229, ""Canal USP""), ""YouTube (Canal USP)"",
IF(AND(
  REGEXMATCH(S229, ""(?i)(teses?\.usp\.br|dissertacoes?\.usp\.br|rep"&amp;"ositorio\.usp\.br)""),
  NOT(REGEXMATCH(S229, ""Canal USP""))
), ""Biblioteca Digital de Teses e Dissertações da USP"",
IF(REGEXMATCH(S229, ""SINTRAJUSC""), ""SINTRAJUSC"",
IF(REGEXMATCH(S229, ""Agência Brasil|Agencia Brasil""), ""Agência Brasil"",
IF(REG"&amp;"EXMATCH(S229, ""Brasil de Fato""), ""Brasil de Fato"",
IF(REGEXMATCH(S229, ""Ponte Jornalismo|pontejornalismo""), ""Ponte Jornalismo"",
IF(REGEXMATCH(S229, ""letras\.mus\.br|Letras,""), ""Letras"",
IF(REGEXMATCH(S229, ""YouTube|youtube""), 
   ""YouTube "&amp;"(""&amp;
   IF(REGEXMATCH(S229, ""Itaú Cultural""), ""Itaú Cultural"",
   IF(REGEXMATCH(S229, ""Rede TVT""), ""Rede TVT"",
   IF(REGEXMATCH(S229, ""Frente pelo Desencarceramento SP""), ""Frente Pelo Desencarceramento SP"",
   IF(REGEXMATCH(S229, ""TV ABA""), "&amp;"""TV ABA"",
   IF(REGEXMATCH(S229, ""TV SENADO""), ""TV Senado"",
   IF(REGEXMATCH(S229, ""Canal USP""), ""Canal USP"",
   IF(REGEXMATCH(S229, ""Douer, Zack|Zack Douer""), ""Douer Zack"",
   IF(REGEXMATCH(S229, ""PRISIONEIRO 84\.901|PRISIONEIRO 84""), ""P"&amp;"risioneiro 84.901"",
   IF(REGEXMATCH(S229, ""^[^,]*, ""), 
        PROPER(REGEXREPLACE(REGEXEXTRACT(S229, ""^([^.]*)\.""), ""^([^,]*), (.*)"", ""$2 $1"")),
        PROPER(REGEXEXTRACT(S229, ""^([^.]*)\.""))
   )))))))))&amp;"")"",
IF(REGEXMATCH(S229, ""Spot"&amp;"ify|spotify""), 
   ""Spotify (""&amp;
   IF(REGEXMATCH(S229, ""ESTRANHO SORRISO""), ""Estranho Sorriso"",
   PROPER(REGEXEXTRACT(S229, ""^([^.]*)\.""))
   )&amp;"")"",
IF(REGEXMATCH(S229, ""Vimeo|vimeo""), 
   ""Vimeo (""&amp;
   IF(REGEXMATCH(S229, ""Passa Palavra"&amp;"""), ""Passa Palavra"",
   PROPER(REGEXEXTRACT(S229, ""^([^.]*)\.""))
   )&amp;"")"",
IF(REGEXMATCH(S229, ""Blogspot""), 
   ""Blogspot (""&amp;
   IF(REGEXMATCH(S229, ""rede2deoutubro""), ""Rede 02 de Outubro"",
   PROPER(REGEXEXTRACT(S229, ""^([^.]*)\.""))
   "&amp;")&amp;"")"",
IF(REGEXMATCH(S229, ""Facebook""), 
   ""Facebook (""&amp;
   IF(REGEXMATCH(S229, ""Mídia Ninja""), ""Mídia Ninja"",
   PROPER(REGEXEXTRACT(S229, ""^([^.]*)\.""))
   )&amp;"")"",
IF(REGEXMATCH(S229, ""Instagram""), 
   ""Instagram (""&amp;
   IF(REGEXMATCH"&amp;"(S229, ""Memórias Carandiru""), ""Memórias Carandiru"",
   PROPER(REGEXEXTRACT(S229, ""^([^.]*)\.""))
   )&amp;"")"",
IF(REGEXMATCH(S229, ""Folha de S\. Paulo|FOLHA DE S\. PAULO""), ""Folha de S. Paulo"",
IF(REGEXMATCH(S229, ""O Estado de S\. Paulo|ESTADAO"""&amp;"), ""O Estado de S. Paulo"",
IF(REGEXMATCH(S229, ""salasecreta""), ""Wordpress (Sala Secreta)"",
IF(REGEXMATCH(S229, ""Wikipedia|Wikipédia|WIKIPÉDIA""), ""Wikipedia"",
IF(REGEXMATCH(S229, ""VEJA|Veja""), ""Veja Abril"",
IF(REGEXMATCH(S502, ""Rede Globo|RE"&amp;"DE GLOBO""), ""Rede Globo"",
IF(REGEXMATCH(S502, ""G1|globo\.com""), ""G1"",
IF(REGEXMATCH(S229, ""Deutsche Welle|DW\.com""), ""Deutsche Welle"",
IF(REGEXMATCH(S229, ""CIDH|Comissão Interamericana""), ""Comissão Interamericana de Direitos Humanos (CIDH)"""&amp;",
IF(REGEXMATCH(S229, ""Pastoral Carcerária""), ""Pastoral Carcerária"",
IF(REGEXMATCH(S229, ""Esquerda Web""), ""Esquerda Web"",
IF(REGEXMATCH(S229, ""ONU|Organização das Nações Unidas""), ""ONU Brasil"",
IF(REGEXMATCH(S229, ""Quilombo Invisível""), ""Qu"&amp;"ilombo Invisível"",
IF(REGEXMATCH(S229, ""ALESP|Assembleia Legislativa""), ""ALESP"",
IF(REGEXMATCH(S229, ""Revista Opera""), ""Revista Opera"",
IF(REGEXMATCH(S229, ""SP Escola de Teatro""), ""SP Escola de Teatro"",
IF(REGEXMATCH(S229, ""EMC|Espaço Memóri"&amp;"a Carandiru""), ""EMC Espaço Memória Carandiru"",
IF(REGEXMATCH(S229, ""^RAMOS, Nuno|Nuno Ramos""), ""Nuno Ramos"",
IF(REGEXMATCH(S229, ""^VELOSO, Caetano|Caetano Veloso""), ""YouTube (Caetano Veloso)"",
IF(REGEXMATCH(S229, ""^FATOS REAIS""), ""YouTube ("&amp;"Fatos Reais - Topic)"",
IF(REGEXMATCH(S229, ""^SALA SECRETA""), ""Wordpress (Sala Secreta)"",
PROPER(REGEXEXTRACT(S229, ""^([^.]*)\.""))
))))))))))))))))))))))))))))))))))))))))))))))))))))))))"),"YouTube (Prisioneiro 84.901)")</f>
        <v>YouTube (Prisioneiro 84.901)</v>
      </c>
      <c r="N229" s="11" t="s">
        <v>47</v>
      </c>
      <c r="O229" s="14" t="s">
        <v>546</v>
      </c>
      <c r="P229" s="171">
        <v>45946.0</v>
      </c>
      <c r="Q229" s="11" t="s">
        <v>154</v>
      </c>
      <c r="R229" s="70" t="str">
        <f t="shared" si="8"/>
        <v>Aqui</v>
      </c>
      <c r="S229" s="172" t="s">
        <v>993</v>
      </c>
    </row>
    <row r="230">
      <c r="A230" s="11">
        <v>228.0</v>
      </c>
      <c r="B230" s="11" t="s">
        <v>703</v>
      </c>
      <c r="C230" s="12" t="str">
        <f>IFERROR(__xludf.DUMMYFUNCTION("IF(B230="""","""",IF(OR(
  REGEXMATCH(B230,""Performance|Instalação|Álbum|Música|Poema|Livro|Filme|Documentário|Recitação|Espetáculo|Peça|Intervenção|Desfile|Fotografia|Exposição|Charge|Grafite|Leitura pública|Fabricação de cachaça artesanal""),
  REGEXMA"&amp;"TCH(B230,""dança|teatral|artístico|musical|artística"")
),""Manifestação artístico-cultural"",
IF(OR(
  REGEXMATCH(B230,""Crônica|Série|Reportagem|Podcast|Audiotour|Entrevista|Vídeo|Rádio""),
  REGEXMATCH(B230,""midiática"")
),""Produção midiática"","""")"&amp;"))
"),"Produção midiática")</f>
        <v>Produção midiática</v>
      </c>
      <c r="D230" s="13" t="str">
        <f>IFERROR(__xludf.DUMMYFUNCTION("IF(B230="""","""",IF(OR(
  REGEXMATCH(B230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REGEXMATCH(B230,""público|Imediato|artística|teatral|memória"")
),""Público Imediato"",
IF(REGEXMATCH(B230,""Música|Álbum|Filme|Documentário|Série|Podc"&amp;"ast|Rádio|Audiotour|Entrevista|Reportagem|Crônica|Relatório|Abaixo-assinado|Manifesto|Petição|Poema|Livro|Fotografia|Curta|Live|Webinário|Charge|Leitura pública|Vídeo""),
""Público Mediado"","""")))
"),"Público Mediado")</f>
        <v>Público Mediado</v>
      </c>
      <c r="E230" s="13" t="str">
        <f>IFERROR(__xludf.DUMMYFUNCTION("IF(B230="""","""",IF(OR(
  REGEXMATCH(B230,""Live|Webinário|Virtual""),
  REGEXMATCH(B230,""online"")
),""Virtual"",
IF(REGEXMATCH(B230,""Música|Álbum|Filme|Documentário|Série|Podcast|Rádio|Audiotour|Episódio|Reportagem|Curta|Charge|Livro|Vídeo|Entrevista"&amp;"""),
""Midiático"",
IF(REGEXMATCH(B230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0" s="211" t="str">
        <f>IFERROR(__xludf.DUMMYFUNCTION("IF(REGEXMATCH(S230,""YouTube""),
  REGEXREPLACE(
    REGEXREPLACE(
      REGEXREPLACE(
        REGEXREPLACE(
          REGEXREPLACE(
            REGEXREPLACE(
              REGEXREPLACE(
                REGEXREPLACE(
                  REGEXREPLACE(
      "&amp;"              REGEXREPLACE(
                      REGEXREPLACE(
                        REGEXREPLACE(
                          REGEXREPLACE(
                            REGEXEXTRACT(S230,""YouTube, ([0-9]{1,2} [a-z]{3,8}\. [0-9]{4})""),
                 "&amp;"         "" jan\. "",""\/01\/""),
                        "" fev\. "",""\/02\/""),
                      "" mar\. "",""\/03\/""),
                    "" abr\. "",""\/04\/""),
                  "" mai\. "",""\/05\/""),
                "" jun\. "",""\/06\/"&amp;"""),
              "" jul\. "",""\/07\/""),
            "" ago\. "",""\/08\/""),
          "" set\. "",""\/09\/""),
        "" out\. "",""\/10\/""),
      "" nov\. "",""\/11\/""),
    "" dez\. "",""\/12\/""),
  ""\s*/\s*"",""/""),
"""")
"),"24/02/2024")</f>
        <v>24/02/2024</v>
      </c>
      <c r="G230" s="15">
        <f t="shared" si="1"/>
        <v>2024</v>
      </c>
      <c r="H230" s="14" t="s">
        <v>23</v>
      </c>
      <c r="I230" s="16" t="s">
        <v>757</v>
      </c>
      <c r="J230" s="169" t="str">
        <f>IFERROR(__xludf.DUMMYFUNCTION("REGEXEXTRACT(S230, ""\.\s(.*?)\s*YouTube"")"),"Sobrevivente da Casa de Detenção no Pav. 9 (Parte 2).")</f>
        <v>Sobrevivente da Casa de Detenção no Pav. 9 (Parte 2).</v>
      </c>
      <c r="K230" s="16" t="s">
        <v>83</v>
      </c>
      <c r="L230" s="18" t="s">
        <v>329</v>
      </c>
      <c r="M230" s="15" t="str">
        <f>IFERROR(__xludf.DUMMYFUNCTION("IF(REGEXMATCH(S230, ""Companhia das Letras""), ""Companhia das Letras"",
IF(REGEXMATCH(S230, ""Labortexto Editorial""), ""Labortexto Editorial"",
IF(REGEXMATCH(S230, ""Geração Editorial""), ""Geração Editorial"",
IF(REGEXMATCH(S230, ""Editora Imprensa Ofi"&amp;"cial|Imprensa Oficial""), ""Editora Imprensa Oficial"",
IF(REGEXMATCH(S230, ""Folha Online""), ""Folha Online"",
IF(REGEXMATCH(S230, ""FGV DIREITO SP|FGV Direito SP""), ""FGV DIREITO SP"",
IF(REGEXMATCH(S230, ""massacrecarandiru\.org\.br""), ""Memória Mas"&amp;"sacre Carandiru"",
IF(REGEXMATCH(S230, ""Itaú Cultural""), ""YouTube (Itaú Cultural)"",
IF(REGEXMATCH(S230, ""Passa Palavra""), ""Vimeo (Passa Palavra)"",
IF(REGEXMATCH(S230, ""rede2deoutubro\.blogspot""), ""Blogspot (Rede 02 de Outubro)"",
IF(REGEXMATCH("&amp;"S230, ""Rede TVT""), ""YouTube (Rede TVT)"",
IF(REGEXMATCH(S230, ""Esquerda Diário""), ""Esquerda Diário"",
IF(REGEXMATCH(S230, ""GZH""), ""GZH"",
IF(REGEXMATCH(S230, ""TVPUC""), ""TVPUC"",
IF(REGEXMATCH(S230, ""Mídia Ninja.*Facebook""), ""Facebook (Mídia"&amp;" Ninja)"",
IF(REGEXMATCH(S230, ""Memórias Carandiru.*Instagram""), ""Instagram (Memórias Carandiru)"",
IF(REGEXMATCH(S230, ""Frente pelo Desencarceramento SP""), ""YouTube (Frente Pelo Desencarceramento SP)"",
IF(REGEXMATCH(S230, ""TV ABA""), ""YouTube (T"&amp;"V ABA)"",
IF(REGEXMATCH(S230, ""TV SENADO""), ""YouTube (TV Senado)"",
IF(REGEXMATCH(S230, ""Google Arts &amp; Culture""), ""Google Arts &amp; Culture (Memória Massacre Carandiru)"",
IF(REGEXMATCH(S230, ""Anistia Internacional|ANISTIA INTERNACIONAL""), ""Anistia "&amp;"Internacional"",
IF(REGEXMATCH(S230, ""47\.mostra|47a Mostra""), ""47a Mostra Internacional de Cinema em São Paulo"",
IF(REGEXMATCH(S230, ""Canal USP""), ""YouTube (Canal USP)"",
IF(AND(
  REGEXMATCH(S230, ""(?i)(teses?\.usp\.br|dissertacoes?\.usp\.br|rep"&amp;"ositorio\.usp\.br)""),
  NOT(REGEXMATCH(S230, ""Canal USP""))
), ""Biblioteca Digital de Teses e Dissertações da USP"",
IF(REGEXMATCH(S230, ""SINTRAJUSC""), ""SINTRAJUSC"",
IF(REGEXMATCH(S230, ""Agência Brasil|Agencia Brasil""), ""Agência Brasil"",
IF(REG"&amp;"EXMATCH(S230, ""Brasil de Fato""), ""Brasil de Fato"",
IF(REGEXMATCH(S230, ""Ponte Jornalismo|pontejornalismo""), ""Ponte Jornalismo"",
IF(REGEXMATCH(S230, ""letras\.mus\.br|Letras,""), ""Letras"",
IF(REGEXMATCH(S230, ""YouTube|youtube""), 
   ""YouTube "&amp;"(""&amp;
   IF(REGEXMATCH(S230, ""Itaú Cultural""), ""Itaú Cultural"",
   IF(REGEXMATCH(S230, ""Rede TVT""), ""Rede TVT"",
   IF(REGEXMATCH(S230, ""Frente pelo Desencarceramento SP""), ""Frente Pelo Desencarceramento SP"",
   IF(REGEXMATCH(S230, ""TV ABA""), "&amp;"""TV ABA"",
   IF(REGEXMATCH(S230, ""TV SENADO""), ""TV Senado"",
   IF(REGEXMATCH(S230, ""Canal USP""), ""Canal USP"",
   IF(REGEXMATCH(S230, ""Douer, Zack|Zack Douer""), ""Douer Zack"",
   IF(REGEXMATCH(S230, ""PRISIONEIRO 84\.901|PRISIONEIRO 84""), ""P"&amp;"risioneiro 84.901"",
   IF(REGEXMATCH(S230, ""^[^,]*, ""), 
        PROPER(REGEXREPLACE(REGEXEXTRACT(S230, ""^([^.]*)\.""), ""^([^,]*), (.*)"", ""$2 $1"")),
        PROPER(REGEXEXTRACT(S230, ""^([^.]*)\.""))
   )))))))))&amp;"")"",
IF(REGEXMATCH(S230, ""Spot"&amp;"ify|spotify""), 
   ""Spotify (""&amp;
   IF(REGEXMATCH(S230, ""ESTRANHO SORRISO""), ""Estranho Sorriso"",
   PROPER(REGEXEXTRACT(S230, ""^([^.]*)\.""))
   )&amp;"")"",
IF(REGEXMATCH(S230, ""Vimeo|vimeo""), 
   ""Vimeo (""&amp;
   IF(REGEXMATCH(S230, ""Passa Palavra"&amp;"""), ""Passa Palavra"",
   PROPER(REGEXEXTRACT(S230, ""^([^.]*)\.""))
   )&amp;"")"",
IF(REGEXMATCH(S230, ""Blogspot""), 
   ""Blogspot (""&amp;
   IF(REGEXMATCH(S230, ""rede2deoutubro""), ""Rede 02 de Outubro"",
   PROPER(REGEXEXTRACT(S230, ""^([^.]*)\.""))
   "&amp;")&amp;"")"",
IF(REGEXMATCH(S230, ""Facebook""), 
   ""Facebook (""&amp;
   IF(REGEXMATCH(S230, ""Mídia Ninja""), ""Mídia Ninja"",
   PROPER(REGEXEXTRACT(S230, ""^([^.]*)\.""))
   )&amp;"")"",
IF(REGEXMATCH(S230, ""Instagram""), 
   ""Instagram (""&amp;
   IF(REGEXMATCH"&amp;"(S230, ""Memórias Carandiru""), ""Memórias Carandiru"",
   PROPER(REGEXEXTRACT(S230, ""^([^.]*)\.""))
   )&amp;"")"",
IF(REGEXMATCH(S230, ""Folha de S\. Paulo|FOLHA DE S\. PAULO""), ""Folha de S. Paulo"",
IF(REGEXMATCH(S230, ""O Estado de S\. Paulo|ESTADAO"""&amp;"), ""O Estado de S. Paulo"",
IF(REGEXMATCH(S230, ""salasecreta""), ""Wordpress (Sala Secreta)"",
IF(REGEXMATCH(S230, ""Wikipedia|Wikipédia|WIKIPÉDIA""), ""Wikipedia"",
IF(REGEXMATCH(S230, ""VEJA|Veja""), ""Veja Abril"",
IF(REGEXMATCH(S503, ""Rede Globo|RE"&amp;"DE GLOBO""), ""Rede Globo"",
IF(REGEXMATCH(S503, ""G1|globo\.com""), ""G1"",
IF(REGEXMATCH(S230, ""Deutsche Welle|DW\.com""), ""Deutsche Welle"",
IF(REGEXMATCH(S230, ""CIDH|Comissão Interamericana""), ""Comissão Interamericana de Direitos Humanos (CIDH)"""&amp;",
IF(REGEXMATCH(S230, ""Pastoral Carcerária""), ""Pastoral Carcerária"",
IF(REGEXMATCH(S230, ""Esquerda Web""), ""Esquerda Web"",
IF(REGEXMATCH(S230, ""ONU|Organização das Nações Unidas""), ""ONU Brasil"",
IF(REGEXMATCH(S230, ""Quilombo Invisível""), ""Qu"&amp;"ilombo Invisível"",
IF(REGEXMATCH(S230, ""ALESP|Assembleia Legislativa""), ""ALESP"",
IF(REGEXMATCH(S230, ""Revista Opera""), ""Revista Opera"",
IF(REGEXMATCH(S230, ""SP Escola de Teatro""), ""SP Escola de Teatro"",
IF(REGEXMATCH(S230, ""EMC|Espaço Memóri"&amp;"a Carandiru""), ""EMC Espaço Memória Carandiru"",
IF(REGEXMATCH(S230, ""^RAMOS, Nuno|Nuno Ramos""), ""Nuno Ramos"",
IF(REGEXMATCH(S230, ""^VELOSO, Caetano|Caetano Veloso""), ""YouTube (Caetano Veloso)"",
IF(REGEXMATCH(S230, ""^FATOS REAIS""), ""YouTube ("&amp;"Fatos Reais - Topic)"",
IF(REGEXMATCH(S230, ""^SALA SECRETA""), ""Wordpress (Sala Secreta)"",
PROPER(REGEXEXTRACT(S230, ""^([^.]*)\.""))
))))))))))))))))))))))))))))))))))))))))))))))))))))))))"),"YouTube (Prisioneiro 84.901)")</f>
        <v>YouTube (Prisioneiro 84.901)</v>
      </c>
      <c r="N230" s="11" t="s">
        <v>47</v>
      </c>
      <c r="O230" s="14" t="s">
        <v>546</v>
      </c>
      <c r="P230" s="171">
        <v>45946.0</v>
      </c>
      <c r="Q230" s="11" t="s">
        <v>154</v>
      </c>
      <c r="R230" s="70" t="str">
        <f t="shared" si="8"/>
        <v>Aqui</v>
      </c>
      <c r="S230" s="172" t="s">
        <v>994</v>
      </c>
    </row>
    <row r="231">
      <c r="A231" s="11">
        <v>229.0</v>
      </c>
      <c r="B231" s="11" t="s">
        <v>703</v>
      </c>
      <c r="C231" s="12" t="str">
        <f>IFERROR(__xludf.DUMMYFUNCTION("IF(B231="""","""",IF(OR(
  REGEXMATCH(B231,""Performance|Instalação|Álbum|Música|Poema|Livro|Filme|Documentário|Recitação|Espetáculo|Peça|Intervenção|Desfile|Fotografia|Exposição|Charge|Grafite|Leitura pública|Fabricação de cachaça artesanal""),
  REGEXMA"&amp;"TCH(B231,""dança|teatral|artístico|musical|artística"")
),""Manifestação artístico-cultural"",
IF(OR(
  REGEXMATCH(B231,""Crônica|Série|Reportagem|Podcast|Audiotour|Entrevista|Vídeo|Rádio""),
  REGEXMATCH(B231,""midiática"")
),""Produção midiática"","""")"&amp;"))
"),"Produção midiática")</f>
        <v>Produção midiática</v>
      </c>
      <c r="D231" s="13" t="str">
        <f>IFERROR(__xludf.DUMMYFUNCTION("IF(B231="""","""",IF(OR(
  REGEXMATCH(B231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REGEXMATCH(B231,""público|Imediato|artística|teatral|memória"")
),""Público Imediato"",
IF(REGEXMATCH(B231,""Música|Álbum|Filme|Documentário|Série|Podc"&amp;"ast|Rádio|Audiotour|Entrevista|Reportagem|Crônica|Relatório|Abaixo-assinado|Manifesto|Petição|Poema|Livro|Fotografia|Curta|Live|Webinário|Charge|Leitura pública|Vídeo""),
""Público Mediado"","""")))
"),"Público Mediado")</f>
        <v>Público Mediado</v>
      </c>
      <c r="E231" s="13" t="str">
        <f>IFERROR(__xludf.DUMMYFUNCTION("IF(B231="""","""",IF(OR(
  REGEXMATCH(B231,""Live|Webinário|Virtual""),
  REGEXMATCH(B231,""online"")
),""Virtual"",
IF(REGEXMATCH(B231,""Música|Álbum|Filme|Documentário|Série|Podcast|Rádio|Audiotour|Episódio|Reportagem|Curta|Charge|Livro|Vídeo|Entrevista"&amp;"""),
""Midiático"",
IF(REGEXMATCH(B231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1" s="211" t="str">
        <f>IFERROR(__xludf.DUMMYFUNCTION("IF(REGEXMATCH(S231,""YouTube""),
  REGEXREPLACE(
    REGEXREPLACE(
      REGEXREPLACE(
        REGEXREPLACE(
          REGEXREPLACE(
            REGEXREPLACE(
              REGEXREPLACE(
                REGEXREPLACE(
                  REGEXREPLACE(
      "&amp;"              REGEXREPLACE(
                      REGEXREPLACE(
                        REGEXREPLACE(
                          REGEXREPLACE(
                            REGEXEXTRACT(S231,""YouTube, ([0-9]{1,2} [a-z]{3,8}\. [0-9]{4})""),
                 "&amp;"         "" jan\. "",""\/01\/""),
                        "" fev\. "",""\/02\/""),
                      "" mar\. "",""\/03\/""),
                    "" abr\. "",""\/04\/""),
                  "" mai\. "",""\/05\/""),
                "" jun\. "",""\/06\/"&amp;"""),
              "" jul\. "",""\/07\/""),
            "" ago\. "",""\/08\/""),
          "" set\. "",""\/09\/""),
        "" out\. "",""\/10\/""),
      "" nov\. "",""\/11\/""),
    "" dez\. "",""\/12\/""),
  ""\s*/\s*"",""/""),
"""")
"),"27/02/2024")</f>
        <v>27/02/2024</v>
      </c>
      <c r="G231" s="15">
        <f t="shared" si="1"/>
        <v>2024</v>
      </c>
      <c r="H231" s="14" t="s">
        <v>23</v>
      </c>
      <c r="I231" s="16" t="s">
        <v>757</v>
      </c>
      <c r="J231" s="169" t="str">
        <f>IFERROR(__xludf.DUMMYFUNCTION("REGEXEXTRACT(S231, ""\.\s(.*?)\s*YouTube"")"),"Sobrevivente Edson da Casa de Detenção de SP – P2.")</f>
        <v>Sobrevivente Edson da Casa de Detenção de SP – P2.</v>
      </c>
      <c r="K231" s="16" t="s">
        <v>83</v>
      </c>
      <c r="L231" s="18" t="s">
        <v>329</v>
      </c>
      <c r="M231" s="15" t="str">
        <f>IFERROR(__xludf.DUMMYFUNCTION("IF(REGEXMATCH(S231, ""Companhia das Letras""), ""Companhia das Letras"",
IF(REGEXMATCH(S231, ""Labortexto Editorial""), ""Labortexto Editorial"",
IF(REGEXMATCH(S231, ""Geração Editorial""), ""Geração Editorial"",
IF(REGEXMATCH(S231, ""Editora Imprensa Ofi"&amp;"cial|Imprensa Oficial""), ""Editora Imprensa Oficial"",
IF(REGEXMATCH(S231, ""Folha Online""), ""Folha Online"",
IF(REGEXMATCH(S231, ""FGV DIREITO SP|FGV Direito SP""), ""FGV DIREITO SP"",
IF(REGEXMATCH(S231, ""massacrecarandiru\.org\.br""), ""Memória Mas"&amp;"sacre Carandiru"",
IF(REGEXMATCH(S231, ""Itaú Cultural""), ""YouTube (Itaú Cultural)"",
IF(REGEXMATCH(S231, ""Passa Palavra""), ""Vimeo (Passa Palavra)"",
IF(REGEXMATCH(S231, ""rede2deoutubro\.blogspot""), ""Blogspot (Rede 02 de Outubro)"",
IF(REGEXMATCH("&amp;"S231, ""Rede TVT""), ""YouTube (Rede TVT)"",
IF(REGEXMATCH(S231, ""Esquerda Diário""), ""Esquerda Diário"",
IF(REGEXMATCH(S231, ""GZH""), ""GZH"",
IF(REGEXMATCH(S231, ""TVPUC""), ""TVPUC"",
IF(REGEXMATCH(S231, ""Mídia Ninja.*Facebook""), ""Facebook (Mídia"&amp;" Ninja)"",
IF(REGEXMATCH(S231, ""Memórias Carandiru.*Instagram""), ""Instagram (Memórias Carandiru)"",
IF(REGEXMATCH(S231, ""Frente pelo Desencarceramento SP""), ""YouTube (Frente Pelo Desencarceramento SP)"",
IF(REGEXMATCH(S231, ""TV ABA""), ""YouTube (T"&amp;"V ABA)"",
IF(REGEXMATCH(S231, ""TV SENADO""), ""YouTube (TV Senado)"",
IF(REGEXMATCH(S231, ""Google Arts &amp; Culture""), ""Google Arts &amp; Culture (Memória Massacre Carandiru)"",
IF(REGEXMATCH(S231, ""Anistia Internacional|ANISTIA INTERNACIONAL""), ""Anistia "&amp;"Internacional"",
IF(REGEXMATCH(S231, ""47\.mostra|47a Mostra""), ""47a Mostra Internacional de Cinema em São Paulo"",
IF(REGEXMATCH(S231, ""Canal USP""), ""YouTube (Canal USP)"",
IF(AND(
  REGEXMATCH(S231, ""(?i)(teses?\.usp\.br|dissertacoes?\.usp\.br|rep"&amp;"ositorio\.usp\.br)""),
  NOT(REGEXMATCH(S231, ""Canal USP""))
), ""Biblioteca Digital de Teses e Dissertações da USP"",
IF(REGEXMATCH(S231, ""SINTRAJUSC""), ""SINTRAJUSC"",
IF(REGEXMATCH(S231, ""Agência Brasil|Agencia Brasil""), ""Agência Brasil"",
IF(REG"&amp;"EXMATCH(S231, ""Brasil de Fato""), ""Brasil de Fato"",
IF(REGEXMATCH(S231, ""Ponte Jornalismo|pontejornalismo""), ""Ponte Jornalismo"",
IF(REGEXMATCH(S231, ""letras\.mus\.br|Letras,""), ""Letras"",
IF(REGEXMATCH(S231, ""YouTube|youtube""), 
   ""YouTube "&amp;"(""&amp;
   IF(REGEXMATCH(S231, ""Itaú Cultural""), ""Itaú Cultural"",
   IF(REGEXMATCH(S231, ""Rede TVT""), ""Rede TVT"",
   IF(REGEXMATCH(S231, ""Frente pelo Desencarceramento SP""), ""Frente Pelo Desencarceramento SP"",
   IF(REGEXMATCH(S231, ""TV ABA""), "&amp;"""TV ABA"",
   IF(REGEXMATCH(S231, ""TV SENADO""), ""TV Senado"",
   IF(REGEXMATCH(S231, ""Canal USP""), ""Canal USP"",
   IF(REGEXMATCH(S231, ""Douer, Zack|Zack Douer""), ""Douer Zack"",
   IF(REGEXMATCH(S231, ""PRISIONEIRO 84\.901|PRISIONEIRO 84""), ""P"&amp;"risioneiro 84.901"",
   IF(REGEXMATCH(S231, ""^[^,]*, ""), 
        PROPER(REGEXREPLACE(REGEXEXTRACT(S231, ""^([^.]*)\.""), ""^([^,]*), (.*)"", ""$2 $1"")),
        PROPER(REGEXEXTRACT(S231, ""^([^.]*)\.""))
   )))))))))&amp;"")"",
IF(REGEXMATCH(S231, ""Spot"&amp;"ify|spotify""), 
   ""Spotify (""&amp;
   IF(REGEXMATCH(S231, ""ESTRANHO SORRISO""), ""Estranho Sorriso"",
   PROPER(REGEXEXTRACT(S231, ""^([^.]*)\.""))
   )&amp;"")"",
IF(REGEXMATCH(S231, ""Vimeo|vimeo""), 
   ""Vimeo (""&amp;
   IF(REGEXMATCH(S231, ""Passa Palavra"&amp;"""), ""Passa Palavra"",
   PROPER(REGEXEXTRACT(S231, ""^([^.]*)\.""))
   )&amp;"")"",
IF(REGEXMATCH(S231, ""Blogspot""), 
   ""Blogspot (""&amp;
   IF(REGEXMATCH(S231, ""rede2deoutubro""), ""Rede 02 de Outubro"",
   PROPER(REGEXEXTRACT(S231, ""^([^.]*)\.""))
   "&amp;")&amp;"")"",
IF(REGEXMATCH(S231, ""Facebook""), 
   ""Facebook (""&amp;
   IF(REGEXMATCH(S231, ""Mídia Ninja""), ""Mídia Ninja"",
   PROPER(REGEXEXTRACT(S231, ""^([^.]*)\.""))
   )&amp;"")"",
IF(REGEXMATCH(S231, ""Instagram""), 
   ""Instagram (""&amp;
   IF(REGEXMATCH"&amp;"(S231, ""Memórias Carandiru""), ""Memórias Carandiru"",
   PROPER(REGEXEXTRACT(S231, ""^([^.]*)\.""))
   )&amp;"")"",
IF(REGEXMATCH(S231, ""Folha de S\. Paulo|FOLHA DE S\. PAULO""), ""Folha de S. Paulo"",
IF(REGEXMATCH(S231, ""O Estado de S\. Paulo|ESTADAO"""&amp;"), ""O Estado de S. Paulo"",
IF(REGEXMATCH(S231, ""salasecreta""), ""Wordpress (Sala Secreta)"",
IF(REGEXMATCH(S231, ""Wikipedia|Wikipédia|WIKIPÉDIA""), ""Wikipedia"",
IF(REGEXMATCH(S231, ""VEJA|Veja""), ""Veja Abril"",
IF(REGEXMATCH(S504, ""Rede Globo|RE"&amp;"DE GLOBO""), ""Rede Globo"",
IF(REGEXMATCH(S504, ""G1|globo\.com""), ""G1"",
IF(REGEXMATCH(S231, ""Deutsche Welle|DW\.com""), ""Deutsche Welle"",
IF(REGEXMATCH(S231, ""CIDH|Comissão Interamericana""), ""Comissão Interamericana de Direitos Humanos (CIDH)"""&amp;",
IF(REGEXMATCH(S231, ""Pastoral Carcerária""), ""Pastoral Carcerária"",
IF(REGEXMATCH(S231, ""Esquerda Web""), ""Esquerda Web"",
IF(REGEXMATCH(S231, ""ONU|Organização das Nações Unidas""), ""ONU Brasil"",
IF(REGEXMATCH(S231, ""Quilombo Invisível""), ""Qu"&amp;"ilombo Invisível"",
IF(REGEXMATCH(S231, ""ALESP|Assembleia Legislativa""), ""ALESP"",
IF(REGEXMATCH(S231, ""Revista Opera""), ""Revista Opera"",
IF(REGEXMATCH(S231, ""SP Escola de Teatro""), ""SP Escola de Teatro"",
IF(REGEXMATCH(S231, ""EMC|Espaço Memóri"&amp;"a Carandiru""), ""EMC Espaço Memória Carandiru"",
IF(REGEXMATCH(S231, ""^RAMOS, Nuno|Nuno Ramos""), ""Nuno Ramos"",
IF(REGEXMATCH(S231, ""^VELOSO, Caetano|Caetano Veloso""), ""YouTube (Caetano Veloso)"",
IF(REGEXMATCH(S231, ""^FATOS REAIS""), ""YouTube ("&amp;"Fatos Reais - Topic)"",
IF(REGEXMATCH(S231, ""^SALA SECRETA""), ""Wordpress (Sala Secreta)"",
PROPER(REGEXEXTRACT(S231, ""^([^.]*)\.""))
))))))))))))))))))))))))))))))))))))))))))))))))))))))))"),"YouTube (Prisioneiro 84.901)")</f>
        <v>YouTube (Prisioneiro 84.901)</v>
      </c>
      <c r="N231" s="11" t="s">
        <v>47</v>
      </c>
      <c r="O231" s="14" t="s">
        <v>546</v>
      </c>
      <c r="P231" s="171">
        <v>45946.0</v>
      </c>
      <c r="Q231" s="11" t="s">
        <v>154</v>
      </c>
      <c r="R231" s="70" t="str">
        <f t="shared" si="8"/>
        <v>Aqui</v>
      </c>
      <c r="S231" s="172" t="s">
        <v>995</v>
      </c>
    </row>
    <row r="232">
      <c r="A232" s="11">
        <v>230.0</v>
      </c>
      <c r="B232" s="11" t="s">
        <v>703</v>
      </c>
      <c r="C232" s="12" t="str">
        <f>IFERROR(__xludf.DUMMYFUNCTION("IF(B232="""","""",IF(OR(
  REGEXMATCH(B232,""Performance|Instalação|Álbum|Música|Poema|Livro|Filme|Documentário|Recitação|Espetáculo|Peça|Intervenção|Desfile|Fotografia|Exposição|Charge|Grafite|Leitura pública|Fabricação de cachaça artesanal""),
  REGEXMA"&amp;"TCH(B232,""dança|teatral|artístico|musical|artística"")
),""Manifestação artístico-cultural"",
IF(OR(
  REGEXMATCH(B232,""Crônica|Série|Reportagem|Podcast|Audiotour|Entrevista|Vídeo|Rádio""),
  REGEXMATCH(B232,""midiática"")
),""Produção midiática"","""")"&amp;"))
"),"Produção midiática")</f>
        <v>Produção midiática</v>
      </c>
      <c r="D232" s="13" t="str">
        <f>IFERROR(__xludf.DUMMYFUNCTION("IF(B232="""","""",IF(OR(
  REGEXMATCH(B232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REGEXMATCH(B232,""público|Imediato|artística|teatral|memória"")
),""Público Imediato"",
IF(REGEXMATCH(B232,""Música|Álbum|Filme|Documentário|Série|Podc"&amp;"ast|Rádio|Audiotour|Entrevista|Reportagem|Crônica|Relatório|Abaixo-assinado|Manifesto|Petição|Poema|Livro|Fotografia|Curta|Live|Webinário|Charge|Leitura pública|Vídeo""),
""Público Mediado"","""")))
"),"Público Mediado")</f>
        <v>Público Mediado</v>
      </c>
      <c r="E232" s="13" t="str">
        <f>IFERROR(__xludf.DUMMYFUNCTION("IF(B232="""","""",IF(OR(
  REGEXMATCH(B232,""Live|Webinário|Virtual""),
  REGEXMATCH(B232,""online"")
),""Virtual"",
IF(REGEXMATCH(B232,""Música|Álbum|Filme|Documentário|Série|Podcast|Rádio|Audiotour|Episódio|Reportagem|Curta|Charge|Livro|Vídeo|Entrevista"&amp;"""),
""Midiático"",
IF(REGEXMATCH(B232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2" s="211" t="str">
        <f>IFERROR(__xludf.DUMMYFUNCTION("IF(REGEXMATCH(S232,""YouTube""),
  REGEXREPLACE(
    REGEXREPLACE(
      REGEXREPLACE(
        REGEXREPLACE(
          REGEXREPLACE(
            REGEXREPLACE(
              REGEXREPLACE(
                REGEXREPLACE(
                  REGEXREPLACE(
      "&amp;"              REGEXREPLACE(
                      REGEXREPLACE(
                        REGEXREPLACE(
                          REGEXREPLACE(
                            REGEXEXTRACT(S232,""YouTube, ([0-9]{1,2} [a-z]{3,8}\. [0-9]{4})""),
                 "&amp;"         "" jan\. "",""\/01\/""),
                        "" fev\. "",""\/02\/""),
                      "" mar\. "",""\/03\/""),
                    "" abr\. "",""\/04\/""),
                  "" mai\. "",""\/05\/""),
                "" jun\. "",""\/06\/"&amp;"""),
              "" jul\. "",""\/07\/""),
            "" ago\. "",""\/08\/""),
          "" set\. "",""\/09\/""),
        "" out\. "",""\/10\/""),
      "" nov\. "",""\/11\/""),
    "" dez\. "",""\/12\/""),
  ""\s*/\s*"",""/""),
"""")
"),"28/02/2024")</f>
        <v>28/02/2024</v>
      </c>
      <c r="G232" s="15">
        <f t="shared" si="1"/>
        <v>2024</v>
      </c>
      <c r="H232" s="14" t="s">
        <v>23</v>
      </c>
      <c r="I232" s="16" t="s">
        <v>757</v>
      </c>
      <c r="J232" s="169" t="str">
        <f>IFERROR(__xludf.DUMMYFUNCTION("REGEXEXTRACT(S232, ""\.\s(.*?)\s*YouTube"")"),"Sobrevivente Sidney do Pav. 9 na Casa de Detenção de SP (Parte 3).")</f>
        <v>Sobrevivente Sidney do Pav. 9 na Casa de Detenção de SP (Parte 3).</v>
      </c>
      <c r="K232" s="16" t="s">
        <v>83</v>
      </c>
      <c r="L232" s="18" t="s">
        <v>329</v>
      </c>
      <c r="M232" s="15" t="str">
        <f>IFERROR(__xludf.DUMMYFUNCTION("IF(REGEXMATCH(S232, ""Companhia das Letras""), ""Companhia das Letras"",
IF(REGEXMATCH(S232, ""Labortexto Editorial""), ""Labortexto Editorial"",
IF(REGEXMATCH(S232, ""Geração Editorial""), ""Geração Editorial"",
IF(REGEXMATCH(S232, ""Editora Imprensa Ofi"&amp;"cial|Imprensa Oficial""), ""Editora Imprensa Oficial"",
IF(REGEXMATCH(S232, ""Folha Online""), ""Folha Online"",
IF(REGEXMATCH(S232, ""FGV DIREITO SP|FGV Direito SP""), ""FGV DIREITO SP"",
IF(REGEXMATCH(S232, ""massacrecarandiru\.org\.br""), ""Memória Mas"&amp;"sacre Carandiru"",
IF(REGEXMATCH(S232, ""Itaú Cultural""), ""YouTube (Itaú Cultural)"",
IF(REGEXMATCH(S232, ""Passa Palavra""), ""Vimeo (Passa Palavra)"",
IF(REGEXMATCH(S232, ""rede2deoutubro\.blogspot""), ""Blogspot (Rede 02 de Outubro)"",
IF(REGEXMATCH("&amp;"S232, ""Rede TVT""), ""YouTube (Rede TVT)"",
IF(REGEXMATCH(S232, ""Esquerda Diário""), ""Esquerda Diário"",
IF(REGEXMATCH(S232, ""GZH""), ""GZH"",
IF(REGEXMATCH(S232, ""TVPUC""), ""TVPUC"",
IF(REGEXMATCH(S232, ""Mídia Ninja.*Facebook""), ""Facebook (Mídia"&amp;" Ninja)"",
IF(REGEXMATCH(S232, ""Memórias Carandiru.*Instagram""), ""Instagram (Memórias Carandiru)"",
IF(REGEXMATCH(S232, ""Frente pelo Desencarceramento SP""), ""YouTube (Frente Pelo Desencarceramento SP)"",
IF(REGEXMATCH(S232, ""TV ABA""), ""YouTube (T"&amp;"V ABA)"",
IF(REGEXMATCH(S232, ""TV SENADO""), ""YouTube (TV Senado)"",
IF(REGEXMATCH(S232, ""Google Arts &amp; Culture""), ""Google Arts &amp; Culture (Memória Massacre Carandiru)"",
IF(REGEXMATCH(S232, ""Anistia Internacional|ANISTIA INTERNACIONAL""), ""Anistia "&amp;"Internacional"",
IF(REGEXMATCH(S232, ""47\.mostra|47a Mostra""), ""47a Mostra Internacional de Cinema em São Paulo"",
IF(REGEXMATCH(S232, ""Canal USP""), ""YouTube (Canal USP)"",
IF(AND(
  REGEXMATCH(S232, ""(?i)(teses?\.usp\.br|dissertacoes?\.usp\.br|rep"&amp;"ositorio\.usp\.br)""),
  NOT(REGEXMATCH(S232, ""Canal USP""))
), ""Biblioteca Digital de Teses e Dissertações da USP"",
IF(REGEXMATCH(S232, ""SINTRAJUSC""), ""SINTRAJUSC"",
IF(REGEXMATCH(S232, ""Agência Brasil|Agencia Brasil""), ""Agência Brasil"",
IF(REG"&amp;"EXMATCH(S232, ""Brasil de Fato""), ""Brasil de Fato"",
IF(REGEXMATCH(S232, ""Ponte Jornalismo|pontejornalismo""), ""Ponte Jornalismo"",
IF(REGEXMATCH(S232, ""letras\.mus\.br|Letras,""), ""Letras"",
IF(REGEXMATCH(S232, ""YouTube|youtube""), 
   ""YouTube "&amp;"(""&amp;
   IF(REGEXMATCH(S232, ""Itaú Cultural""), ""Itaú Cultural"",
   IF(REGEXMATCH(S232, ""Rede TVT""), ""Rede TVT"",
   IF(REGEXMATCH(S232, ""Frente pelo Desencarceramento SP""), ""Frente Pelo Desencarceramento SP"",
   IF(REGEXMATCH(S232, ""TV ABA""), "&amp;"""TV ABA"",
   IF(REGEXMATCH(S232, ""TV SENADO""), ""TV Senado"",
   IF(REGEXMATCH(S232, ""Canal USP""), ""Canal USP"",
   IF(REGEXMATCH(S232, ""Douer, Zack|Zack Douer""), ""Douer Zack"",
   IF(REGEXMATCH(S232, ""PRISIONEIRO 84\.901|PRISIONEIRO 84""), ""P"&amp;"risioneiro 84.901"",
   IF(REGEXMATCH(S232, ""^[^,]*, ""), 
        PROPER(REGEXREPLACE(REGEXEXTRACT(S232, ""^([^.]*)\.""), ""^([^,]*), (.*)"", ""$2 $1"")),
        PROPER(REGEXEXTRACT(S232, ""^([^.]*)\.""))
   )))))))))&amp;"")"",
IF(REGEXMATCH(S232, ""Spot"&amp;"ify|spotify""), 
   ""Spotify (""&amp;
   IF(REGEXMATCH(S232, ""ESTRANHO SORRISO""), ""Estranho Sorriso"",
   PROPER(REGEXEXTRACT(S232, ""^([^.]*)\.""))
   )&amp;"")"",
IF(REGEXMATCH(S232, ""Vimeo|vimeo""), 
   ""Vimeo (""&amp;
   IF(REGEXMATCH(S232, ""Passa Palavra"&amp;"""), ""Passa Palavra"",
   PROPER(REGEXEXTRACT(S232, ""^([^.]*)\.""))
   )&amp;"")"",
IF(REGEXMATCH(S232, ""Blogspot""), 
   ""Blogspot (""&amp;
   IF(REGEXMATCH(S232, ""rede2deoutubro""), ""Rede 02 de Outubro"",
   PROPER(REGEXEXTRACT(S232, ""^([^.]*)\.""))
   "&amp;")&amp;"")"",
IF(REGEXMATCH(S232, ""Facebook""), 
   ""Facebook (""&amp;
   IF(REGEXMATCH(S232, ""Mídia Ninja""), ""Mídia Ninja"",
   PROPER(REGEXEXTRACT(S232, ""^([^.]*)\.""))
   )&amp;"")"",
IF(REGEXMATCH(S232, ""Instagram""), 
   ""Instagram (""&amp;
   IF(REGEXMATCH"&amp;"(S232, ""Memórias Carandiru""), ""Memórias Carandiru"",
   PROPER(REGEXEXTRACT(S232, ""^([^.]*)\.""))
   )&amp;"")"",
IF(REGEXMATCH(S232, ""Folha de S\. Paulo|FOLHA DE S\. PAULO""), ""Folha de S. Paulo"",
IF(REGEXMATCH(S232, ""O Estado de S\. Paulo|ESTADAO"""&amp;"), ""O Estado de S. Paulo"",
IF(REGEXMATCH(S232, ""salasecreta""), ""Wordpress (Sala Secreta)"",
IF(REGEXMATCH(S232, ""Wikipedia|Wikipédia|WIKIPÉDIA""), ""Wikipedia"",
IF(REGEXMATCH(S232, ""VEJA|Veja""), ""Veja Abril"",
IF(REGEXMATCH(S505, ""Rede Globo|RE"&amp;"DE GLOBO""), ""Rede Globo"",
IF(REGEXMATCH(S505, ""G1|globo\.com""), ""G1"",
IF(REGEXMATCH(S232, ""Deutsche Welle|DW\.com""), ""Deutsche Welle"",
IF(REGEXMATCH(S232, ""CIDH|Comissão Interamericana""), ""Comissão Interamericana de Direitos Humanos (CIDH)"""&amp;",
IF(REGEXMATCH(S232, ""Pastoral Carcerária""), ""Pastoral Carcerária"",
IF(REGEXMATCH(S232, ""Esquerda Web""), ""Esquerda Web"",
IF(REGEXMATCH(S232, ""ONU|Organização das Nações Unidas""), ""ONU Brasil"",
IF(REGEXMATCH(S232, ""Quilombo Invisível""), ""Qu"&amp;"ilombo Invisível"",
IF(REGEXMATCH(S232, ""ALESP|Assembleia Legislativa""), ""ALESP"",
IF(REGEXMATCH(S232, ""Revista Opera""), ""Revista Opera"",
IF(REGEXMATCH(S232, ""SP Escola de Teatro""), ""SP Escola de Teatro"",
IF(REGEXMATCH(S232, ""EMC|Espaço Memóri"&amp;"a Carandiru""), ""EMC Espaço Memória Carandiru"",
IF(REGEXMATCH(S232, ""^RAMOS, Nuno|Nuno Ramos""), ""Nuno Ramos"",
IF(REGEXMATCH(S232, ""^VELOSO, Caetano|Caetano Veloso""), ""YouTube (Caetano Veloso)"",
IF(REGEXMATCH(S232, ""^FATOS REAIS""), ""YouTube ("&amp;"Fatos Reais - Topic)"",
IF(REGEXMATCH(S232, ""^SALA SECRETA""), ""Wordpress (Sala Secreta)"",
PROPER(REGEXEXTRACT(S232, ""^([^.]*)\.""))
))))))))))))))))))))))))))))))))))))))))))))))))))))))))"),"YouTube (Prisioneiro 84.901)")</f>
        <v>YouTube (Prisioneiro 84.901)</v>
      </c>
      <c r="N232" s="11" t="s">
        <v>47</v>
      </c>
      <c r="O232" s="14" t="s">
        <v>546</v>
      </c>
      <c r="P232" s="171">
        <v>45946.0</v>
      </c>
      <c r="Q232" s="11" t="s">
        <v>154</v>
      </c>
      <c r="R232" s="70" t="str">
        <f t="shared" si="8"/>
        <v>Aqui</v>
      </c>
      <c r="S232" s="172" t="s">
        <v>996</v>
      </c>
    </row>
    <row r="233">
      <c r="A233" s="11">
        <v>231.0</v>
      </c>
      <c r="B233" s="11" t="s">
        <v>703</v>
      </c>
      <c r="C233" s="12" t="str">
        <f>IFERROR(__xludf.DUMMYFUNCTION("IF(B233="""","""",IF(OR(
  REGEXMATCH(B233,""Performance|Instalação|Álbum|Música|Poema|Livro|Filme|Documentário|Recitação|Espetáculo|Peça|Intervenção|Desfile|Fotografia|Exposição|Charge|Grafite|Leitura pública|Fabricação de cachaça artesanal""),
  REGEXMA"&amp;"TCH(B233,""dança|teatral|artístico|musical|artística"")
),""Manifestação artístico-cultural"",
IF(OR(
  REGEXMATCH(B233,""Crônica|Série|Reportagem|Podcast|Audiotour|Entrevista|Vídeo|Rádio""),
  REGEXMATCH(B233,""midiática"")
),""Produção midiática"","""")"&amp;"))
"),"Produção midiática")</f>
        <v>Produção midiática</v>
      </c>
      <c r="D233" s="13" t="str">
        <f>IFERROR(__xludf.DUMMYFUNCTION("IF(B233="""","""",IF(OR(
  REGEXMATCH(B233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REGEXMATCH(B233,""público|Imediato|artística|teatral|memória"")
),""Público Imediato"",
IF(REGEXMATCH(B233,""Música|Álbum|Filme|Documentário|Série|Podc"&amp;"ast|Rádio|Audiotour|Entrevista|Reportagem|Crônica|Relatório|Abaixo-assinado|Manifesto|Petição|Poema|Livro|Fotografia|Curta|Live|Webinário|Charge|Leitura pública|Vídeo""),
""Público Mediado"","""")))
"),"Público Mediado")</f>
        <v>Público Mediado</v>
      </c>
      <c r="E233" s="13" t="str">
        <f>IFERROR(__xludf.DUMMYFUNCTION("IF(B233="""","""",IF(OR(
  REGEXMATCH(B233,""Live|Webinário|Virtual""),
  REGEXMATCH(B233,""online"")
),""Virtual"",
IF(REGEXMATCH(B233,""Música|Álbum|Filme|Documentário|Série|Podcast|Rádio|Audiotour|Episódio|Reportagem|Curta|Charge|Livro|Vídeo|Entrevista"&amp;"""),
""Midiático"",
IF(REGEXMATCH(B233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3" s="211" t="str">
        <f>IFERROR(__xludf.DUMMYFUNCTION("IF(REGEXMATCH(S233,""YouTube""),
  REGEXREPLACE(
    REGEXREPLACE(
      REGEXREPLACE(
        REGEXREPLACE(
          REGEXREPLACE(
            REGEXREPLACE(
              REGEXREPLACE(
                REGEXREPLACE(
                  REGEXREPLACE(
      "&amp;"              REGEXREPLACE(
                      REGEXREPLACE(
                        REGEXREPLACE(
                          REGEXREPLACE(
                            REGEXEXTRACT(S233,""YouTube, ([0-9]{1,2} [a-z]{3,8}\. [0-9]{4})""),
                 "&amp;"         "" jan\. "",""\/01\/""),
                        "" fev\. "",""\/02\/""),
                      "" mar\. "",""\/03\/""),
                    "" abr\. "",""\/04\/""),
                  "" mai\. "",""\/05\/""),
                "" jun\. "",""\/06\/"&amp;"""),
              "" jul\. "",""\/07\/""),
            "" ago\. "",""\/08\/""),
          "" set\. "",""\/09\/""),
        "" out\. "",""\/10\/""),
      "" nov\. "",""\/11\/""),
    "" dez\. "",""\/12\/""),
  ""\s*/\s*"",""/""),
"""")
"),"2/03/2024")</f>
        <v>2/03/2024</v>
      </c>
      <c r="G233" s="15">
        <f t="shared" si="1"/>
        <v>2024</v>
      </c>
      <c r="H233" s="14" t="s">
        <v>23</v>
      </c>
      <c r="I233" s="16" t="s">
        <v>757</v>
      </c>
      <c r="J233" s="169" t="str">
        <f>IFERROR(__xludf.DUMMYFUNCTION("REGEXEXTRACT(S233, ""\.\s(.*?)\s*YouTube"")"),"Sobrevivente Sidney do Pav. 9 na Casa de Detenção (Parte 4).")</f>
        <v>Sobrevivente Sidney do Pav. 9 na Casa de Detenção (Parte 4).</v>
      </c>
      <c r="K233" s="16" t="s">
        <v>83</v>
      </c>
      <c r="L233" s="18" t="s">
        <v>329</v>
      </c>
      <c r="M233" s="15" t="str">
        <f>IFERROR(__xludf.DUMMYFUNCTION("IF(REGEXMATCH(S233, ""Companhia das Letras""), ""Companhia das Letras"",
IF(REGEXMATCH(S233, ""Labortexto Editorial""), ""Labortexto Editorial"",
IF(REGEXMATCH(S233, ""Geração Editorial""), ""Geração Editorial"",
IF(REGEXMATCH(S233, ""Editora Imprensa Ofi"&amp;"cial|Imprensa Oficial""), ""Editora Imprensa Oficial"",
IF(REGEXMATCH(S233, ""Folha Online""), ""Folha Online"",
IF(REGEXMATCH(S233, ""FGV DIREITO SP|FGV Direito SP""), ""FGV DIREITO SP"",
IF(REGEXMATCH(S233, ""massacrecarandiru\.org\.br""), ""Memória Mas"&amp;"sacre Carandiru"",
IF(REGEXMATCH(S233, ""Itaú Cultural""), ""YouTube (Itaú Cultural)"",
IF(REGEXMATCH(S233, ""Passa Palavra""), ""Vimeo (Passa Palavra)"",
IF(REGEXMATCH(S233, ""rede2deoutubro\.blogspot""), ""Blogspot (Rede 02 de Outubro)"",
IF(REGEXMATCH("&amp;"S233, ""Rede TVT""), ""YouTube (Rede TVT)"",
IF(REGEXMATCH(S233, ""Esquerda Diário""), ""Esquerda Diário"",
IF(REGEXMATCH(S233, ""GZH""), ""GZH"",
IF(REGEXMATCH(S233, ""TVPUC""), ""TVPUC"",
IF(REGEXMATCH(S233, ""Mídia Ninja.*Facebook""), ""Facebook (Mídia"&amp;" Ninja)"",
IF(REGEXMATCH(S233, ""Memórias Carandiru.*Instagram""), ""Instagram (Memórias Carandiru)"",
IF(REGEXMATCH(S233, ""Frente pelo Desencarceramento SP""), ""YouTube (Frente Pelo Desencarceramento SP)"",
IF(REGEXMATCH(S233, ""TV ABA""), ""YouTube (T"&amp;"V ABA)"",
IF(REGEXMATCH(S233, ""TV SENADO""), ""YouTube (TV Senado)"",
IF(REGEXMATCH(S233, ""Google Arts &amp; Culture""), ""Google Arts &amp; Culture (Memória Massacre Carandiru)"",
IF(REGEXMATCH(S233, ""Anistia Internacional|ANISTIA INTERNACIONAL""), ""Anistia "&amp;"Internacional"",
IF(REGEXMATCH(S233, ""47\.mostra|47a Mostra""), ""47a Mostra Internacional de Cinema em São Paulo"",
IF(REGEXMATCH(S233, ""Canal USP""), ""YouTube (Canal USP)"",
IF(AND(
  REGEXMATCH(S233, ""(?i)(teses?\.usp\.br|dissertacoes?\.usp\.br|rep"&amp;"ositorio\.usp\.br)""),
  NOT(REGEXMATCH(S233, ""Canal USP""))
), ""Biblioteca Digital de Teses e Dissertações da USP"",
IF(REGEXMATCH(S233, ""SINTRAJUSC""), ""SINTRAJUSC"",
IF(REGEXMATCH(S233, ""Agência Brasil|Agencia Brasil""), ""Agência Brasil"",
IF(REG"&amp;"EXMATCH(S233, ""Brasil de Fato""), ""Brasil de Fato"",
IF(REGEXMATCH(S233, ""Ponte Jornalismo|pontejornalismo""), ""Ponte Jornalismo"",
IF(REGEXMATCH(S233, ""letras\.mus\.br|Letras,""), ""Letras"",
IF(REGEXMATCH(S233, ""YouTube|youtube""), 
   ""YouTube "&amp;"(""&amp;
   IF(REGEXMATCH(S233, ""Itaú Cultural""), ""Itaú Cultural"",
   IF(REGEXMATCH(S233, ""Rede TVT""), ""Rede TVT"",
   IF(REGEXMATCH(S233, ""Frente pelo Desencarceramento SP""), ""Frente Pelo Desencarceramento SP"",
   IF(REGEXMATCH(S233, ""TV ABA""), "&amp;"""TV ABA"",
   IF(REGEXMATCH(S233, ""TV SENADO""), ""TV Senado"",
   IF(REGEXMATCH(S233, ""Canal USP""), ""Canal USP"",
   IF(REGEXMATCH(S233, ""Douer, Zack|Zack Douer""), ""Douer Zack"",
   IF(REGEXMATCH(S233, ""PRISIONEIRO 84\.901|PRISIONEIRO 84""), ""P"&amp;"risioneiro 84.901"",
   IF(REGEXMATCH(S233, ""^[^,]*, ""), 
        PROPER(REGEXREPLACE(REGEXEXTRACT(S233, ""^([^.]*)\.""), ""^([^,]*), (.*)"", ""$2 $1"")),
        PROPER(REGEXEXTRACT(S233, ""^([^.]*)\.""))
   )))))))))&amp;"")"",
IF(REGEXMATCH(S233, ""Spot"&amp;"ify|spotify""), 
   ""Spotify (""&amp;
   IF(REGEXMATCH(S233, ""ESTRANHO SORRISO""), ""Estranho Sorriso"",
   PROPER(REGEXEXTRACT(S233, ""^([^.]*)\.""))
   )&amp;"")"",
IF(REGEXMATCH(S233, ""Vimeo|vimeo""), 
   ""Vimeo (""&amp;
   IF(REGEXMATCH(S233, ""Passa Palavra"&amp;"""), ""Passa Palavra"",
   PROPER(REGEXEXTRACT(S233, ""^([^.]*)\.""))
   )&amp;"")"",
IF(REGEXMATCH(S233, ""Blogspot""), 
   ""Blogspot (""&amp;
   IF(REGEXMATCH(S233, ""rede2deoutubro""), ""Rede 02 de Outubro"",
   PROPER(REGEXEXTRACT(S233, ""^([^.]*)\.""))
   "&amp;")&amp;"")"",
IF(REGEXMATCH(S233, ""Facebook""), 
   ""Facebook (""&amp;
   IF(REGEXMATCH(S233, ""Mídia Ninja""), ""Mídia Ninja"",
   PROPER(REGEXEXTRACT(S233, ""^([^.]*)\.""))
   )&amp;"")"",
IF(REGEXMATCH(S233, ""Instagram""), 
   ""Instagram (""&amp;
   IF(REGEXMATCH"&amp;"(S233, ""Memórias Carandiru""), ""Memórias Carandiru"",
   PROPER(REGEXEXTRACT(S233, ""^([^.]*)\.""))
   )&amp;"")"",
IF(REGEXMATCH(S233, ""Folha de S\. Paulo|FOLHA DE S\. PAULO""), ""Folha de S. Paulo"",
IF(REGEXMATCH(S233, ""O Estado de S\. Paulo|ESTADAO"""&amp;"), ""O Estado de S. Paulo"",
IF(REGEXMATCH(S233, ""salasecreta""), ""Wordpress (Sala Secreta)"",
IF(REGEXMATCH(S233, ""Wikipedia|Wikipédia|WIKIPÉDIA""), ""Wikipedia"",
IF(REGEXMATCH(S233, ""VEJA|Veja""), ""Veja Abril"",
IF(REGEXMATCH(S506, ""Rede Globo|RE"&amp;"DE GLOBO""), ""Rede Globo"",
IF(REGEXMATCH(S506, ""G1|globo\.com""), ""G1"",
IF(REGEXMATCH(S233, ""Deutsche Welle|DW\.com""), ""Deutsche Welle"",
IF(REGEXMATCH(S233, ""CIDH|Comissão Interamericana""), ""Comissão Interamericana de Direitos Humanos (CIDH)"""&amp;",
IF(REGEXMATCH(S233, ""Pastoral Carcerária""), ""Pastoral Carcerária"",
IF(REGEXMATCH(S233, ""Esquerda Web""), ""Esquerda Web"",
IF(REGEXMATCH(S233, ""ONU|Organização das Nações Unidas""), ""ONU Brasil"",
IF(REGEXMATCH(S233, ""Quilombo Invisível""), ""Qu"&amp;"ilombo Invisível"",
IF(REGEXMATCH(S233, ""ALESP|Assembleia Legislativa""), ""ALESP"",
IF(REGEXMATCH(S233, ""Revista Opera""), ""Revista Opera"",
IF(REGEXMATCH(S233, ""SP Escola de Teatro""), ""SP Escola de Teatro"",
IF(REGEXMATCH(S233, ""EMC|Espaço Memóri"&amp;"a Carandiru""), ""EMC Espaço Memória Carandiru"",
IF(REGEXMATCH(S233, ""^RAMOS, Nuno|Nuno Ramos""), ""Nuno Ramos"",
IF(REGEXMATCH(S233, ""^VELOSO, Caetano|Caetano Veloso""), ""YouTube (Caetano Veloso)"",
IF(REGEXMATCH(S233, ""^FATOS REAIS""), ""YouTube ("&amp;"Fatos Reais - Topic)"",
IF(REGEXMATCH(S233, ""^SALA SECRETA""), ""Wordpress (Sala Secreta)"",
PROPER(REGEXEXTRACT(S233, ""^([^.]*)\.""))
))))))))))))))))))))))))))))))))))))))))))))))))))))))))"),"YouTube (Prisioneiro 84.901)")</f>
        <v>YouTube (Prisioneiro 84.901)</v>
      </c>
      <c r="N233" s="11" t="s">
        <v>47</v>
      </c>
      <c r="O233" s="14" t="s">
        <v>546</v>
      </c>
      <c r="P233" s="171">
        <v>45946.0</v>
      </c>
      <c r="Q233" s="11" t="s">
        <v>154</v>
      </c>
      <c r="R233" s="70" t="str">
        <f t="shared" si="8"/>
        <v>Aqui</v>
      </c>
      <c r="S233" s="172" t="s">
        <v>997</v>
      </c>
    </row>
    <row r="234">
      <c r="A234" s="11">
        <v>232.0</v>
      </c>
      <c r="B234" s="14" t="s">
        <v>799</v>
      </c>
      <c r="C234" s="122" t="s">
        <v>165</v>
      </c>
      <c r="D234" s="13" t="str">
        <f>IFERROR(__xludf.DUMMYFUNCTION("IF(B234="""","""",IF(OR(
  REGEXMATCH(B234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REGEXMATCH(B234,""público|Imediato|artística|teatral|memória"")
),""Público Imediato"",
IF(REGEXMATCH(B234,""Música|Álbum|Filme|Documentário|Série|Podc"&amp;"ast|Rádio|Audiotour|Entrevista|Reportagem|Crônica|Relatório|Abaixo-assinado|Manifesto|Petição|Poema|Livro|Fotografia|Curta|Live|Webinário|Charge|Leitura pública|Vídeo""),
""Público Mediado"","""")))
"),"Público Imediato")</f>
        <v>Público Imediato</v>
      </c>
      <c r="E234" s="13" t="str">
        <f>IFERROR(__xludf.DUMMYFUNCTION("IF(B234="""","""",IF(OR(
  REGEXMATCH(B234,""Live|Webinário|Virtual""),
  REGEXMATCH(B234,""online"")
),""Virtual"",
IF(REGEXMATCH(B234,""Música|Álbum|Filme|Documentário|Série|Podcast|Rádio|Audiotour|Episódio|Reportagem|Curta|Charge|Livro|Vídeo|Entrevista"&amp;"""),
""Midiático"",
IF(REGEXMATCH(B234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4" s="186">
        <v>45685.0</v>
      </c>
      <c r="G234" s="15">
        <f t="shared" si="1"/>
        <v>2025</v>
      </c>
      <c r="H234" s="14" t="s">
        <v>733</v>
      </c>
      <c r="I234" s="175" t="s">
        <v>741</v>
      </c>
      <c r="J234" s="202" t="s">
        <v>998</v>
      </c>
      <c r="K234" s="16" t="s">
        <v>736</v>
      </c>
      <c r="L234" s="18" t="s">
        <v>489</v>
      </c>
      <c r="M234" s="15" t="str">
        <f>IFERROR(__xludf.DUMMYFUNCTION("IF(REGEXMATCH(S234, ""Companhia das Letras""), ""Companhia das Letras"",
IF(REGEXMATCH(S234, ""Labortexto Editorial""), ""Labortexto Editorial"",
IF(REGEXMATCH(S234, ""Geração Editorial""), ""Geração Editorial"",
IF(REGEXMATCH(S234, ""Editora Imprensa Ofi"&amp;"cial|Imprensa Oficial""), ""Editora Imprensa Oficial"",
IF(REGEXMATCH(S234, ""Folha Online""), ""Folha Online"",
IF(REGEXMATCH(S234, ""FGV DIREITO SP|FGV Direito SP""), ""FGV DIREITO SP"",
IF(REGEXMATCH(S234, ""massacrecarandiru\.org\.br""), ""Memória Mas"&amp;"sacre Carandiru"",
IF(REGEXMATCH(S234, ""Itaú Cultural""), ""YouTube (Itaú Cultural)"",
IF(REGEXMATCH(S234, ""Passa Palavra""), ""Vimeo (Passa Palavra)"",
IF(REGEXMATCH(S234, ""rede2deoutubro\.blogspot""), ""Blogspot (Rede 02 de Outubro)"",
IF(REGEXMATCH("&amp;"S234, ""Rede TVT""), ""YouTube (Rede TVT)"",
IF(REGEXMATCH(S234, ""Esquerda Diário""), ""Esquerda Diário"",
IF(REGEXMATCH(S234, ""GZH""), ""GZH"",
IF(REGEXMATCH(S234, ""TVPUC""), ""TVPUC"",
IF(REGEXMATCH(S234, ""Mídia Ninja.*Facebook""), ""Facebook (Mídia"&amp;" Ninja)"",
IF(REGEXMATCH(S234, ""Memórias Carandiru.*Instagram""), ""Instagram (Memórias Carandiru)"",
IF(REGEXMATCH(S234, ""Frente pelo Desencarceramento SP""), ""YouTube (Frente Pelo Desencarceramento SP)"",
IF(REGEXMATCH(S234, ""TV ABA""), ""YouTube (T"&amp;"V ABA)"",
IF(REGEXMATCH(S234, ""TV SENADO""), ""YouTube (TV Senado)"",
IF(REGEXMATCH(S234, ""Google Arts &amp; Culture""), ""Google Arts &amp; Culture (Memória Massacre Carandiru)"",
IF(REGEXMATCH(S234, ""Anistia Internacional|ANISTIA INTERNACIONAL""), ""Anistia "&amp;"Internacional"",
IF(REGEXMATCH(S234, ""47\.mostra|47a Mostra""), ""47a Mostra Internacional de Cinema em São Paulo"",
IF(REGEXMATCH(S234, ""Canal USP""), ""YouTube (Canal USP)"",
IF(AND(
  REGEXMATCH(S234, ""(?i)(teses?\.usp\.br|dissertacoes?\.usp\.br|rep"&amp;"ositorio\.usp\.br)""),
  NOT(REGEXMATCH(S234, ""Canal USP""))
), ""Biblioteca Digital de Teses e Dissertações da USP"",
IF(REGEXMATCH(S234, ""SINTRAJUSC""), ""SINTRAJUSC"",
IF(REGEXMATCH(S234, ""Agência Brasil|Agencia Brasil""), ""Agência Brasil"",
IF(REG"&amp;"EXMATCH(S234, ""Brasil de Fato""), ""Brasil de Fato"",
IF(REGEXMATCH(S234, ""Ponte Jornalismo|pontejornalismo""), ""Ponte Jornalismo"",
IF(REGEXMATCH(S234, ""letras\.mus\.br|Letras,""), ""Letras"",
IF(REGEXMATCH(S234, ""YouTube|youtube""), 
   ""YouTube "&amp;"(""&amp;
   IF(REGEXMATCH(S234, ""Itaú Cultural""), ""Itaú Cultural"",
   IF(REGEXMATCH(S234, ""Rede TVT""), ""Rede TVT"",
   IF(REGEXMATCH(S234, ""Frente pelo Desencarceramento SP""), ""Frente Pelo Desencarceramento SP"",
   IF(REGEXMATCH(S234, ""TV ABA""), "&amp;"""TV ABA"",
   IF(REGEXMATCH(S234, ""TV SENADO""), ""TV Senado"",
   IF(REGEXMATCH(S234, ""Canal USP""), ""Canal USP"",
   IF(REGEXMATCH(S234, ""Douer, Zack|Zack Douer""), ""Douer Zack"",
   IF(REGEXMATCH(S234, ""PRISIONEIRO 84\.901|PRISIONEIRO 84""), ""P"&amp;"risioneiro 84.901"",
   IF(REGEXMATCH(S234, ""^[^,]*, ""), 
        PROPER(REGEXREPLACE(REGEXEXTRACT(S234, ""^([^.]*)\.""), ""^([^,]*), (.*)"", ""$2 $1"")),
        PROPER(REGEXEXTRACT(S234, ""^([^.]*)\.""))
   )))))))))&amp;"")"",
IF(REGEXMATCH(S234, ""Spot"&amp;"ify|spotify""), 
   ""Spotify (""&amp;
   IF(REGEXMATCH(S234, ""ESTRANHO SORRISO""), ""Estranho Sorriso"",
   PROPER(REGEXEXTRACT(S234, ""^([^.]*)\.""))
   )&amp;"")"",
IF(REGEXMATCH(S234, ""Vimeo|vimeo""), 
   ""Vimeo (""&amp;
   IF(REGEXMATCH(S234, ""Passa Palavra"&amp;"""), ""Passa Palavra"",
   PROPER(REGEXEXTRACT(S234, ""^([^.]*)\.""))
   )&amp;"")"",
IF(REGEXMATCH(S234, ""Blogspot""), 
   ""Blogspot (""&amp;
   IF(REGEXMATCH(S234, ""rede2deoutubro""), ""Rede 02 de Outubro"",
   PROPER(REGEXEXTRACT(S234, ""^([^.]*)\.""))
   "&amp;")&amp;"")"",
IF(REGEXMATCH(S234, ""Facebook""), 
   ""Facebook (""&amp;
   IF(REGEXMATCH(S234, ""Mídia Ninja""), ""Mídia Ninja"",
   PROPER(REGEXEXTRACT(S234, ""^([^.]*)\.""))
   )&amp;"")"",
IF(REGEXMATCH(S234, ""Instagram""), 
   ""Instagram (""&amp;
   IF(REGEXMATCH"&amp;"(S234, ""Memórias Carandiru""), ""Memórias Carandiru"",
   PROPER(REGEXEXTRACT(S234, ""^([^.]*)\.""))
   )&amp;"")"",
IF(REGEXMATCH(S234, ""Folha de S\. Paulo|FOLHA DE S\. PAULO""), ""Folha de S. Paulo"",
IF(REGEXMATCH(S234, ""O Estado de S\. Paulo|ESTADAO"""&amp;"), ""O Estado de S. Paulo"",
IF(REGEXMATCH(S234, ""salasecreta""), ""Wordpress (Sala Secreta)"",
IF(REGEXMATCH(S234, ""Wikipedia|Wikipédia|WIKIPÉDIA""), ""Wikipedia"",
IF(REGEXMATCH(S234, ""VEJA|Veja""), ""Veja Abril"",
IF(REGEXMATCH(S507, ""Rede Globo|RE"&amp;"DE GLOBO""), ""Rede Globo"",
IF(REGEXMATCH(S507, ""G1|globo\.com""), ""G1"",
IF(REGEXMATCH(S234, ""Deutsche Welle|DW\.com""), ""Deutsche Welle"",
IF(REGEXMATCH(S234, ""CIDH|Comissão Interamericana""), ""Comissão Interamericana de Direitos Humanos (CIDH)"""&amp;",
IF(REGEXMATCH(S234, ""Pastoral Carcerária""), ""Pastoral Carcerária"",
IF(REGEXMATCH(S234, ""Esquerda Web""), ""Esquerda Web"",
IF(REGEXMATCH(S234, ""ONU|Organização das Nações Unidas""), ""ONU Brasil"",
IF(REGEXMATCH(S234, ""Quilombo Invisível""), ""Qu"&amp;"ilombo Invisível"",
IF(REGEXMATCH(S234, ""ALESP|Assembleia Legislativa""), ""ALESP"",
IF(REGEXMATCH(S234, ""Revista Opera""), ""Revista Opera"",
IF(REGEXMATCH(S234, ""SP Escola de Teatro""), ""SP Escola de Teatro"",
IF(REGEXMATCH(S234, ""EMC|Espaço Memóri"&amp;"a Carandiru""), ""EMC Espaço Memória Carandiru"",
IF(REGEXMATCH(S234, ""^RAMOS, Nuno|Nuno Ramos""), ""Nuno Ramos"",
IF(REGEXMATCH(S234, ""^VELOSO, Caetano|Caetano Veloso""), ""YouTube (Caetano Veloso)"",
IF(REGEXMATCH(S234, ""^FATOS REAIS""), ""YouTube ("&amp;"Fatos Reais - Topic)"",
IF(REGEXMATCH(S234, ""^SALA SECRETA""), ""Wordpress (Sala Secreta)"",
PROPER(REGEXEXTRACT(S234, ""^([^.]*)\.""))
))))))))))))))))))))))))))))))))))))))))))))))))))))))))"),"Instagram (Memórias Carandiru)")</f>
        <v>Instagram (Memórias Carandiru)</v>
      </c>
      <c r="N234" s="11" t="s">
        <v>47</v>
      </c>
      <c r="O234" s="14" t="s">
        <v>149</v>
      </c>
      <c r="P234" s="186">
        <v>45857.0</v>
      </c>
      <c r="Q234" s="11" t="s">
        <v>154</v>
      </c>
      <c r="R234" s="70" t="str">
        <f t="shared" si="8"/>
        <v>Aqui</v>
      </c>
      <c r="S234" s="75" t="s">
        <v>999</v>
      </c>
    </row>
    <row r="235">
      <c r="A235" s="11">
        <v>233.0</v>
      </c>
      <c r="B235" s="14" t="s">
        <v>799</v>
      </c>
      <c r="C235" s="122" t="s">
        <v>165</v>
      </c>
      <c r="D235" s="13" t="str">
        <f>IFERROR(__xludf.DUMMYFUNCTION("IF(B235="""","""",IF(OR(
  REGEXMATCH(B235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REGEXMATCH(B235,""público|Imediato|artística|teatral|memória"")
),""Público Imediato"",
IF(REGEXMATCH(B235,""Música|Álbum|Filme|Documentário|Série|Podc"&amp;"ast|Rádio|Audiotour|Entrevista|Reportagem|Crônica|Relatório|Abaixo-assinado|Manifesto|Petição|Poema|Livro|Fotografia|Curta|Live|Webinário|Charge|Leitura pública|Vídeo""),
""Público Mediado"","""")))
"),"Público Imediato")</f>
        <v>Público Imediato</v>
      </c>
      <c r="E235" s="13" t="str">
        <f>IFERROR(__xludf.DUMMYFUNCTION("IF(B235="""","""",IF(OR(
  REGEXMATCH(B235,""Live|Webinário|Virtual""),
  REGEXMATCH(B235,""online"")
),""Virtual"",
IF(REGEXMATCH(B235,""Música|Álbum|Filme|Documentário|Série|Podcast|Rádio|Audiotour|Episódio|Reportagem|Curta|Charge|Livro|Vídeo|Entrevista"&amp;"""),
""Midiático"",
IF(REGEXMATCH(B235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5" s="186">
        <v>45699.0</v>
      </c>
      <c r="G235" s="15">
        <f t="shared" si="1"/>
        <v>2025</v>
      </c>
      <c r="H235" s="14" t="s">
        <v>1000</v>
      </c>
      <c r="I235" s="175" t="s">
        <v>956</v>
      </c>
      <c r="J235" s="202" t="s">
        <v>1001</v>
      </c>
      <c r="K235" s="16" t="s">
        <v>736</v>
      </c>
      <c r="L235" s="18" t="s">
        <v>489</v>
      </c>
      <c r="M235" s="15" t="str">
        <f>IFERROR(__xludf.DUMMYFUNCTION("IF(REGEXMATCH(S235, ""Companhia das Letras""), ""Companhia das Letras"",
IF(REGEXMATCH(S235, ""Labortexto Editorial""), ""Labortexto Editorial"",
IF(REGEXMATCH(S235, ""Geração Editorial""), ""Geração Editorial"",
IF(REGEXMATCH(S235, ""Editora Imprensa Ofi"&amp;"cial|Imprensa Oficial""), ""Editora Imprensa Oficial"",
IF(REGEXMATCH(S235, ""Folha Online""), ""Folha Online"",
IF(REGEXMATCH(S235, ""FGV DIREITO SP|FGV Direito SP""), ""FGV DIREITO SP"",
IF(REGEXMATCH(S235, ""massacrecarandiru\.org\.br""), ""Memória Mas"&amp;"sacre Carandiru"",
IF(REGEXMATCH(S235, ""Itaú Cultural""), ""YouTube (Itaú Cultural)"",
IF(REGEXMATCH(S235, ""Passa Palavra""), ""Vimeo (Passa Palavra)"",
IF(REGEXMATCH(S235, ""rede2deoutubro\.blogspot""), ""Blogspot (Rede 02 de Outubro)"",
IF(REGEXMATCH("&amp;"S235, ""Rede TVT""), ""YouTube (Rede TVT)"",
IF(REGEXMATCH(S235, ""Esquerda Diário""), ""Esquerda Diário"",
IF(REGEXMATCH(S235, ""GZH""), ""GZH"",
IF(REGEXMATCH(S235, ""TVPUC""), ""TVPUC"",
IF(REGEXMATCH(S235, ""Mídia Ninja.*Facebook""), ""Facebook (Mídia"&amp;" Ninja)"",
IF(REGEXMATCH(S235, ""Memórias Carandiru.*Instagram""), ""Instagram (Memórias Carandiru)"",
IF(REGEXMATCH(S235, ""Frente pelo Desencarceramento SP""), ""YouTube (Frente Pelo Desencarceramento SP)"",
IF(REGEXMATCH(S235, ""TV ABA""), ""YouTube (T"&amp;"V ABA)"",
IF(REGEXMATCH(S235, ""TV SENADO""), ""YouTube (TV Senado)"",
IF(REGEXMATCH(S235, ""Google Arts &amp; Culture""), ""Google Arts &amp; Culture (Memória Massacre Carandiru)"",
IF(REGEXMATCH(S235, ""Anistia Internacional|ANISTIA INTERNACIONAL""), ""Anistia "&amp;"Internacional"",
IF(REGEXMATCH(S235, ""47\.mostra|47a Mostra""), ""47a Mostra Internacional de Cinema em São Paulo"",
IF(REGEXMATCH(S235, ""Canal USP""), ""YouTube (Canal USP)"",
IF(AND(
  REGEXMATCH(S235, ""(?i)(teses?\.usp\.br|dissertacoes?\.usp\.br|rep"&amp;"ositorio\.usp\.br)""),
  NOT(REGEXMATCH(S235, ""Canal USP""))
), ""Biblioteca Digital de Teses e Dissertações da USP"",
IF(REGEXMATCH(S235, ""SINTRAJUSC""), ""SINTRAJUSC"",
IF(REGEXMATCH(S235, ""Agência Brasil|Agencia Brasil""), ""Agência Brasil"",
IF(REG"&amp;"EXMATCH(S235, ""Brasil de Fato""), ""Brasil de Fato"",
IF(REGEXMATCH(S235, ""Ponte Jornalismo|pontejornalismo""), ""Ponte Jornalismo"",
IF(REGEXMATCH(S235, ""letras\.mus\.br|Letras,""), ""Letras"",
IF(REGEXMATCH(S235, ""YouTube|youtube""), 
   ""YouTube "&amp;"(""&amp;
   IF(REGEXMATCH(S235, ""Itaú Cultural""), ""Itaú Cultural"",
   IF(REGEXMATCH(S235, ""Rede TVT""), ""Rede TVT"",
   IF(REGEXMATCH(S235, ""Frente pelo Desencarceramento SP""), ""Frente Pelo Desencarceramento SP"",
   IF(REGEXMATCH(S235, ""TV ABA""), "&amp;"""TV ABA"",
   IF(REGEXMATCH(S235, ""TV SENADO""), ""TV Senado"",
   IF(REGEXMATCH(S235, ""Canal USP""), ""Canal USP"",
   IF(REGEXMATCH(S235, ""Douer, Zack|Zack Douer""), ""Douer Zack"",
   IF(REGEXMATCH(S235, ""PRISIONEIRO 84\.901|PRISIONEIRO 84""), ""P"&amp;"risioneiro 84.901"",
   IF(REGEXMATCH(S235, ""^[^,]*, ""), 
        PROPER(REGEXREPLACE(REGEXEXTRACT(S235, ""^([^.]*)\.""), ""^([^,]*), (.*)"", ""$2 $1"")),
        PROPER(REGEXEXTRACT(S235, ""^([^.]*)\.""))
   )))))))))&amp;"")"",
IF(REGEXMATCH(S235, ""Spot"&amp;"ify|spotify""), 
   ""Spotify (""&amp;
   IF(REGEXMATCH(S235, ""ESTRANHO SORRISO""), ""Estranho Sorriso"",
   PROPER(REGEXEXTRACT(S235, ""^([^.]*)\.""))
   )&amp;"")"",
IF(REGEXMATCH(S235, ""Vimeo|vimeo""), 
   ""Vimeo (""&amp;
   IF(REGEXMATCH(S235, ""Passa Palavra"&amp;"""), ""Passa Palavra"",
   PROPER(REGEXEXTRACT(S235, ""^([^.]*)\.""))
   )&amp;"")"",
IF(REGEXMATCH(S235, ""Blogspot""), 
   ""Blogspot (""&amp;
   IF(REGEXMATCH(S235, ""rede2deoutubro""), ""Rede 02 de Outubro"",
   PROPER(REGEXEXTRACT(S235, ""^([^.]*)\.""))
   "&amp;")&amp;"")"",
IF(REGEXMATCH(S235, ""Facebook""), 
   ""Facebook (""&amp;
   IF(REGEXMATCH(S235, ""Mídia Ninja""), ""Mídia Ninja"",
   PROPER(REGEXEXTRACT(S235, ""^([^.]*)\.""))
   )&amp;"")"",
IF(REGEXMATCH(S235, ""Instagram""), 
   ""Instagram (""&amp;
   IF(REGEXMATCH"&amp;"(S235, ""Memórias Carandiru""), ""Memórias Carandiru"",
   PROPER(REGEXEXTRACT(S235, ""^([^.]*)\.""))
   )&amp;"")"",
IF(REGEXMATCH(S235, ""Folha de S\. Paulo|FOLHA DE S\. PAULO""), ""Folha de S. Paulo"",
IF(REGEXMATCH(S235, ""O Estado de S\. Paulo|ESTADAO"""&amp;"), ""O Estado de S. Paulo"",
IF(REGEXMATCH(S235, ""salasecreta""), ""Wordpress (Sala Secreta)"",
IF(REGEXMATCH(S235, ""Wikipedia|Wikipédia|WIKIPÉDIA""), ""Wikipedia"",
IF(REGEXMATCH(S235, ""VEJA|Veja""), ""Veja Abril"",
IF(REGEXMATCH(S508, ""Rede Globo|RE"&amp;"DE GLOBO""), ""Rede Globo"",
IF(REGEXMATCH(S508, ""G1|globo\.com""), ""G1"",
IF(REGEXMATCH(S235, ""Deutsche Welle|DW\.com""), ""Deutsche Welle"",
IF(REGEXMATCH(S235, ""CIDH|Comissão Interamericana""), ""Comissão Interamericana de Direitos Humanos (CIDH)"""&amp;",
IF(REGEXMATCH(S235, ""Pastoral Carcerária""), ""Pastoral Carcerária"",
IF(REGEXMATCH(S235, ""Esquerda Web""), ""Esquerda Web"",
IF(REGEXMATCH(S235, ""ONU|Organização das Nações Unidas""), ""ONU Brasil"",
IF(REGEXMATCH(S235, ""Quilombo Invisível""), ""Qu"&amp;"ilombo Invisível"",
IF(REGEXMATCH(S235, ""ALESP|Assembleia Legislativa""), ""ALESP"",
IF(REGEXMATCH(S235, ""Revista Opera""), ""Revista Opera"",
IF(REGEXMATCH(S235, ""SP Escola de Teatro""), ""SP Escola de Teatro"",
IF(REGEXMATCH(S235, ""EMC|Espaço Memóri"&amp;"a Carandiru""), ""EMC Espaço Memória Carandiru"",
IF(REGEXMATCH(S235, ""^RAMOS, Nuno|Nuno Ramos""), ""Nuno Ramos"",
IF(REGEXMATCH(S235, ""^VELOSO, Caetano|Caetano Veloso""), ""YouTube (Caetano Veloso)"",
IF(REGEXMATCH(S235, ""^FATOS REAIS""), ""YouTube ("&amp;"Fatos Reais - Topic)"",
IF(REGEXMATCH(S235, ""^SALA SECRETA""), ""Wordpress (Sala Secreta)"",
PROPER(REGEXEXTRACT(S235, ""^([^.]*)\.""))
))))))))))))))))))))))))))))))))))))))))))))))))))))))))"),"Instagram (Memórias Carandiru)")</f>
        <v>Instagram (Memórias Carandiru)</v>
      </c>
      <c r="N235" s="11" t="s">
        <v>47</v>
      </c>
      <c r="O235" s="14" t="s">
        <v>149</v>
      </c>
      <c r="P235" s="186">
        <v>45857.0</v>
      </c>
      <c r="Q235" s="11" t="s">
        <v>154</v>
      </c>
      <c r="R235" s="70" t="str">
        <f t="shared" si="8"/>
        <v>Aqui</v>
      </c>
      <c r="S235" s="75" t="s">
        <v>1002</v>
      </c>
    </row>
    <row r="236">
      <c r="A236" s="11">
        <v>234.0</v>
      </c>
      <c r="B236" s="14" t="s">
        <v>799</v>
      </c>
      <c r="C236" s="122" t="s">
        <v>165</v>
      </c>
      <c r="D236" s="13" t="str">
        <f>IFERROR(__xludf.DUMMYFUNCTION("IF(B236="""","""",IF(OR(
  REGEXMATCH(B236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REGEXMATCH(B236,""público|Imediato|artística|teatral|memória"")
),""Público Imediato"",
IF(REGEXMATCH(B236,""Música|Álbum|Filme|Documentário|Série|Podc"&amp;"ast|Rádio|Audiotour|Entrevista|Reportagem|Crônica|Relatório|Abaixo-assinado|Manifesto|Petição|Poema|Livro|Fotografia|Curta|Live|Webinário|Charge|Leitura pública|Vídeo""),
""Público Mediado"","""")))
"),"Público Imediato")</f>
        <v>Público Imediato</v>
      </c>
      <c r="E236" s="13" t="str">
        <f>IFERROR(__xludf.DUMMYFUNCTION("IF(B236="""","""",IF(OR(
  REGEXMATCH(B236,""Live|Webinário|Virtual""),
  REGEXMATCH(B236,""online"")
),""Virtual"",
IF(REGEXMATCH(B236,""Música|Álbum|Filme|Documentário|Série|Podcast|Rádio|Audiotour|Episódio|Reportagem|Curta|Charge|Livro|Vídeo|Entrevista"&amp;"""),
""Midiático"",
IF(REGEXMATCH(B236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6" s="186">
        <v>45710.0</v>
      </c>
      <c r="G236" s="15">
        <f t="shared" si="1"/>
        <v>2025</v>
      </c>
      <c r="H236" s="14" t="s">
        <v>733</v>
      </c>
      <c r="I236" s="175" t="s">
        <v>741</v>
      </c>
      <c r="J236" s="202" t="s">
        <v>1003</v>
      </c>
      <c r="K236" s="16" t="s">
        <v>736</v>
      </c>
      <c r="L236" s="18" t="s">
        <v>489</v>
      </c>
      <c r="M236" s="15" t="str">
        <f>IFERROR(__xludf.DUMMYFUNCTION("IF(REGEXMATCH(S236, ""Companhia das Letras""), ""Companhia das Letras"",
IF(REGEXMATCH(S236, ""Labortexto Editorial""), ""Labortexto Editorial"",
IF(REGEXMATCH(S236, ""Geração Editorial""), ""Geração Editorial"",
IF(REGEXMATCH(S236, ""Editora Imprensa Ofi"&amp;"cial|Imprensa Oficial""), ""Editora Imprensa Oficial"",
IF(REGEXMATCH(S236, ""Folha Online""), ""Folha Online"",
IF(REGEXMATCH(S236, ""FGV DIREITO SP|FGV Direito SP""), ""FGV DIREITO SP"",
IF(REGEXMATCH(S236, ""massacrecarandiru\.org\.br""), ""Memória Mas"&amp;"sacre Carandiru"",
IF(REGEXMATCH(S236, ""Itaú Cultural""), ""YouTube (Itaú Cultural)"",
IF(REGEXMATCH(S236, ""Passa Palavra""), ""Vimeo (Passa Palavra)"",
IF(REGEXMATCH(S236, ""rede2deoutubro\.blogspot""), ""Blogspot (Rede 02 de Outubro)"",
IF(REGEXMATCH("&amp;"S236, ""Rede TVT""), ""YouTube (Rede TVT)"",
IF(REGEXMATCH(S236, ""Esquerda Diário""), ""Esquerda Diário"",
IF(REGEXMATCH(S236, ""GZH""), ""GZH"",
IF(REGEXMATCH(S236, ""TVPUC""), ""TVPUC"",
IF(REGEXMATCH(S236, ""Mídia Ninja.*Facebook""), ""Facebook (Mídia"&amp;" Ninja)"",
IF(REGEXMATCH(S236, ""Memórias Carandiru.*Instagram""), ""Instagram (Memórias Carandiru)"",
IF(REGEXMATCH(S236, ""Frente pelo Desencarceramento SP""), ""YouTube (Frente Pelo Desencarceramento SP)"",
IF(REGEXMATCH(S236, ""TV ABA""), ""YouTube (T"&amp;"V ABA)"",
IF(REGEXMATCH(S236, ""TV SENADO""), ""YouTube (TV Senado)"",
IF(REGEXMATCH(S236, ""Google Arts &amp; Culture""), ""Google Arts &amp; Culture (Memória Massacre Carandiru)"",
IF(REGEXMATCH(S236, ""Anistia Internacional|ANISTIA INTERNACIONAL""), ""Anistia "&amp;"Internacional"",
IF(REGEXMATCH(S236, ""47\.mostra|47a Mostra""), ""47a Mostra Internacional de Cinema em São Paulo"",
IF(REGEXMATCH(S236, ""Canal USP""), ""YouTube (Canal USP)"",
IF(AND(
  REGEXMATCH(S236, ""(?i)(teses?\.usp\.br|dissertacoes?\.usp\.br|rep"&amp;"ositorio\.usp\.br)""),
  NOT(REGEXMATCH(S236, ""Canal USP""))
), ""Biblioteca Digital de Teses e Dissertações da USP"",
IF(REGEXMATCH(S236, ""SINTRAJUSC""), ""SINTRAJUSC"",
IF(REGEXMATCH(S236, ""Agência Brasil|Agencia Brasil""), ""Agência Brasil"",
IF(REG"&amp;"EXMATCH(S236, ""Brasil de Fato""), ""Brasil de Fato"",
IF(REGEXMATCH(S236, ""Ponte Jornalismo|pontejornalismo""), ""Ponte Jornalismo"",
IF(REGEXMATCH(S236, ""letras\.mus\.br|Letras,""), ""Letras"",
IF(REGEXMATCH(S236, ""YouTube|youtube""), 
   ""YouTube "&amp;"(""&amp;
   IF(REGEXMATCH(S236, ""Itaú Cultural""), ""Itaú Cultural"",
   IF(REGEXMATCH(S236, ""Rede TVT""), ""Rede TVT"",
   IF(REGEXMATCH(S236, ""Frente pelo Desencarceramento SP""), ""Frente Pelo Desencarceramento SP"",
   IF(REGEXMATCH(S236, ""TV ABA""), "&amp;"""TV ABA"",
   IF(REGEXMATCH(S236, ""TV SENADO""), ""TV Senado"",
   IF(REGEXMATCH(S236, ""Canal USP""), ""Canal USP"",
   IF(REGEXMATCH(S236, ""Douer, Zack|Zack Douer""), ""Douer Zack"",
   IF(REGEXMATCH(S236, ""PRISIONEIRO 84\.901|PRISIONEIRO 84""), ""P"&amp;"risioneiro 84.901"",
   IF(REGEXMATCH(S236, ""^[^,]*, ""), 
        PROPER(REGEXREPLACE(REGEXEXTRACT(S236, ""^([^.]*)\.""), ""^([^,]*), (.*)"", ""$2 $1"")),
        PROPER(REGEXEXTRACT(S236, ""^([^.]*)\.""))
   )))))))))&amp;"")"",
IF(REGEXMATCH(S236, ""Spot"&amp;"ify|spotify""), 
   ""Spotify (""&amp;
   IF(REGEXMATCH(S236, ""ESTRANHO SORRISO""), ""Estranho Sorriso"",
   PROPER(REGEXEXTRACT(S236, ""^([^.]*)\.""))
   )&amp;"")"",
IF(REGEXMATCH(S236, ""Vimeo|vimeo""), 
   ""Vimeo (""&amp;
   IF(REGEXMATCH(S236, ""Passa Palavra"&amp;"""), ""Passa Palavra"",
   PROPER(REGEXEXTRACT(S236, ""^([^.]*)\.""))
   )&amp;"")"",
IF(REGEXMATCH(S236, ""Blogspot""), 
   ""Blogspot (""&amp;
   IF(REGEXMATCH(S236, ""rede2deoutubro""), ""Rede 02 de Outubro"",
   PROPER(REGEXEXTRACT(S236, ""^([^.]*)\.""))
   "&amp;")&amp;"")"",
IF(REGEXMATCH(S236, ""Facebook""), 
   ""Facebook (""&amp;
   IF(REGEXMATCH(S236, ""Mídia Ninja""), ""Mídia Ninja"",
   PROPER(REGEXEXTRACT(S236, ""^([^.]*)\.""))
   )&amp;"")"",
IF(REGEXMATCH(S236, ""Instagram""), 
   ""Instagram (""&amp;
   IF(REGEXMATCH"&amp;"(S236, ""Memórias Carandiru""), ""Memórias Carandiru"",
   PROPER(REGEXEXTRACT(S236, ""^([^.]*)\.""))
   )&amp;"")"",
IF(REGEXMATCH(S236, ""Folha de S\. Paulo|FOLHA DE S\. PAULO""), ""Folha de S. Paulo"",
IF(REGEXMATCH(S236, ""O Estado de S\. Paulo|ESTADAO"""&amp;"), ""O Estado de S. Paulo"",
IF(REGEXMATCH(S236, ""salasecreta""), ""Wordpress (Sala Secreta)"",
IF(REGEXMATCH(S236, ""Wikipedia|Wikipédia|WIKIPÉDIA""), ""Wikipedia"",
IF(REGEXMATCH(S236, ""VEJA|Veja""), ""Veja Abril"",
IF(REGEXMATCH(S509, ""Rede Globo|RE"&amp;"DE GLOBO""), ""Rede Globo"",
IF(REGEXMATCH(S509, ""G1|globo\.com""), ""G1"",
IF(REGEXMATCH(S236, ""Deutsche Welle|DW\.com""), ""Deutsche Welle"",
IF(REGEXMATCH(S236, ""CIDH|Comissão Interamericana""), ""Comissão Interamericana de Direitos Humanos (CIDH)"""&amp;",
IF(REGEXMATCH(S236, ""Pastoral Carcerária""), ""Pastoral Carcerária"",
IF(REGEXMATCH(S236, ""Esquerda Web""), ""Esquerda Web"",
IF(REGEXMATCH(S236, ""ONU|Organização das Nações Unidas""), ""ONU Brasil"",
IF(REGEXMATCH(S236, ""Quilombo Invisível""), ""Qu"&amp;"ilombo Invisível"",
IF(REGEXMATCH(S236, ""ALESP|Assembleia Legislativa""), ""ALESP"",
IF(REGEXMATCH(S236, ""Revista Opera""), ""Revista Opera"",
IF(REGEXMATCH(S236, ""SP Escola de Teatro""), ""SP Escola de Teatro"",
IF(REGEXMATCH(S236, ""EMC|Espaço Memóri"&amp;"a Carandiru""), ""EMC Espaço Memória Carandiru"",
IF(REGEXMATCH(S236, ""^RAMOS, Nuno|Nuno Ramos""), ""Nuno Ramos"",
IF(REGEXMATCH(S236, ""^VELOSO, Caetano|Caetano Veloso""), ""YouTube (Caetano Veloso)"",
IF(REGEXMATCH(S236, ""^FATOS REAIS""), ""YouTube ("&amp;"Fatos Reais - Topic)"",
IF(REGEXMATCH(S236, ""^SALA SECRETA""), ""Wordpress (Sala Secreta)"",
PROPER(REGEXEXTRACT(S236, ""^([^.]*)\.""))
))))))))))))))))))))))))))))))))))))))))))))))))))))))))"),"Instagram (Memórias Carandiru)")</f>
        <v>Instagram (Memórias Carandiru)</v>
      </c>
      <c r="N236" s="11" t="s">
        <v>47</v>
      </c>
      <c r="O236" s="14" t="s">
        <v>149</v>
      </c>
      <c r="P236" s="186">
        <v>45857.0</v>
      </c>
      <c r="Q236" s="11" t="s">
        <v>154</v>
      </c>
      <c r="R236" s="70" t="str">
        <f t="shared" si="8"/>
        <v>Aqui</v>
      </c>
      <c r="S236" s="75" t="s">
        <v>1004</v>
      </c>
    </row>
    <row r="237">
      <c r="A237" s="11">
        <v>235.0</v>
      </c>
      <c r="B237" s="14" t="s">
        <v>799</v>
      </c>
      <c r="C237" s="122" t="s">
        <v>165</v>
      </c>
      <c r="D237" s="13" t="str">
        <f>IFERROR(__xludf.DUMMYFUNCTION("IF(B237="""","""",IF(OR(
  REGEXMATCH(B237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REGEXMATCH(B237,""público|Imediato|artística|teatral|memória"")
),""Público Imediato"",
IF(REGEXMATCH(B237,""Música|Álbum|Filme|Documentário|Série|Podc"&amp;"ast|Rádio|Audiotour|Entrevista|Reportagem|Crônica|Relatório|Abaixo-assinado|Manifesto|Petição|Poema|Livro|Fotografia|Curta|Live|Webinário|Charge|Leitura pública|Vídeo""),
""Público Mediado"","""")))
"),"Público Imediato")</f>
        <v>Público Imediato</v>
      </c>
      <c r="E237" s="13" t="str">
        <f>IFERROR(__xludf.DUMMYFUNCTION("IF(B237="""","""",IF(OR(
  REGEXMATCH(B237,""Live|Webinário|Virtual""),
  REGEXMATCH(B237,""online"")
),""Virtual"",
IF(REGEXMATCH(B237,""Música|Álbum|Filme|Documentário|Série|Podcast|Rádio|Audiotour|Episódio|Reportagem|Curta|Charge|Livro|Vídeo|Entrevista"&amp;"""),
""Midiático"",
IF(REGEXMATCH(B237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7" s="186">
        <v>45731.0</v>
      </c>
      <c r="G237" s="15">
        <f t="shared" si="1"/>
        <v>2025</v>
      </c>
      <c r="H237" s="14" t="s">
        <v>733</v>
      </c>
      <c r="I237" s="175" t="s">
        <v>741</v>
      </c>
      <c r="J237" s="202" t="s">
        <v>1005</v>
      </c>
      <c r="K237" s="16" t="s">
        <v>736</v>
      </c>
      <c r="L237" s="18" t="s">
        <v>489</v>
      </c>
      <c r="M237" s="15" t="str">
        <f>IFERROR(__xludf.DUMMYFUNCTION("IF(REGEXMATCH(S237, ""Companhia das Letras""), ""Companhia das Letras"",
IF(REGEXMATCH(S237, ""Labortexto Editorial""), ""Labortexto Editorial"",
IF(REGEXMATCH(S237, ""Geração Editorial""), ""Geração Editorial"",
IF(REGEXMATCH(S237, ""Editora Imprensa Ofi"&amp;"cial|Imprensa Oficial""), ""Editora Imprensa Oficial"",
IF(REGEXMATCH(S237, ""Folha Online""), ""Folha Online"",
IF(REGEXMATCH(S237, ""FGV DIREITO SP|FGV Direito SP""), ""FGV DIREITO SP"",
IF(REGEXMATCH(S237, ""massacrecarandiru\.org\.br""), ""Memória Mas"&amp;"sacre Carandiru"",
IF(REGEXMATCH(S237, ""Itaú Cultural""), ""YouTube (Itaú Cultural)"",
IF(REGEXMATCH(S237, ""Passa Palavra""), ""Vimeo (Passa Palavra)"",
IF(REGEXMATCH(S237, ""rede2deoutubro\.blogspot""), ""Blogspot (Rede 02 de Outubro)"",
IF(REGEXMATCH("&amp;"S237, ""Rede TVT""), ""YouTube (Rede TVT)"",
IF(REGEXMATCH(S237, ""Esquerda Diário""), ""Esquerda Diário"",
IF(REGEXMATCH(S237, ""GZH""), ""GZH"",
IF(REGEXMATCH(S237, ""TVPUC""), ""TVPUC"",
IF(REGEXMATCH(S237, ""Mídia Ninja.*Facebook""), ""Facebook (Mídia"&amp;" Ninja)"",
IF(REGEXMATCH(S237, ""Memórias Carandiru.*Instagram""), ""Instagram (Memórias Carandiru)"",
IF(REGEXMATCH(S237, ""Frente pelo Desencarceramento SP""), ""YouTube (Frente Pelo Desencarceramento SP)"",
IF(REGEXMATCH(S237, ""TV ABA""), ""YouTube (T"&amp;"V ABA)"",
IF(REGEXMATCH(S237, ""TV SENADO""), ""YouTube (TV Senado)"",
IF(REGEXMATCH(S237, ""Google Arts &amp; Culture""), ""Google Arts &amp; Culture (Memória Massacre Carandiru)"",
IF(REGEXMATCH(S237, ""Anistia Internacional|ANISTIA INTERNACIONAL""), ""Anistia "&amp;"Internacional"",
IF(REGEXMATCH(S237, ""47\.mostra|47a Mostra""), ""47a Mostra Internacional de Cinema em São Paulo"",
IF(REGEXMATCH(S237, ""Canal USP""), ""YouTube (Canal USP)"",
IF(AND(
  REGEXMATCH(S237, ""(?i)(teses?\.usp\.br|dissertacoes?\.usp\.br|rep"&amp;"ositorio\.usp\.br)""),
  NOT(REGEXMATCH(S237, ""Canal USP""))
), ""Biblioteca Digital de Teses e Dissertações da USP"",
IF(REGEXMATCH(S237, ""SINTRAJUSC""), ""SINTRAJUSC"",
IF(REGEXMATCH(S237, ""Agência Brasil|Agencia Brasil""), ""Agência Brasil"",
IF(REG"&amp;"EXMATCH(S237, ""Brasil de Fato""), ""Brasil de Fato"",
IF(REGEXMATCH(S237, ""Ponte Jornalismo|pontejornalismo""), ""Ponte Jornalismo"",
IF(REGEXMATCH(S237, ""letras\.mus\.br|Letras,""), ""Letras"",
IF(REGEXMATCH(S237, ""YouTube|youtube""), 
   ""YouTube "&amp;"(""&amp;
   IF(REGEXMATCH(S237, ""Itaú Cultural""), ""Itaú Cultural"",
   IF(REGEXMATCH(S237, ""Rede TVT""), ""Rede TVT"",
   IF(REGEXMATCH(S237, ""Frente pelo Desencarceramento SP""), ""Frente Pelo Desencarceramento SP"",
   IF(REGEXMATCH(S237, ""TV ABA""), "&amp;"""TV ABA"",
   IF(REGEXMATCH(S237, ""TV SENADO""), ""TV Senado"",
   IF(REGEXMATCH(S237, ""Canal USP""), ""Canal USP"",
   IF(REGEXMATCH(S237, ""Douer, Zack|Zack Douer""), ""Douer Zack"",
   IF(REGEXMATCH(S237, ""PRISIONEIRO 84\.901|PRISIONEIRO 84""), ""P"&amp;"risioneiro 84.901"",
   IF(REGEXMATCH(S237, ""^[^,]*, ""), 
        PROPER(REGEXREPLACE(REGEXEXTRACT(S237, ""^([^.]*)\.""), ""^([^,]*), (.*)"", ""$2 $1"")),
        PROPER(REGEXEXTRACT(S237, ""^([^.]*)\.""))
   )))))))))&amp;"")"",
IF(REGEXMATCH(S237, ""Spot"&amp;"ify|spotify""), 
   ""Spotify (""&amp;
   IF(REGEXMATCH(S237, ""ESTRANHO SORRISO""), ""Estranho Sorriso"",
   PROPER(REGEXEXTRACT(S237, ""^([^.]*)\.""))
   )&amp;"")"",
IF(REGEXMATCH(S237, ""Vimeo|vimeo""), 
   ""Vimeo (""&amp;
   IF(REGEXMATCH(S237, ""Passa Palavra"&amp;"""), ""Passa Palavra"",
   PROPER(REGEXEXTRACT(S237, ""^([^.]*)\.""))
   )&amp;"")"",
IF(REGEXMATCH(S237, ""Blogspot""), 
   ""Blogspot (""&amp;
   IF(REGEXMATCH(S237, ""rede2deoutubro""), ""Rede 02 de Outubro"",
   PROPER(REGEXEXTRACT(S237, ""^([^.]*)\.""))
   "&amp;")&amp;"")"",
IF(REGEXMATCH(S237, ""Facebook""), 
   ""Facebook (""&amp;
   IF(REGEXMATCH(S237, ""Mídia Ninja""), ""Mídia Ninja"",
   PROPER(REGEXEXTRACT(S237, ""^([^.]*)\.""))
   )&amp;"")"",
IF(REGEXMATCH(S237, ""Instagram""), 
   ""Instagram (""&amp;
   IF(REGEXMATCH"&amp;"(S237, ""Memórias Carandiru""), ""Memórias Carandiru"",
   PROPER(REGEXEXTRACT(S237, ""^([^.]*)\.""))
   )&amp;"")"",
IF(REGEXMATCH(S237, ""Folha de S\. Paulo|FOLHA DE S\. PAULO""), ""Folha de S. Paulo"",
IF(REGEXMATCH(S237, ""O Estado de S\. Paulo|ESTADAO"""&amp;"), ""O Estado de S. Paulo"",
IF(REGEXMATCH(S237, ""salasecreta""), ""Wordpress (Sala Secreta)"",
IF(REGEXMATCH(S237, ""Wikipedia|Wikipédia|WIKIPÉDIA""), ""Wikipedia"",
IF(REGEXMATCH(S237, ""VEJA|Veja""), ""Veja Abril"",
IF(REGEXMATCH(S510, ""Rede Globo|RE"&amp;"DE GLOBO""), ""Rede Globo"",
IF(REGEXMATCH(S510, ""G1|globo\.com""), ""G1"",
IF(REGEXMATCH(S237, ""Deutsche Welle|DW\.com""), ""Deutsche Welle"",
IF(REGEXMATCH(S237, ""CIDH|Comissão Interamericana""), ""Comissão Interamericana de Direitos Humanos (CIDH)"""&amp;",
IF(REGEXMATCH(S237, ""Pastoral Carcerária""), ""Pastoral Carcerária"",
IF(REGEXMATCH(S237, ""Esquerda Web""), ""Esquerda Web"",
IF(REGEXMATCH(S237, ""ONU|Organização das Nações Unidas""), ""ONU Brasil"",
IF(REGEXMATCH(S237, ""Quilombo Invisível""), ""Qu"&amp;"ilombo Invisível"",
IF(REGEXMATCH(S237, ""ALESP|Assembleia Legislativa""), ""ALESP"",
IF(REGEXMATCH(S237, ""Revista Opera""), ""Revista Opera"",
IF(REGEXMATCH(S237, ""SP Escola de Teatro""), ""SP Escola de Teatro"",
IF(REGEXMATCH(S237, ""EMC|Espaço Memóri"&amp;"a Carandiru""), ""EMC Espaço Memória Carandiru"",
IF(REGEXMATCH(S237, ""^RAMOS, Nuno|Nuno Ramos""), ""Nuno Ramos"",
IF(REGEXMATCH(S237, ""^VELOSO, Caetano|Caetano Veloso""), ""YouTube (Caetano Veloso)"",
IF(REGEXMATCH(S237, ""^FATOS REAIS""), ""YouTube ("&amp;"Fatos Reais - Topic)"",
IF(REGEXMATCH(S237, ""^SALA SECRETA""), ""Wordpress (Sala Secreta)"",
PROPER(REGEXEXTRACT(S237, ""^([^.]*)\.""))
))))))))))))))))))))))))))))))))))))))))))))))))))))))))"),"Instagram (Memórias Carandiru)")</f>
        <v>Instagram (Memórias Carandiru)</v>
      </c>
      <c r="N237" s="11" t="s">
        <v>47</v>
      </c>
      <c r="O237" s="14" t="s">
        <v>149</v>
      </c>
      <c r="P237" s="186">
        <v>45857.0</v>
      </c>
      <c r="Q237" s="11" t="s">
        <v>154</v>
      </c>
      <c r="R237" s="70" t="str">
        <f t="shared" si="8"/>
        <v>Aqui</v>
      </c>
      <c r="S237" s="75" t="s">
        <v>1006</v>
      </c>
    </row>
    <row r="238">
      <c r="A238" s="11">
        <v>236.0</v>
      </c>
      <c r="B238" s="14" t="s">
        <v>799</v>
      </c>
      <c r="C238" s="122" t="s">
        <v>165</v>
      </c>
      <c r="D238" s="13" t="str">
        <f>IFERROR(__xludf.DUMMYFUNCTION("IF(B238="""","""",IF(OR(
  REGEXMATCH(B238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REGEXMATCH(B238,""público|Imediato|artística|teatral|memória"")
),""Público Imediato"",
IF(REGEXMATCH(B238,""Música|Álbum|Filme|Documentário|Série|Podc"&amp;"ast|Rádio|Audiotour|Entrevista|Reportagem|Crônica|Relatório|Abaixo-assinado|Manifesto|Petição|Poema|Livro|Fotografia|Curta|Live|Webinário|Charge|Leitura pública|Vídeo""),
""Público Mediado"","""")))
"),"Público Imediato")</f>
        <v>Público Imediato</v>
      </c>
      <c r="E238" s="13" t="str">
        <f>IFERROR(__xludf.DUMMYFUNCTION("IF(B238="""","""",IF(OR(
  REGEXMATCH(B238,""Live|Webinário|Virtual""),
  REGEXMATCH(B238,""online"")
),""Virtual"",
IF(REGEXMATCH(B238,""Música|Álbum|Filme|Documentário|Série|Podcast|Rádio|Audiotour|Episódio|Reportagem|Curta|Charge|Livro|Vídeo|Entrevista"&amp;"""),
""Midiático"",
IF(REGEXMATCH(B238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8" s="186">
        <v>45745.0</v>
      </c>
      <c r="G238" s="15">
        <f t="shared" si="1"/>
        <v>2025</v>
      </c>
      <c r="H238" s="14" t="s">
        <v>733</v>
      </c>
      <c r="I238" s="175" t="s">
        <v>741</v>
      </c>
      <c r="J238" s="202" t="s">
        <v>1007</v>
      </c>
      <c r="K238" s="16" t="s">
        <v>736</v>
      </c>
      <c r="L238" s="18" t="s">
        <v>489</v>
      </c>
      <c r="M238" s="15" t="str">
        <f>IFERROR(__xludf.DUMMYFUNCTION("IF(REGEXMATCH(S238, ""Companhia das Letras""), ""Companhia das Letras"",
IF(REGEXMATCH(S238, ""Labortexto Editorial""), ""Labortexto Editorial"",
IF(REGEXMATCH(S238, ""Geração Editorial""), ""Geração Editorial"",
IF(REGEXMATCH(S238, ""Editora Imprensa Ofi"&amp;"cial|Imprensa Oficial""), ""Editora Imprensa Oficial"",
IF(REGEXMATCH(S238, ""Folha Online""), ""Folha Online"",
IF(REGEXMATCH(S238, ""FGV DIREITO SP|FGV Direito SP""), ""FGV DIREITO SP"",
IF(REGEXMATCH(S238, ""massacrecarandiru\.org\.br""), ""Memória Mas"&amp;"sacre Carandiru"",
IF(REGEXMATCH(S238, ""Itaú Cultural""), ""YouTube (Itaú Cultural)"",
IF(REGEXMATCH(S238, ""Passa Palavra""), ""Vimeo (Passa Palavra)"",
IF(REGEXMATCH(S238, ""rede2deoutubro\.blogspot""), ""Blogspot (Rede 02 de Outubro)"",
IF(REGEXMATCH("&amp;"S238, ""Rede TVT""), ""YouTube (Rede TVT)"",
IF(REGEXMATCH(S238, ""Esquerda Diário""), ""Esquerda Diário"",
IF(REGEXMATCH(S238, ""GZH""), ""GZH"",
IF(REGEXMATCH(S238, ""TVPUC""), ""TVPUC"",
IF(REGEXMATCH(S238, ""Mídia Ninja.*Facebook""), ""Facebook (Mídia"&amp;" Ninja)"",
IF(REGEXMATCH(S238, ""Memórias Carandiru.*Instagram""), ""Instagram (Memórias Carandiru)"",
IF(REGEXMATCH(S238, ""Frente pelo Desencarceramento SP""), ""YouTube (Frente Pelo Desencarceramento SP)"",
IF(REGEXMATCH(S238, ""TV ABA""), ""YouTube (T"&amp;"V ABA)"",
IF(REGEXMATCH(S238, ""TV SENADO""), ""YouTube (TV Senado)"",
IF(REGEXMATCH(S238, ""Google Arts &amp; Culture""), ""Google Arts &amp; Culture (Memória Massacre Carandiru)"",
IF(REGEXMATCH(S238, ""Anistia Internacional|ANISTIA INTERNACIONAL""), ""Anistia "&amp;"Internacional"",
IF(REGEXMATCH(S238, ""47\.mostra|47a Mostra""), ""47a Mostra Internacional de Cinema em São Paulo"",
IF(REGEXMATCH(S238, ""Canal USP""), ""YouTube (Canal USP)"",
IF(AND(
  REGEXMATCH(S238, ""(?i)(teses?\.usp\.br|dissertacoes?\.usp\.br|rep"&amp;"ositorio\.usp\.br)""),
  NOT(REGEXMATCH(S238, ""Canal USP""))
), ""Biblioteca Digital de Teses e Dissertações da USP"",
IF(REGEXMATCH(S238, ""SINTRAJUSC""), ""SINTRAJUSC"",
IF(REGEXMATCH(S238, ""Agência Brasil|Agencia Brasil""), ""Agência Brasil"",
IF(REG"&amp;"EXMATCH(S238, ""Brasil de Fato""), ""Brasil de Fato"",
IF(REGEXMATCH(S238, ""Ponte Jornalismo|pontejornalismo""), ""Ponte Jornalismo"",
IF(REGEXMATCH(S238, ""letras\.mus\.br|Letras,""), ""Letras"",
IF(REGEXMATCH(S238, ""YouTube|youtube""), 
   ""YouTube "&amp;"(""&amp;
   IF(REGEXMATCH(S238, ""Itaú Cultural""), ""Itaú Cultural"",
   IF(REGEXMATCH(S238, ""Rede TVT""), ""Rede TVT"",
   IF(REGEXMATCH(S238, ""Frente pelo Desencarceramento SP""), ""Frente Pelo Desencarceramento SP"",
   IF(REGEXMATCH(S238, ""TV ABA""), "&amp;"""TV ABA"",
   IF(REGEXMATCH(S238, ""TV SENADO""), ""TV Senado"",
   IF(REGEXMATCH(S238, ""Canal USP""), ""Canal USP"",
   IF(REGEXMATCH(S238, ""Douer, Zack|Zack Douer""), ""Douer Zack"",
   IF(REGEXMATCH(S238, ""PRISIONEIRO 84\.901|PRISIONEIRO 84""), ""P"&amp;"risioneiro 84.901"",
   IF(REGEXMATCH(S238, ""^[^,]*, ""), 
        PROPER(REGEXREPLACE(REGEXEXTRACT(S238, ""^([^.]*)\.""), ""^([^,]*), (.*)"", ""$2 $1"")),
        PROPER(REGEXEXTRACT(S238, ""^([^.]*)\.""))
   )))))))))&amp;"")"",
IF(REGEXMATCH(S238, ""Spot"&amp;"ify|spotify""), 
   ""Spotify (""&amp;
   IF(REGEXMATCH(S238, ""ESTRANHO SORRISO""), ""Estranho Sorriso"",
   PROPER(REGEXEXTRACT(S238, ""^([^.]*)\.""))
   )&amp;"")"",
IF(REGEXMATCH(S238, ""Vimeo|vimeo""), 
   ""Vimeo (""&amp;
   IF(REGEXMATCH(S238, ""Passa Palavra"&amp;"""), ""Passa Palavra"",
   PROPER(REGEXEXTRACT(S238, ""^([^.]*)\.""))
   )&amp;"")"",
IF(REGEXMATCH(S238, ""Blogspot""), 
   ""Blogspot (""&amp;
   IF(REGEXMATCH(S238, ""rede2deoutubro""), ""Rede 02 de Outubro"",
   PROPER(REGEXEXTRACT(S238, ""^([^.]*)\.""))
   "&amp;")&amp;"")"",
IF(REGEXMATCH(S238, ""Facebook""), 
   ""Facebook (""&amp;
   IF(REGEXMATCH(S238, ""Mídia Ninja""), ""Mídia Ninja"",
   PROPER(REGEXEXTRACT(S238, ""^([^.]*)\.""))
   )&amp;"")"",
IF(REGEXMATCH(S238, ""Instagram""), 
   ""Instagram (""&amp;
   IF(REGEXMATCH"&amp;"(S238, ""Memórias Carandiru""), ""Memórias Carandiru"",
   PROPER(REGEXEXTRACT(S238, ""^([^.]*)\.""))
   )&amp;"")"",
IF(REGEXMATCH(S238, ""Folha de S\. Paulo|FOLHA DE S\. PAULO""), ""Folha de S. Paulo"",
IF(REGEXMATCH(S238, ""O Estado de S\. Paulo|ESTADAO"""&amp;"), ""O Estado de S. Paulo"",
IF(REGEXMATCH(S238, ""salasecreta""), ""Wordpress (Sala Secreta)"",
IF(REGEXMATCH(S238, ""Wikipedia|Wikipédia|WIKIPÉDIA""), ""Wikipedia"",
IF(REGEXMATCH(S238, ""VEJA|Veja""), ""Veja Abril"",
IF(REGEXMATCH(S511, ""Rede Globo|RE"&amp;"DE GLOBO""), ""Rede Globo"",
IF(REGEXMATCH(S511, ""G1|globo\.com""), ""G1"",
IF(REGEXMATCH(S238, ""Deutsche Welle|DW\.com""), ""Deutsche Welle"",
IF(REGEXMATCH(S238, ""CIDH|Comissão Interamericana""), ""Comissão Interamericana de Direitos Humanos (CIDH)"""&amp;",
IF(REGEXMATCH(S238, ""Pastoral Carcerária""), ""Pastoral Carcerária"",
IF(REGEXMATCH(S238, ""Esquerda Web""), ""Esquerda Web"",
IF(REGEXMATCH(S238, ""ONU|Organização das Nações Unidas""), ""ONU Brasil"",
IF(REGEXMATCH(S238, ""Quilombo Invisível""), ""Qu"&amp;"ilombo Invisível"",
IF(REGEXMATCH(S238, ""ALESP|Assembleia Legislativa""), ""ALESP"",
IF(REGEXMATCH(S238, ""Revista Opera""), ""Revista Opera"",
IF(REGEXMATCH(S238, ""SP Escola de Teatro""), ""SP Escola de Teatro"",
IF(REGEXMATCH(S238, ""EMC|Espaço Memóri"&amp;"a Carandiru""), ""EMC Espaço Memória Carandiru"",
IF(REGEXMATCH(S238, ""^RAMOS, Nuno|Nuno Ramos""), ""Nuno Ramos"",
IF(REGEXMATCH(S238, ""^VELOSO, Caetano|Caetano Veloso""), ""YouTube (Caetano Veloso)"",
IF(REGEXMATCH(S238, ""^FATOS REAIS""), ""YouTube ("&amp;"Fatos Reais - Topic)"",
IF(REGEXMATCH(S238, ""^SALA SECRETA""), ""Wordpress (Sala Secreta)"",
PROPER(REGEXEXTRACT(S238, ""^([^.]*)\.""))
))))))))))))))))))))))))))))))))))))))))))))))))))))))))"),"Instagram (Memórias Carandiru)")</f>
        <v>Instagram (Memórias Carandiru)</v>
      </c>
      <c r="N238" s="11" t="s">
        <v>47</v>
      </c>
      <c r="O238" s="14" t="s">
        <v>149</v>
      </c>
      <c r="P238" s="186">
        <v>45857.0</v>
      </c>
      <c r="Q238" s="11" t="s">
        <v>154</v>
      </c>
      <c r="R238" s="70" t="str">
        <f t="shared" si="8"/>
        <v>Aqui</v>
      </c>
      <c r="S238" s="75" t="s">
        <v>1008</v>
      </c>
    </row>
    <row r="239">
      <c r="A239" s="11">
        <v>237.0</v>
      </c>
      <c r="B239" s="14" t="s">
        <v>665</v>
      </c>
      <c r="C239" s="122" t="s">
        <v>165</v>
      </c>
      <c r="D239" s="13" t="str">
        <f>IFERROR(__xludf.DUMMYFUNCTION("IF(B239="""","""",IF(OR(
  REGEXMATCH(B239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REGEXMATCH(B239,""público|Imediato|artística|teatral|memória"")
),""Público Imediato"",
IF(REGEXMATCH(B239,""Música|Álbum|Filme|Documentário|Série|Podc"&amp;"ast|Rádio|Audiotour|Entrevista|Reportagem|Crônica|Relatório|Abaixo-assinado|Manifesto|Petição|Poema|Livro|Fotografia|Curta|Live|Webinário|Charge|Leitura pública|Vídeo""),
""Público Mediado"","""")))
"),"Público Imediato")</f>
        <v>Público Imediato</v>
      </c>
      <c r="E239" s="13" t="str">
        <f>IFERROR(__xludf.DUMMYFUNCTION("IF(B239="""","""",IF(OR(
  REGEXMATCH(B239,""Live|Webinário|Virtual""),
  REGEXMATCH(B239,""online"")
),""Virtual"",
IF(REGEXMATCH(B239,""Música|Álbum|Filme|Documentário|Série|Podcast|Rádio|Audiotour|Episódio|Reportagem|Curta|Charge|Livro|Vídeo|Entrevista"&amp;"""),
""Midiático"",
IF(REGEXMATCH(B239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9" s="186">
        <v>45748.0</v>
      </c>
      <c r="G239" s="15">
        <f t="shared" si="1"/>
        <v>2025</v>
      </c>
      <c r="H239" s="14" t="s">
        <v>1009</v>
      </c>
      <c r="I239" s="175" t="s">
        <v>1010</v>
      </c>
      <c r="J239" s="202" t="s">
        <v>665</v>
      </c>
      <c r="K239" s="16" t="s">
        <v>736</v>
      </c>
      <c r="L239" s="18" t="s">
        <v>489</v>
      </c>
      <c r="M239" s="15" t="str">
        <f>IFERROR(__xludf.DUMMYFUNCTION("IF(REGEXMATCH(S239, ""Companhia das Letras""), ""Companhia das Letras"",
IF(REGEXMATCH(S239, ""Labortexto Editorial""), ""Labortexto Editorial"",
IF(REGEXMATCH(S239, ""Geração Editorial""), ""Geração Editorial"",
IF(REGEXMATCH(S239, ""Editora Imprensa Ofi"&amp;"cial|Imprensa Oficial""), ""Editora Imprensa Oficial"",
IF(REGEXMATCH(S239, ""Folha Online""), ""Folha Online"",
IF(REGEXMATCH(S239, ""FGV DIREITO SP|FGV Direito SP""), ""FGV DIREITO SP"",
IF(REGEXMATCH(S239, ""massacrecarandiru\.org\.br""), ""Memória Mas"&amp;"sacre Carandiru"",
IF(REGEXMATCH(S239, ""Itaú Cultural""), ""YouTube (Itaú Cultural)"",
IF(REGEXMATCH(S239, ""Passa Palavra""), ""Vimeo (Passa Palavra)"",
IF(REGEXMATCH(S239, ""rede2deoutubro\.blogspot""), ""Blogspot (Rede 02 de Outubro)"",
IF(REGEXMATCH("&amp;"S239, ""Rede TVT""), ""YouTube (Rede TVT)"",
IF(REGEXMATCH(S239, ""Esquerda Diário""), ""Esquerda Diário"",
IF(REGEXMATCH(S239, ""GZH""), ""GZH"",
IF(REGEXMATCH(S239, ""TVPUC""), ""TVPUC"",
IF(REGEXMATCH(S239, ""Mídia Ninja.*Facebook""), ""Facebook (Mídia"&amp;" Ninja)"",
IF(REGEXMATCH(S239, ""Memórias Carandiru.*Instagram""), ""Instagram (Memórias Carandiru)"",
IF(REGEXMATCH(S239, ""Frente pelo Desencarceramento SP""), ""YouTube (Frente Pelo Desencarceramento SP)"",
IF(REGEXMATCH(S239, ""TV ABA""), ""YouTube (T"&amp;"V ABA)"",
IF(REGEXMATCH(S239, ""TV SENADO""), ""YouTube (TV Senado)"",
IF(REGEXMATCH(S239, ""Google Arts &amp; Culture""), ""Google Arts &amp; Culture (Memória Massacre Carandiru)"",
IF(REGEXMATCH(S239, ""Anistia Internacional|ANISTIA INTERNACIONAL""), ""Anistia "&amp;"Internacional"",
IF(REGEXMATCH(S239, ""47\.mostra|47a Mostra""), ""47a Mostra Internacional de Cinema em São Paulo"",
IF(REGEXMATCH(S239, ""Canal USP""), ""YouTube (Canal USP)"",
IF(AND(
  REGEXMATCH(S239, ""(?i)(teses?\.usp\.br|dissertacoes?\.usp\.br|rep"&amp;"ositorio\.usp\.br)""),
  NOT(REGEXMATCH(S239, ""Canal USP""))
), ""Biblioteca Digital de Teses e Dissertações da USP"",
IF(REGEXMATCH(S239, ""SINTRAJUSC""), ""SINTRAJUSC"",
IF(REGEXMATCH(S239, ""Agência Brasil|Agencia Brasil""), ""Agência Brasil"",
IF(REG"&amp;"EXMATCH(S239, ""Brasil de Fato""), ""Brasil de Fato"",
IF(REGEXMATCH(S239, ""Ponte Jornalismo|pontejornalismo""), ""Ponte Jornalismo"",
IF(REGEXMATCH(S239, ""letras\.mus\.br|Letras,""), ""Letras"",
IF(REGEXMATCH(S239, ""YouTube|youtube""), 
   ""YouTube "&amp;"(""&amp;
   IF(REGEXMATCH(S239, ""Itaú Cultural""), ""Itaú Cultural"",
   IF(REGEXMATCH(S239, ""Rede TVT""), ""Rede TVT"",
   IF(REGEXMATCH(S239, ""Frente pelo Desencarceramento SP""), ""Frente Pelo Desencarceramento SP"",
   IF(REGEXMATCH(S239, ""TV ABA""), "&amp;"""TV ABA"",
   IF(REGEXMATCH(S239, ""TV SENADO""), ""TV Senado"",
   IF(REGEXMATCH(S239, ""Canal USP""), ""Canal USP"",
   IF(REGEXMATCH(S239, ""Douer, Zack|Zack Douer""), ""Douer Zack"",
   IF(REGEXMATCH(S239, ""PRISIONEIRO 84\.901|PRISIONEIRO 84""), ""P"&amp;"risioneiro 84.901"",
   IF(REGEXMATCH(S239, ""^[^,]*, ""), 
        PROPER(REGEXREPLACE(REGEXEXTRACT(S239, ""^([^.]*)\.""), ""^([^,]*), (.*)"", ""$2 $1"")),
        PROPER(REGEXEXTRACT(S239, ""^([^.]*)\.""))
   )))))))))&amp;"")"",
IF(REGEXMATCH(S239, ""Spot"&amp;"ify|spotify""), 
   ""Spotify (""&amp;
   IF(REGEXMATCH(S239, ""ESTRANHO SORRISO""), ""Estranho Sorriso"",
   PROPER(REGEXEXTRACT(S239, ""^([^.]*)\.""))
   )&amp;"")"",
IF(REGEXMATCH(S239, ""Vimeo|vimeo""), 
   ""Vimeo (""&amp;
   IF(REGEXMATCH(S239, ""Passa Palavra"&amp;"""), ""Passa Palavra"",
   PROPER(REGEXEXTRACT(S239, ""^([^.]*)\.""))
   )&amp;"")"",
IF(REGEXMATCH(S239, ""Blogspot""), 
   ""Blogspot (""&amp;
   IF(REGEXMATCH(S239, ""rede2deoutubro""), ""Rede 02 de Outubro"",
   PROPER(REGEXEXTRACT(S239, ""^([^.]*)\.""))
   "&amp;")&amp;"")"",
IF(REGEXMATCH(S239, ""Facebook""), 
   ""Facebook (""&amp;
   IF(REGEXMATCH(S239, ""Mídia Ninja""), ""Mídia Ninja"",
   PROPER(REGEXEXTRACT(S239, ""^([^.]*)\.""))
   )&amp;"")"",
IF(REGEXMATCH(S239, ""Instagram""), 
   ""Instagram (""&amp;
   IF(REGEXMATCH"&amp;"(S239, ""Memórias Carandiru""), ""Memórias Carandiru"",
   PROPER(REGEXEXTRACT(S239, ""^([^.]*)\.""))
   )&amp;"")"",
IF(REGEXMATCH(S239, ""Folha de S\. Paulo|FOLHA DE S\. PAULO""), ""Folha de S. Paulo"",
IF(REGEXMATCH(S239, ""O Estado de S\. Paulo|ESTADAO"""&amp;"), ""O Estado de S. Paulo"",
IF(REGEXMATCH(S239, ""salasecreta""), ""Wordpress (Sala Secreta)"",
IF(REGEXMATCH(S239, ""Wikipedia|Wikipédia|WIKIPÉDIA""), ""Wikipedia"",
IF(REGEXMATCH(S239, ""VEJA|Veja""), ""Veja Abril"",
IF(REGEXMATCH(S512, ""Rede Globo|RE"&amp;"DE GLOBO""), ""Rede Globo"",
IF(REGEXMATCH(S512, ""G1|globo\.com""), ""G1"",
IF(REGEXMATCH(S239, ""Deutsche Welle|DW\.com""), ""Deutsche Welle"",
IF(REGEXMATCH(S239, ""CIDH|Comissão Interamericana""), ""Comissão Interamericana de Direitos Humanos (CIDH)"""&amp;",
IF(REGEXMATCH(S239, ""Pastoral Carcerária""), ""Pastoral Carcerária"",
IF(REGEXMATCH(S239, ""Esquerda Web""), ""Esquerda Web"",
IF(REGEXMATCH(S239, ""ONU|Organização das Nações Unidas""), ""ONU Brasil"",
IF(REGEXMATCH(S239, ""Quilombo Invisível""), ""Qu"&amp;"ilombo Invisível"",
IF(REGEXMATCH(S239, ""ALESP|Assembleia Legislativa""), ""ALESP"",
IF(REGEXMATCH(S239, ""Revista Opera""), ""Revista Opera"",
IF(REGEXMATCH(S239, ""SP Escola de Teatro""), ""SP Escola de Teatro"",
IF(REGEXMATCH(S239, ""EMC|Espaço Memóri"&amp;"a Carandiru""), ""EMC Espaço Memória Carandiru"",
IF(REGEXMATCH(S239, ""^RAMOS, Nuno|Nuno Ramos""), ""Nuno Ramos"",
IF(REGEXMATCH(S239, ""^VELOSO, Caetano|Caetano Veloso""), ""YouTube (Caetano Veloso)"",
IF(REGEXMATCH(S239, ""^FATOS REAIS""), ""YouTube ("&amp;"Fatos Reais - Topic)"",
IF(REGEXMATCH(S239, ""^SALA SECRETA""), ""Wordpress (Sala Secreta)"",
PROPER(REGEXEXTRACT(S239, ""^([^.]*)\.""))
))))))))))))))))))))))))))))))))))))))))))))))))))))))))"),"Instagram (Memórias Carandiru)")</f>
        <v>Instagram (Memórias Carandiru)</v>
      </c>
      <c r="N239" s="11" t="s">
        <v>47</v>
      </c>
      <c r="O239" s="14" t="s">
        <v>149</v>
      </c>
      <c r="P239" s="186">
        <v>45857.0</v>
      </c>
      <c r="Q239" s="11" t="s">
        <v>154</v>
      </c>
      <c r="R239" s="70" t="str">
        <f t="shared" si="8"/>
        <v>Aqui</v>
      </c>
      <c r="S239" s="75" t="s">
        <v>1011</v>
      </c>
    </row>
    <row r="240">
      <c r="A240" s="11">
        <v>238.0</v>
      </c>
      <c r="B240" s="14" t="s">
        <v>799</v>
      </c>
      <c r="C240" s="122" t="s">
        <v>165</v>
      </c>
      <c r="D240" s="13" t="str">
        <f>IFERROR(__xludf.DUMMYFUNCTION("IF(B240="""","""",IF(OR(
  REGEXMATCH(B240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REGEXMATCH(B240,""público|Imediato|artística|teatral|memória"")
),""Público Imediato"",
IF(REGEXMATCH(B240,""Música|Álbum|Filme|Documentário|Série|Podc"&amp;"ast|Rádio|Audiotour|Entrevista|Reportagem|Crônica|Relatório|Abaixo-assinado|Manifesto|Petição|Poema|Livro|Fotografia|Curta|Live|Webinário|Charge|Leitura pública|Vídeo""),
""Público Mediado"","""")))
"),"Público Imediato")</f>
        <v>Público Imediato</v>
      </c>
      <c r="E240" s="13" t="str">
        <f>IFERROR(__xludf.DUMMYFUNCTION("IF(B240="""","""",IF(OR(
  REGEXMATCH(B240,""Live|Webinário|Virtual""),
  REGEXMATCH(B240,""online"")
),""Virtual"",
IF(REGEXMATCH(B240,""Música|Álbum|Filme|Documentário|Série|Podcast|Rádio|Audiotour|Episódio|Reportagem|Curta|Charge|Livro|Vídeo|Entrevista"&amp;"""),
""Midiático"",
IF(REGEXMATCH(B240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0" s="186">
        <v>45759.0</v>
      </c>
      <c r="G240" s="15">
        <f t="shared" si="1"/>
        <v>2025</v>
      </c>
      <c r="H240" s="14" t="s">
        <v>733</v>
      </c>
      <c r="I240" s="175" t="s">
        <v>741</v>
      </c>
      <c r="J240" s="202" t="s">
        <v>1012</v>
      </c>
      <c r="K240" s="16" t="s">
        <v>736</v>
      </c>
      <c r="L240" s="18" t="s">
        <v>489</v>
      </c>
      <c r="M240" s="15" t="str">
        <f>IFERROR(__xludf.DUMMYFUNCTION("IF(REGEXMATCH(S240, ""Companhia das Letras""), ""Companhia das Letras"",
IF(REGEXMATCH(S240, ""Labortexto Editorial""), ""Labortexto Editorial"",
IF(REGEXMATCH(S240, ""Geração Editorial""), ""Geração Editorial"",
IF(REGEXMATCH(S240, ""Editora Imprensa Ofi"&amp;"cial|Imprensa Oficial""), ""Editora Imprensa Oficial"",
IF(REGEXMATCH(S240, ""Folha Online""), ""Folha Online"",
IF(REGEXMATCH(S240, ""FGV DIREITO SP|FGV Direito SP""), ""FGV DIREITO SP"",
IF(REGEXMATCH(S240, ""massacrecarandiru\.org\.br""), ""Memória Mas"&amp;"sacre Carandiru"",
IF(REGEXMATCH(S240, ""Itaú Cultural""), ""YouTube (Itaú Cultural)"",
IF(REGEXMATCH(S240, ""Passa Palavra""), ""Vimeo (Passa Palavra)"",
IF(REGEXMATCH(S240, ""rede2deoutubro\.blogspot""), ""Blogspot (Rede 02 de Outubro)"",
IF(REGEXMATCH("&amp;"S240, ""Rede TVT""), ""YouTube (Rede TVT)"",
IF(REGEXMATCH(S240, ""Esquerda Diário""), ""Esquerda Diário"",
IF(REGEXMATCH(S240, ""GZH""), ""GZH"",
IF(REGEXMATCH(S240, ""TVPUC""), ""TVPUC"",
IF(REGEXMATCH(S240, ""Mídia Ninja.*Facebook""), ""Facebook (Mídia"&amp;" Ninja)"",
IF(REGEXMATCH(S240, ""Memórias Carandiru.*Instagram""), ""Instagram (Memórias Carandiru)"",
IF(REGEXMATCH(S240, ""Frente pelo Desencarceramento SP""), ""YouTube (Frente Pelo Desencarceramento SP)"",
IF(REGEXMATCH(S240, ""TV ABA""), ""YouTube (T"&amp;"V ABA)"",
IF(REGEXMATCH(S240, ""TV SENADO""), ""YouTube (TV Senado)"",
IF(REGEXMATCH(S240, ""Google Arts &amp; Culture""), ""Google Arts &amp; Culture (Memória Massacre Carandiru)"",
IF(REGEXMATCH(S240, ""Anistia Internacional|ANISTIA INTERNACIONAL""), ""Anistia "&amp;"Internacional"",
IF(REGEXMATCH(S240, ""47\.mostra|47a Mostra""), ""47a Mostra Internacional de Cinema em São Paulo"",
IF(REGEXMATCH(S240, ""Canal USP""), ""YouTube (Canal USP)"",
IF(AND(
  REGEXMATCH(S240, ""(?i)(teses?\.usp\.br|dissertacoes?\.usp\.br|rep"&amp;"ositorio\.usp\.br)""),
  NOT(REGEXMATCH(S240, ""Canal USP""))
), ""Biblioteca Digital de Teses e Dissertações da USP"",
IF(REGEXMATCH(S240, ""SINTRAJUSC""), ""SINTRAJUSC"",
IF(REGEXMATCH(S240, ""Agência Brasil|Agencia Brasil""), ""Agência Brasil"",
IF(REG"&amp;"EXMATCH(S240, ""Brasil de Fato""), ""Brasil de Fato"",
IF(REGEXMATCH(S240, ""Ponte Jornalismo|pontejornalismo""), ""Ponte Jornalismo"",
IF(REGEXMATCH(S240, ""letras\.mus\.br|Letras,""), ""Letras"",
IF(REGEXMATCH(S240, ""YouTube|youtube""), 
   ""YouTube "&amp;"(""&amp;
   IF(REGEXMATCH(S240, ""Itaú Cultural""), ""Itaú Cultural"",
   IF(REGEXMATCH(S240, ""Rede TVT""), ""Rede TVT"",
   IF(REGEXMATCH(S240, ""Frente pelo Desencarceramento SP""), ""Frente Pelo Desencarceramento SP"",
   IF(REGEXMATCH(S240, ""TV ABA""), "&amp;"""TV ABA"",
   IF(REGEXMATCH(S240, ""TV SENADO""), ""TV Senado"",
   IF(REGEXMATCH(S240, ""Canal USP""), ""Canal USP"",
   IF(REGEXMATCH(S240, ""Douer, Zack|Zack Douer""), ""Douer Zack"",
   IF(REGEXMATCH(S240, ""PRISIONEIRO 84\.901|PRISIONEIRO 84""), ""P"&amp;"risioneiro 84.901"",
   IF(REGEXMATCH(S240, ""^[^,]*, ""), 
        PROPER(REGEXREPLACE(REGEXEXTRACT(S240, ""^([^.]*)\.""), ""^([^,]*), (.*)"", ""$2 $1"")),
        PROPER(REGEXEXTRACT(S240, ""^([^.]*)\.""))
   )))))))))&amp;"")"",
IF(REGEXMATCH(S240, ""Spot"&amp;"ify|spotify""), 
   ""Spotify (""&amp;
   IF(REGEXMATCH(S240, ""ESTRANHO SORRISO""), ""Estranho Sorriso"",
   PROPER(REGEXEXTRACT(S240, ""^([^.]*)\.""))
   )&amp;"")"",
IF(REGEXMATCH(S240, ""Vimeo|vimeo""), 
   ""Vimeo (""&amp;
   IF(REGEXMATCH(S240, ""Passa Palavra"&amp;"""), ""Passa Palavra"",
   PROPER(REGEXEXTRACT(S240, ""^([^.]*)\.""))
   )&amp;"")"",
IF(REGEXMATCH(S240, ""Blogspot""), 
   ""Blogspot (""&amp;
   IF(REGEXMATCH(S240, ""rede2deoutubro""), ""Rede 02 de Outubro"",
   PROPER(REGEXEXTRACT(S240, ""^([^.]*)\.""))
   "&amp;")&amp;"")"",
IF(REGEXMATCH(S240, ""Facebook""), 
   ""Facebook (""&amp;
   IF(REGEXMATCH(S240, ""Mídia Ninja""), ""Mídia Ninja"",
   PROPER(REGEXEXTRACT(S240, ""^([^.]*)\.""))
   )&amp;"")"",
IF(REGEXMATCH(S240, ""Instagram""), 
   ""Instagram (""&amp;
   IF(REGEXMATCH"&amp;"(S240, ""Memórias Carandiru""), ""Memórias Carandiru"",
   PROPER(REGEXEXTRACT(S240, ""^([^.]*)\.""))
   )&amp;"")"",
IF(REGEXMATCH(S240, ""Folha de S\. Paulo|FOLHA DE S\. PAULO""), ""Folha de S. Paulo"",
IF(REGEXMATCH(S240, ""O Estado de S\. Paulo|ESTADAO"""&amp;"), ""O Estado de S. Paulo"",
IF(REGEXMATCH(S240, ""salasecreta""), ""Wordpress (Sala Secreta)"",
IF(REGEXMATCH(S240, ""Wikipedia|Wikipédia|WIKIPÉDIA""), ""Wikipedia"",
IF(REGEXMATCH(S240, ""VEJA|Veja""), ""Veja Abril"",
IF(REGEXMATCH(S513, ""Rede Globo|RE"&amp;"DE GLOBO""), ""Rede Globo"",
IF(REGEXMATCH(S513, ""G1|globo\.com""), ""G1"",
IF(REGEXMATCH(S240, ""Deutsche Welle|DW\.com""), ""Deutsche Welle"",
IF(REGEXMATCH(S240, ""CIDH|Comissão Interamericana""), ""Comissão Interamericana de Direitos Humanos (CIDH)"""&amp;",
IF(REGEXMATCH(S240, ""Pastoral Carcerária""), ""Pastoral Carcerária"",
IF(REGEXMATCH(S240, ""Esquerda Web""), ""Esquerda Web"",
IF(REGEXMATCH(S240, ""ONU|Organização das Nações Unidas""), ""ONU Brasil"",
IF(REGEXMATCH(S240, ""Quilombo Invisível""), ""Qu"&amp;"ilombo Invisível"",
IF(REGEXMATCH(S240, ""ALESP|Assembleia Legislativa""), ""ALESP"",
IF(REGEXMATCH(S240, ""Revista Opera""), ""Revista Opera"",
IF(REGEXMATCH(S240, ""SP Escola de Teatro""), ""SP Escola de Teatro"",
IF(REGEXMATCH(S240, ""EMC|Espaço Memóri"&amp;"a Carandiru""), ""EMC Espaço Memória Carandiru"",
IF(REGEXMATCH(S240, ""^RAMOS, Nuno|Nuno Ramos""), ""Nuno Ramos"",
IF(REGEXMATCH(S240, ""^VELOSO, Caetano|Caetano Veloso""), ""YouTube (Caetano Veloso)"",
IF(REGEXMATCH(S240, ""^FATOS REAIS""), ""YouTube ("&amp;"Fatos Reais - Topic)"",
IF(REGEXMATCH(S240, ""^SALA SECRETA""), ""Wordpress (Sala Secreta)"",
PROPER(REGEXEXTRACT(S240, ""^([^.]*)\.""))
))))))))))))))))))))))))))))))))))))))))))))))))))))))))"),"Instagram (Memórias Carandiru)")</f>
        <v>Instagram (Memórias Carandiru)</v>
      </c>
      <c r="N240" s="11" t="s">
        <v>47</v>
      </c>
      <c r="O240" s="14" t="s">
        <v>149</v>
      </c>
      <c r="P240" s="186">
        <v>45857.0</v>
      </c>
      <c r="Q240" s="11" t="s">
        <v>154</v>
      </c>
      <c r="R240" s="70" t="str">
        <f t="shared" si="8"/>
        <v>Aqui</v>
      </c>
      <c r="S240" s="75" t="s">
        <v>1013</v>
      </c>
    </row>
    <row r="241">
      <c r="A241" s="11">
        <v>239.0</v>
      </c>
      <c r="B241" s="14" t="s">
        <v>799</v>
      </c>
      <c r="C241" s="122" t="s">
        <v>165</v>
      </c>
      <c r="D241" s="13" t="str">
        <f>IFERROR(__xludf.DUMMYFUNCTION("IF(B241="""","""",IF(OR(
  REGEXMATCH(B241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REGEXMATCH(B241,""público|Imediato|artística|teatral|memória"")
),""Público Imediato"",
IF(REGEXMATCH(B241,""Música|Álbum|Filme|Documentário|Série|Podc"&amp;"ast|Rádio|Audiotour|Entrevista|Reportagem|Crônica|Relatório|Abaixo-assinado|Manifesto|Petição|Poema|Livro|Fotografia|Curta|Live|Webinário|Charge|Leitura pública|Vídeo""),
""Público Mediado"","""")))
"),"Público Imediato")</f>
        <v>Público Imediato</v>
      </c>
      <c r="E241" s="13" t="str">
        <f>IFERROR(__xludf.DUMMYFUNCTION("IF(B241="""","""",IF(OR(
  REGEXMATCH(B241,""Live|Webinário|Virtual""),
  REGEXMATCH(B241,""online"")
),""Virtual"",
IF(REGEXMATCH(B241,""Música|Álbum|Filme|Documentário|Série|Podcast|Rádio|Audiotour|Episódio|Reportagem|Curta|Charge|Livro|Vídeo|Entrevista"&amp;"""),
""Midiático"",
IF(REGEXMATCH(B241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1" s="186">
        <v>45772.0</v>
      </c>
      <c r="G241" s="15">
        <f t="shared" si="1"/>
        <v>2025</v>
      </c>
      <c r="H241" s="14" t="s">
        <v>733</v>
      </c>
      <c r="I241" s="175" t="s">
        <v>741</v>
      </c>
      <c r="J241" s="202" t="s">
        <v>1014</v>
      </c>
      <c r="K241" s="16" t="s">
        <v>736</v>
      </c>
      <c r="L241" s="18" t="s">
        <v>489</v>
      </c>
      <c r="M241" s="15" t="str">
        <f>IFERROR(__xludf.DUMMYFUNCTION("IF(REGEXMATCH(S241, ""Companhia das Letras""), ""Companhia das Letras"",
IF(REGEXMATCH(S241, ""Labortexto Editorial""), ""Labortexto Editorial"",
IF(REGEXMATCH(S241, ""Geração Editorial""), ""Geração Editorial"",
IF(REGEXMATCH(S241, ""Editora Imprensa Ofi"&amp;"cial|Imprensa Oficial""), ""Editora Imprensa Oficial"",
IF(REGEXMATCH(S241, ""Folha Online""), ""Folha Online"",
IF(REGEXMATCH(S241, ""FGV DIREITO SP|FGV Direito SP""), ""FGV DIREITO SP"",
IF(REGEXMATCH(S241, ""massacrecarandiru\.org\.br""), ""Memória Mas"&amp;"sacre Carandiru"",
IF(REGEXMATCH(S241, ""Itaú Cultural""), ""YouTube (Itaú Cultural)"",
IF(REGEXMATCH(S241, ""Passa Palavra""), ""Vimeo (Passa Palavra)"",
IF(REGEXMATCH(S241, ""rede2deoutubro\.blogspot""), ""Blogspot (Rede 02 de Outubro)"",
IF(REGEXMATCH("&amp;"S241, ""Rede TVT""), ""YouTube (Rede TVT)"",
IF(REGEXMATCH(S241, ""Esquerda Diário""), ""Esquerda Diário"",
IF(REGEXMATCH(S241, ""GZH""), ""GZH"",
IF(REGEXMATCH(S241, ""TVPUC""), ""TVPUC"",
IF(REGEXMATCH(S241, ""Mídia Ninja.*Facebook""), ""Facebook (Mídia"&amp;" Ninja)"",
IF(REGEXMATCH(S241, ""Memórias Carandiru.*Instagram""), ""Instagram (Memórias Carandiru)"",
IF(REGEXMATCH(S241, ""Frente pelo Desencarceramento SP""), ""YouTube (Frente Pelo Desencarceramento SP)"",
IF(REGEXMATCH(S241, ""TV ABA""), ""YouTube (T"&amp;"V ABA)"",
IF(REGEXMATCH(S241, ""TV SENADO""), ""YouTube (TV Senado)"",
IF(REGEXMATCH(S241, ""Google Arts &amp; Culture""), ""Google Arts &amp; Culture (Memória Massacre Carandiru)"",
IF(REGEXMATCH(S241, ""Anistia Internacional|ANISTIA INTERNACIONAL""), ""Anistia "&amp;"Internacional"",
IF(REGEXMATCH(S241, ""47\.mostra|47a Mostra""), ""47a Mostra Internacional de Cinema em São Paulo"",
IF(REGEXMATCH(S241, ""Canal USP""), ""YouTube (Canal USP)"",
IF(AND(
  REGEXMATCH(S241, ""(?i)(teses?\.usp\.br|dissertacoes?\.usp\.br|rep"&amp;"ositorio\.usp\.br)""),
  NOT(REGEXMATCH(S241, ""Canal USP""))
), ""Biblioteca Digital de Teses e Dissertações da USP"",
IF(REGEXMATCH(S241, ""SINTRAJUSC""), ""SINTRAJUSC"",
IF(REGEXMATCH(S241, ""Agência Brasil|Agencia Brasil""), ""Agência Brasil"",
IF(REG"&amp;"EXMATCH(S241, ""Brasil de Fato""), ""Brasil de Fato"",
IF(REGEXMATCH(S241, ""Ponte Jornalismo|pontejornalismo""), ""Ponte Jornalismo"",
IF(REGEXMATCH(S241, ""letras\.mus\.br|Letras,""), ""Letras"",
IF(REGEXMATCH(S241, ""YouTube|youtube""), 
   ""YouTube "&amp;"(""&amp;
   IF(REGEXMATCH(S241, ""Itaú Cultural""), ""Itaú Cultural"",
   IF(REGEXMATCH(S241, ""Rede TVT""), ""Rede TVT"",
   IF(REGEXMATCH(S241, ""Frente pelo Desencarceramento SP""), ""Frente Pelo Desencarceramento SP"",
   IF(REGEXMATCH(S241, ""TV ABA""), "&amp;"""TV ABA"",
   IF(REGEXMATCH(S241, ""TV SENADO""), ""TV Senado"",
   IF(REGEXMATCH(S241, ""Canal USP""), ""Canal USP"",
   IF(REGEXMATCH(S241, ""Douer, Zack|Zack Douer""), ""Douer Zack"",
   IF(REGEXMATCH(S241, ""PRISIONEIRO 84\.901|PRISIONEIRO 84""), ""P"&amp;"risioneiro 84.901"",
   IF(REGEXMATCH(S241, ""^[^,]*, ""), 
        PROPER(REGEXREPLACE(REGEXEXTRACT(S241, ""^([^.]*)\.""), ""^([^,]*), (.*)"", ""$2 $1"")),
        PROPER(REGEXEXTRACT(S241, ""^([^.]*)\.""))
   )))))))))&amp;"")"",
IF(REGEXMATCH(S241, ""Spot"&amp;"ify|spotify""), 
   ""Spotify (""&amp;
   IF(REGEXMATCH(S241, ""ESTRANHO SORRISO""), ""Estranho Sorriso"",
   PROPER(REGEXEXTRACT(S241, ""^([^.]*)\.""))
   )&amp;"")"",
IF(REGEXMATCH(S241, ""Vimeo|vimeo""), 
   ""Vimeo (""&amp;
   IF(REGEXMATCH(S241, ""Passa Palavra"&amp;"""), ""Passa Palavra"",
   PROPER(REGEXEXTRACT(S241, ""^([^.]*)\.""))
   )&amp;"")"",
IF(REGEXMATCH(S241, ""Blogspot""), 
   ""Blogspot (""&amp;
   IF(REGEXMATCH(S241, ""rede2deoutubro""), ""Rede 02 de Outubro"",
   PROPER(REGEXEXTRACT(S241, ""^([^.]*)\.""))
   "&amp;")&amp;"")"",
IF(REGEXMATCH(S241, ""Facebook""), 
   ""Facebook (""&amp;
   IF(REGEXMATCH(S241, ""Mídia Ninja""), ""Mídia Ninja"",
   PROPER(REGEXEXTRACT(S241, ""^([^.]*)\.""))
   )&amp;"")"",
IF(REGEXMATCH(S241, ""Instagram""), 
   ""Instagram (""&amp;
   IF(REGEXMATCH"&amp;"(S241, ""Memórias Carandiru""), ""Memórias Carandiru"",
   PROPER(REGEXEXTRACT(S241, ""^([^.]*)\.""))
   )&amp;"")"",
IF(REGEXMATCH(S241, ""Folha de S\. Paulo|FOLHA DE S\. PAULO""), ""Folha de S. Paulo"",
IF(REGEXMATCH(S241, ""O Estado de S\. Paulo|ESTADAO"""&amp;"), ""O Estado de S. Paulo"",
IF(REGEXMATCH(S241, ""salasecreta""), ""Wordpress (Sala Secreta)"",
IF(REGEXMATCH(S241, ""Wikipedia|Wikipédia|WIKIPÉDIA""), ""Wikipedia"",
IF(REGEXMATCH(S241, ""VEJA|Veja""), ""Veja Abril"",
IF(REGEXMATCH(S514, ""Rede Globo|RE"&amp;"DE GLOBO""), ""Rede Globo"",
IF(REGEXMATCH(S514, ""G1|globo\.com""), ""G1"",
IF(REGEXMATCH(S241, ""Deutsche Welle|DW\.com""), ""Deutsche Welle"",
IF(REGEXMATCH(S241, ""CIDH|Comissão Interamericana""), ""Comissão Interamericana de Direitos Humanos (CIDH)"""&amp;",
IF(REGEXMATCH(S241, ""Pastoral Carcerária""), ""Pastoral Carcerária"",
IF(REGEXMATCH(S241, ""Esquerda Web""), ""Esquerda Web"",
IF(REGEXMATCH(S241, ""ONU|Organização das Nações Unidas""), ""ONU Brasil"",
IF(REGEXMATCH(S241, ""Quilombo Invisível""), ""Qu"&amp;"ilombo Invisível"",
IF(REGEXMATCH(S241, ""ALESP|Assembleia Legislativa""), ""ALESP"",
IF(REGEXMATCH(S241, ""Revista Opera""), ""Revista Opera"",
IF(REGEXMATCH(S241, ""SP Escola de Teatro""), ""SP Escola de Teatro"",
IF(REGEXMATCH(S241, ""EMC|Espaço Memóri"&amp;"a Carandiru""), ""EMC Espaço Memória Carandiru"",
IF(REGEXMATCH(S241, ""^RAMOS, Nuno|Nuno Ramos""), ""Nuno Ramos"",
IF(REGEXMATCH(S241, ""^VELOSO, Caetano|Caetano Veloso""), ""YouTube (Caetano Veloso)"",
IF(REGEXMATCH(S241, ""^FATOS REAIS""), ""YouTube ("&amp;"Fatos Reais - Topic)"",
IF(REGEXMATCH(S241, ""^SALA SECRETA""), ""Wordpress (Sala Secreta)"",
PROPER(REGEXEXTRACT(S241, ""^([^.]*)\.""))
))))))))))))))))))))))))))))))))))))))))))))))))))))))))"),"Instagram (Memórias Carandiru)")</f>
        <v>Instagram (Memórias Carandiru)</v>
      </c>
      <c r="N241" s="11" t="s">
        <v>47</v>
      </c>
      <c r="O241" s="14" t="s">
        <v>149</v>
      </c>
      <c r="P241" s="186">
        <v>45857.0</v>
      </c>
      <c r="Q241" s="11" t="s">
        <v>154</v>
      </c>
      <c r="R241" s="70" t="str">
        <f t="shared" si="8"/>
        <v>Aqui</v>
      </c>
      <c r="S241" s="75" t="s">
        <v>1015</v>
      </c>
    </row>
    <row r="242">
      <c r="A242" s="11">
        <v>240.0</v>
      </c>
      <c r="B242" s="14" t="s">
        <v>799</v>
      </c>
      <c r="C242" s="122" t="s">
        <v>165</v>
      </c>
      <c r="D242" s="13" t="str">
        <f>IFERROR(__xludf.DUMMYFUNCTION("IF(B242="""","""",IF(OR(
  REGEXMATCH(B242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REGEXMATCH(B242,""público|Imediato|artística|teatral|memória"")
),""Público Imediato"",
IF(REGEXMATCH(B242,""Música|Álbum|Filme|Documentário|Série|Podc"&amp;"ast|Rádio|Audiotour|Entrevista|Reportagem|Crônica|Relatório|Abaixo-assinado|Manifesto|Petição|Poema|Livro|Fotografia|Curta|Live|Webinário|Charge|Leitura pública|Vídeo""),
""Público Mediado"","""")))
"),"Público Imediato")</f>
        <v>Público Imediato</v>
      </c>
      <c r="E242" s="13" t="str">
        <f>IFERROR(__xludf.DUMMYFUNCTION("IF(B242="""","""",IF(OR(
  REGEXMATCH(B242,""Live|Webinário|Virtual""),
  REGEXMATCH(B242,""online"")
),""Virtual"",
IF(REGEXMATCH(B242,""Música|Álbum|Filme|Documentário|Série|Podcast|Rádio|Audiotour|Episódio|Reportagem|Curta|Charge|Livro|Vídeo|Entrevista"&amp;"""),
""Midiático"",
IF(REGEXMATCH(B242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2" s="186">
        <v>45773.0</v>
      </c>
      <c r="G242" s="15">
        <f t="shared" si="1"/>
        <v>2025</v>
      </c>
      <c r="H242" s="198" t="s">
        <v>1016</v>
      </c>
      <c r="I242" s="175" t="s">
        <v>741</v>
      </c>
      <c r="J242" s="202" t="s">
        <v>1017</v>
      </c>
      <c r="K242" s="16" t="s">
        <v>736</v>
      </c>
      <c r="L242" s="18" t="s">
        <v>489</v>
      </c>
      <c r="M242" s="15" t="str">
        <f>IFERROR(__xludf.DUMMYFUNCTION("IF(REGEXMATCH(S242, ""Companhia das Letras""), ""Companhia das Letras"",
IF(REGEXMATCH(S242, ""Labortexto Editorial""), ""Labortexto Editorial"",
IF(REGEXMATCH(S242, ""Geração Editorial""), ""Geração Editorial"",
IF(REGEXMATCH(S242, ""Editora Imprensa Ofi"&amp;"cial|Imprensa Oficial""), ""Editora Imprensa Oficial"",
IF(REGEXMATCH(S242, ""Folha Online""), ""Folha Online"",
IF(REGEXMATCH(S242, ""FGV DIREITO SP|FGV Direito SP""), ""FGV DIREITO SP"",
IF(REGEXMATCH(S242, ""massacrecarandiru\.org\.br""), ""Memória Mas"&amp;"sacre Carandiru"",
IF(REGEXMATCH(S242, ""Itaú Cultural""), ""YouTube (Itaú Cultural)"",
IF(REGEXMATCH(S242, ""Passa Palavra""), ""Vimeo (Passa Palavra)"",
IF(REGEXMATCH(S242, ""rede2deoutubro\.blogspot""), ""Blogspot (Rede 02 de Outubro)"",
IF(REGEXMATCH("&amp;"S242, ""Rede TVT""), ""YouTube (Rede TVT)"",
IF(REGEXMATCH(S242, ""Esquerda Diário""), ""Esquerda Diário"",
IF(REGEXMATCH(S242, ""GZH""), ""GZH"",
IF(REGEXMATCH(S242, ""TVPUC""), ""TVPUC"",
IF(REGEXMATCH(S242, ""Mídia Ninja.*Facebook""), ""Facebook (Mídia"&amp;" Ninja)"",
IF(REGEXMATCH(S242, ""Memórias Carandiru.*Instagram""), ""Instagram (Memórias Carandiru)"",
IF(REGEXMATCH(S242, ""Frente pelo Desencarceramento SP""), ""YouTube (Frente Pelo Desencarceramento SP)"",
IF(REGEXMATCH(S242, ""TV ABA""), ""YouTube (T"&amp;"V ABA)"",
IF(REGEXMATCH(S242, ""TV SENADO""), ""YouTube (TV Senado)"",
IF(REGEXMATCH(S242, ""Google Arts &amp; Culture""), ""Google Arts &amp; Culture (Memória Massacre Carandiru)"",
IF(REGEXMATCH(S242, ""Anistia Internacional|ANISTIA INTERNACIONAL""), ""Anistia "&amp;"Internacional"",
IF(REGEXMATCH(S242, ""47\.mostra|47a Mostra""), ""47a Mostra Internacional de Cinema em São Paulo"",
IF(REGEXMATCH(S242, ""Canal USP""), ""YouTube (Canal USP)"",
IF(AND(
  REGEXMATCH(S242, ""(?i)(teses?\.usp\.br|dissertacoes?\.usp\.br|rep"&amp;"ositorio\.usp\.br)""),
  NOT(REGEXMATCH(S242, ""Canal USP""))
), ""Biblioteca Digital de Teses e Dissertações da USP"",
IF(REGEXMATCH(S242, ""SINTRAJUSC""), ""SINTRAJUSC"",
IF(REGEXMATCH(S242, ""Agência Brasil|Agencia Brasil""), ""Agência Brasil"",
IF(REG"&amp;"EXMATCH(S242, ""Brasil de Fato""), ""Brasil de Fato"",
IF(REGEXMATCH(S242, ""Ponte Jornalismo|pontejornalismo""), ""Ponte Jornalismo"",
IF(REGEXMATCH(S242, ""letras\.mus\.br|Letras,""), ""Letras"",
IF(REGEXMATCH(S242, ""YouTube|youtube""), 
   ""YouTube "&amp;"(""&amp;
   IF(REGEXMATCH(S242, ""Itaú Cultural""), ""Itaú Cultural"",
   IF(REGEXMATCH(S242, ""Rede TVT""), ""Rede TVT"",
   IF(REGEXMATCH(S242, ""Frente pelo Desencarceramento SP""), ""Frente Pelo Desencarceramento SP"",
   IF(REGEXMATCH(S242, ""TV ABA""), "&amp;"""TV ABA"",
   IF(REGEXMATCH(S242, ""TV SENADO""), ""TV Senado"",
   IF(REGEXMATCH(S242, ""Canal USP""), ""Canal USP"",
   IF(REGEXMATCH(S242, ""Douer, Zack|Zack Douer""), ""Douer Zack"",
   IF(REGEXMATCH(S242, ""PRISIONEIRO 84\.901|PRISIONEIRO 84""), ""P"&amp;"risioneiro 84.901"",
   IF(REGEXMATCH(S242, ""^[^,]*, ""), 
        PROPER(REGEXREPLACE(REGEXEXTRACT(S242, ""^([^.]*)\.""), ""^([^,]*), (.*)"", ""$2 $1"")),
        PROPER(REGEXEXTRACT(S242, ""^([^.]*)\.""))
   )))))))))&amp;"")"",
IF(REGEXMATCH(S242, ""Spot"&amp;"ify|spotify""), 
   ""Spotify (""&amp;
   IF(REGEXMATCH(S242, ""ESTRANHO SORRISO""), ""Estranho Sorriso"",
   PROPER(REGEXEXTRACT(S242, ""^([^.]*)\.""))
   )&amp;"")"",
IF(REGEXMATCH(S242, ""Vimeo|vimeo""), 
   ""Vimeo (""&amp;
   IF(REGEXMATCH(S242, ""Passa Palavra"&amp;"""), ""Passa Palavra"",
   PROPER(REGEXEXTRACT(S242, ""^([^.]*)\.""))
   )&amp;"")"",
IF(REGEXMATCH(S242, ""Blogspot""), 
   ""Blogspot (""&amp;
   IF(REGEXMATCH(S242, ""rede2deoutubro""), ""Rede 02 de Outubro"",
   PROPER(REGEXEXTRACT(S242, ""^([^.]*)\.""))
   "&amp;")&amp;"")"",
IF(REGEXMATCH(S242, ""Facebook""), 
   ""Facebook (""&amp;
   IF(REGEXMATCH(S242, ""Mídia Ninja""), ""Mídia Ninja"",
   PROPER(REGEXEXTRACT(S242, ""^([^.]*)\.""))
   )&amp;"")"",
IF(REGEXMATCH(S242, ""Instagram""), 
   ""Instagram (""&amp;
   IF(REGEXMATCH"&amp;"(S242, ""Memórias Carandiru""), ""Memórias Carandiru"",
   PROPER(REGEXEXTRACT(S242, ""^([^.]*)\.""))
   )&amp;"")"",
IF(REGEXMATCH(S242, ""Folha de S\. Paulo|FOLHA DE S\. PAULO""), ""Folha de S. Paulo"",
IF(REGEXMATCH(S242, ""O Estado de S\. Paulo|ESTADAO"""&amp;"), ""O Estado de S. Paulo"",
IF(REGEXMATCH(S242, ""salasecreta""), ""Wordpress (Sala Secreta)"",
IF(REGEXMATCH(S242, ""Wikipedia|Wikipédia|WIKIPÉDIA""), ""Wikipedia"",
IF(REGEXMATCH(S242, ""VEJA|Veja""), ""Veja Abril"",
IF(REGEXMATCH(S515, ""Rede Globo|RE"&amp;"DE GLOBO""), ""Rede Globo"",
IF(REGEXMATCH(S515, ""G1|globo\.com""), ""G1"",
IF(REGEXMATCH(S242, ""Deutsche Welle|DW\.com""), ""Deutsche Welle"",
IF(REGEXMATCH(S242, ""CIDH|Comissão Interamericana""), ""Comissão Interamericana de Direitos Humanos (CIDH)"""&amp;",
IF(REGEXMATCH(S242, ""Pastoral Carcerária""), ""Pastoral Carcerária"",
IF(REGEXMATCH(S242, ""Esquerda Web""), ""Esquerda Web"",
IF(REGEXMATCH(S242, ""ONU|Organização das Nações Unidas""), ""ONU Brasil"",
IF(REGEXMATCH(S242, ""Quilombo Invisível""), ""Qu"&amp;"ilombo Invisível"",
IF(REGEXMATCH(S242, ""ALESP|Assembleia Legislativa""), ""ALESP"",
IF(REGEXMATCH(S242, ""Revista Opera""), ""Revista Opera"",
IF(REGEXMATCH(S242, ""SP Escola de Teatro""), ""SP Escola de Teatro"",
IF(REGEXMATCH(S242, ""EMC|Espaço Memóri"&amp;"a Carandiru""), ""EMC Espaço Memória Carandiru"",
IF(REGEXMATCH(S242, ""^RAMOS, Nuno|Nuno Ramos""), ""Nuno Ramos"",
IF(REGEXMATCH(S242, ""^VELOSO, Caetano|Caetano Veloso""), ""YouTube (Caetano Veloso)"",
IF(REGEXMATCH(S242, ""^FATOS REAIS""), ""YouTube ("&amp;"Fatos Reais - Topic)"",
IF(REGEXMATCH(S242, ""^SALA SECRETA""), ""Wordpress (Sala Secreta)"",
PROPER(REGEXEXTRACT(S242, ""^([^.]*)\.""))
))))))))))))))))))))))))))))))))))))))))))))))))))))))))"),"Instagram (Memórias Carandiru)")</f>
        <v>Instagram (Memórias Carandiru)</v>
      </c>
      <c r="N242" s="11" t="s">
        <v>47</v>
      </c>
      <c r="O242" s="14" t="s">
        <v>149</v>
      </c>
      <c r="P242" s="186">
        <v>45857.0</v>
      </c>
      <c r="Q242" s="11" t="s">
        <v>154</v>
      </c>
      <c r="R242" s="70" t="str">
        <f t="shared" si="8"/>
        <v>Aqui</v>
      </c>
      <c r="S242" s="75" t="s">
        <v>1018</v>
      </c>
    </row>
    <row r="243">
      <c r="A243" s="11">
        <v>241.0</v>
      </c>
      <c r="B243" s="14" t="s">
        <v>1019</v>
      </c>
      <c r="C243" s="122" t="s">
        <v>165</v>
      </c>
      <c r="D243" s="13" t="str">
        <f>IFERROR(__xludf.DUMMYFUNCTION("IF(B243="""","""",IF(OR(
  REGEXMATCH(B243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REGEXMATCH(B243,""público|Imediato|artística|teatral|memória"")
),""Público Imediato"",
IF(REGEXMATCH(B243,""Música|Álbum|Filme|Documentário|Série|Podc"&amp;"ast|Rádio|Audiotour|Entrevista|Reportagem|Crônica|Relatório|Abaixo-assinado|Manifesto|Petição|Poema|Livro|Fotografia|Curta|Live|Webinário|Charge|Leitura pública|Vídeo""),
""Público Mediado"","""")))
"),"Público Imediato")</f>
        <v>Público Imediato</v>
      </c>
      <c r="E243" s="13" t="str">
        <f>IFERROR(__xludf.DUMMYFUNCTION("IF(B243="""","""",IF(OR(
  REGEXMATCH(B243,""Live|Webinário|Virtual""),
  REGEXMATCH(B243,""online"")
),""Virtual"",
IF(REGEXMATCH(B243,""Música|Álbum|Filme|Documentário|Série|Podcast|Rádio|Audiotour|Episódio|Reportagem|Curta|Charge|Livro|Vídeo|Entrevista"&amp;"""),
""Midiático"",
IF(REGEXMATCH(B243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3" s="186">
        <v>45776.0</v>
      </c>
      <c r="G243" s="15">
        <f t="shared" si="1"/>
        <v>2025</v>
      </c>
      <c r="H243" s="14" t="s">
        <v>1020</v>
      </c>
      <c r="I243" s="175" t="s">
        <v>1021</v>
      </c>
      <c r="J243" s="202" t="s">
        <v>1022</v>
      </c>
      <c r="K243" s="16" t="s">
        <v>736</v>
      </c>
      <c r="L243" s="18" t="s">
        <v>489</v>
      </c>
      <c r="M243" s="15" t="str">
        <f>IFERROR(__xludf.DUMMYFUNCTION("IF(REGEXMATCH(S243, ""Companhia das Letras""), ""Companhia das Letras"",
IF(REGEXMATCH(S243, ""Labortexto Editorial""), ""Labortexto Editorial"",
IF(REGEXMATCH(S243, ""Geração Editorial""), ""Geração Editorial"",
IF(REGEXMATCH(S243, ""Editora Imprensa Ofi"&amp;"cial|Imprensa Oficial""), ""Editora Imprensa Oficial"",
IF(REGEXMATCH(S243, ""Folha Online""), ""Folha Online"",
IF(REGEXMATCH(S243, ""FGV DIREITO SP|FGV Direito SP""), ""FGV DIREITO SP"",
IF(REGEXMATCH(S243, ""massacrecarandiru\.org\.br""), ""Memória Mas"&amp;"sacre Carandiru"",
IF(REGEXMATCH(S243, ""Itaú Cultural""), ""YouTube (Itaú Cultural)"",
IF(REGEXMATCH(S243, ""Passa Palavra""), ""Vimeo (Passa Palavra)"",
IF(REGEXMATCH(S243, ""rede2deoutubro\.blogspot""), ""Blogspot (Rede 02 de Outubro)"",
IF(REGEXMATCH("&amp;"S243, ""Rede TVT""), ""YouTube (Rede TVT)"",
IF(REGEXMATCH(S243, ""Esquerda Diário""), ""Esquerda Diário"",
IF(REGEXMATCH(S243, ""GZH""), ""GZH"",
IF(REGEXMATCH(S243, ""TVPUC""), ""TVPUC"",
IF(REGEXMATCH(S243, ""Mídia Ninja.*Facebook""), ""Facebook (Mídia"&amp;" Ninja)"",
IF(REGEXMATCH(S243, ""Memórias Carandiru.*Instagram""), ""Instagram (Memórias Carandiru)"",
IF(REGEXMATCH(S243, ""Frente pelo Desencarceramento SP""), ""YouTube (Frente Pelo Desencarceramento SP)"",
IF(REGEXMATCH(S243, ""TV ABA""), ""YouTube (T"&amp;"V ABA)"",
IF(REGEXMATCH(S243, ""TV SENADO""), ""YouTube (TV Senado)"",
IF(REGEXMATCH(S243, ""Google Arts &amp; Culture""), ""Google Arts &amp; Culture (Memória Massacre Carandiru)"",
IF(REGEXMATCH(S243, ""Anistia Internacional|ANISTIA INTERNACIONAL""), ""Anistia "&amp;"Internacional"",
IF(REGEXMATCH(S243, ""47\.mostra|47a Mostra""), ""47a Mostra Internacional de Cinema em São Paulo"",
IF(REGEXMATCH(S243, ""Canal USP""), ""YouTube (Canal USP)"",
IF(AND(
  REGEXMATCH(S243, ""(?i)(teses?\.usp\.br|dissertacoes?\.usp\.br|rep"&amp;"ositorio\.usp\.br)""),
  NOT(REGEXMATCH(S243, ""Canal USP""))
), ""Biblioteca Digital de Teses e Dissertações da USP"",
IF(REGEXMATCH(S243, ""SINTRAJUSC""), ""SINTRAJUSC"",
IF(REGEXMATCH(S243, ""Agência Brasil|Agencia Brasil""), ""Agência Brasil"",
IF(REG"&amp;"EXMATCH(S243, ""Brasil de Fato""), ""Brasil de Fato"",
IF(REGEXMATCH(S243, ""Ponte Jornalismo|pontejornalismo""), ""Ponte Jornalismo"",
IF(REGEXMATCH(S243, ""letras\.mus\.br|Letras,""), ""Letras"",
IF(REGEXMATCH(S243, ""YouTube|youtube""), 
   ""YouTube "&amp;"(""&amp;
   IF(REGEXMATCH(S243, ""Itaú Cultural""), ""Itaú Cultural"",
   IF(REGEXMATCH(S243, ""Rede TVT""), ""Rede TVT"",
   IF(REGEXMATCH(S243, ""Frente pelo Desencarceramento SP""), ""Frente Pelo Desencarceramento SP"",
   IF(REGEXMATCH(S243, ""TV ABA""), "&amp;"""TV ABA"",
   IF(REGEXMATCH(S243, ""TV SENADO""), ""TV Senado"",
   IF(REGEXMATCH(S243, ""Canal USP""), ""Canal USP"",
   IF(REGEXMATCH(S243, ""Douer, Zack|Zack Douer""), ""Douer Zack"",
   IF(REGEXMATCH(S243, ""PRISIONEIRO 84\.901|PRISIONEIRO 84""), ""P"&amp;"risioneiro 84.901"",
   IF(REGEXMATCH(S243, ""^[^,]*, ""), 
        PROPER(REGEXREPLACE(REGEXEXTRACT(S243, ""^([^.]*)\.""), ""^([^,]*), (.*)"", ""$2 $1"")),
        PROPER(REGEXEXTRACT(S243, ""^([^.]*)\.""))
   )))))))))&amp;"")"",
IF(REGEXMATCH(S243, ""Spot"&amp;"ify|spotify""), 
   ""Spotify (""&amp;
   IF(REGEXMATCH(S243, ""ESTRANHO SORRISO""), ""Estranho Sorriso"",
   PROPER(REGEXEXTRACT(S243, ""^([^.]*)\.""))
   )&amp;"")"",
IF(REGEXMATCH(S243, ""Vimeo|vimeo""), 
   ""Vimeo (""&amp;
   IF(REGEXMATCH(S243, ""Passa Palavra"&amp;"""), ""Passa Palavra"",
   PROPER(REGEXEXTRACT(S243, ""^([^.]*)\.""))
   )&amp;"")"",
IF(REGEXMATCH(S243, ""Blogspot""), 
   ""Blogspot (""&amp;
   IF(REGEXMATCH(S243, ""rede2deoutubro""), ""Rede 02 de Outubro"",
   PROPER(REGEXEXTRACT(S243, ""^([^.]*)\.""))
   "&amp;")&amp;"")"",
IF(REGEXMATCH(S243, ""Facebook""), 
   ""Facebook (""&amp;
   IF(REGEXMATCH(S243, ""Mídia Ninja""), ""Mídia Ninja"",
   PROPER(REGEXEXTRACT(S243, ""^([^.]*)\.""))
   )&amp;"")"",
IF(REGEXMATCH(S243, ""Instagram""), 
   ""Instagram (""&amp;
   IF(REGEXMATCH"&amp;"(S243, ""Memórias Carandiru""), ""Memórias Carandiru"",
   PROPER(REGEXEXTRACT(S243, ""^([^.]*)\.""))
   )&amp;"")"",
IF(REGEXMATCH(S243, ""Folha de S\. Paulo|FOLHA DE S\. PAULO""), ""Folha de S. Paulo"",
IF(REGEXMATCH(S243, ""O Estado de S\. Paulo|ESTADAO"""&amp;"), ""O Estado de S. Paulo"",
IF(REGEXMATCH(S243, ""salasecreta""), ""Wordpress (Sala Secreta)"",
IF(REGEXMATCH(S243, ""Wikipedia|Wikipédia|WIKIPÉDIA""), ""Wikipedia"",
IF(REGEXMATCH(S243, ""VEJA|Veja""), ""Veja Abril"",
IF(REGEXMATCH(S516, ""Rede Globo|RE"&amp;"DE GLOBO""), ""Rede Globo"",
IF(REGEXMATCH(S516, ""G1|globo\.com""), ""G1"",
IF(REGEXMATCH(S243, ""Deutsche Welle|DW\.com""), ""Deutsche Welle"",
IF(REGEXMATCH(S243, ""CIDH|Comissão Interamericana""), ""Comissão Interamericana de Direitos Humanos (CIDH)"""&amp;",
IF(REGEXMATCH(S243, ""Pastoral Carcerária""), ""Pastoral Carcerária"",
IF(REGEXMATCH(S243, ""Esquerda Web""), ""Esquerda Web"",
IF(REGEXMATCH(S243, ""ONU|Organização das Nações Unidas""), ""ONU Brasil"",
IF(REGEXMATCH(S243, ""Quilombo Invisível""), ""Qu"&amp;"ilombo Invisível"",
IF(REGEXMATCH(S243, ""ALESP|Assembleia Legislativa""), ""ALESP"",
IF(REGEXMATCH(S243, ""Revista Opera""), ""Revista Opera"",
IF(REGEXMATCH(S243, ""SP Escola de Teatro""), ""SP Escola de Teatro"",
IF(REGEXMATCH(S243, ""EMC|Espaço Memóri"&amp;"a Carandiru""), ""EMC Espaço Memória Carandiru"",
IF(REGEXMATCH(S243, ""^RAMOS, Nuno|Nuno Ramos""), ""Nuno Ramos"",
IF(REGEXMATCH(S243, ""^VELOSO, Caetano|Caetano Veloso""), ""YouTube (Caetano Veloso)"",
IF(REGEXMATCH(S243, ""^FATOS REAIS""), ""YouTube ("&amp;"Fatos Reais - Topic)"",
IF(REGEXMATCH(S243, ""^SALA SECRETA""), ""Wordpress (Sala Secreta)"",
PROPER(REGEXEXTRACT(S243, ""^([^.]*)\.""))
))))))))))))))))))))))))))))))))))))))))))))))))))))))))"),"Instagram (Memórias Carandiru)")</f>
        <v>Instagram (Memórias Carandiru)</v>
      </c>
      <c r="N243" s="11" t="s">
        <v>47</v>
      </c>
      <c r="O243" s="14" t="s">
        <v>149</v>
      </c>
      <c r="P243" s="186">
        <v>45857.0</v>
      </c>
      <c r="Q243" s="11" t="s">
        <v>154</v>
      </c>
      <c r="R243" s="70" t="str">
        <f t="shared" si="8"/>
        <v>Aqui</v>
      </c>
      <c r="S243" s="75" t="s">
        <v>1023</v>
      </c>
    </row>
    <row r="244">
      <c r="A244" s="11">
        <v>242.0</v>
      </c>
      <c r="B244" s="14" t="s">
        <v>1024</v>
      </c>
      <c r="C244" s="122" t="s">
        <v>165</v>
      </c>
      <c r="D244" s="13" t="str">
        <f>IFERROR(__xludf.DUMMYFUNCTION("IF(B244="""","""",IF(OR(
  REGEXMATCH(B244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REGEXMATCH(B244,""público|Imediato|artística|teatral|memória"")
),""Público Imediato"",
IF(REGEXMATCH(B244,""Música|Álbum|Filme|Documentário|Série|Podc"&amp;"ast|Rádio|Audiotour|Entrevista|Reportagem|Crônica|Relatório|Abaixo-assinado|Manifesto|Petição|Poema|Livro|Fotografia|Curta|Live|Webinário|Charge|Leitura pública|Vídeo""),
""Público Mediado"","""")))
"),"Público Imediato")</f>
        <v>Público Imediato</v>
      </c>
      <c r="E244" s="13" t="str">
        <f>IFERROR(__xludf.DUMMYFUNCTION("IF(B244="""","""",IF(OR(
  REGEXMATCH(B244,""Live|Webinário|Virtual""),
  REGEXMATCH(B244,""online"")
),""Virtual"",
IF(REGEXMATCH(B244,""Música|Álbum|Filme|Documentário|Série|Podcast|Rádio|Audiotour|Episódio|Reportagem|Curta|Charge|Livro|Vídeo|Entrevista"&amp;"""),
""Midiático"",
IF(REGEXMATCH(B244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4" s="186">
        <v>45789.0</v>
      </c>
      <c r="G244" s="15">
        <f t="shared" si="1"/>
        <v>2025</v>
      </c>
      <c r="H244" s="14" t="s">
        <v>1025</v>
      </c>
      <c r="I244" s="175" t="s">
        <v>1026</v>
      </c>
      <c r="J244" s="202" t="s">
        <v>1027</v>
      </c>
      <c r="K244" s="16" t="s">
        <v>736</v>
      </c>
      <c r="L244" s="18" t="s">
        <v>489</v>
      </c>
      <c r="M244" s="15" t="str">
        <f>IFERROR(__xludf.DUMMYFUNCTION("IF(REGEXMATCH(S244, ""Companhia das Letras""), ""Companhia das Letras"",
IF(REGEXMATCH(S244, ""Labortexto Editorial""), ""Labortexto Editorial"",
IF(REGEXMATCH(S244, ""Geração Editorial""), ""Geração Editorial"",
IF(REGEXMATCH(S244, ""Editora Imprensa Ofi"&amp;"cial|Imprensa Oficial""), ""Editora Imprensa Oficial"",
IF(REGEXMATCH(S244, ""Folha Online""), ""Folha Online"",
IF(REGEXMATCH(S244, ""FGV DIREITO SP|FGV Direito SP""), ""FGV DIREITO SP"",
IF(REGEXMATCH(S244, ""massacrecarandiru\.org\.br""), ""Memória Mas"&amp;"sacre Carandiru"",
IF(REGEXMATCH(S244, ""Itaú Cultural""), ""YouTube (Itaú Cultural)"",
IF(REGEXMATCH(S244, ""Passa Palavra""), ""Vimeo (Passa Palavra)"",
IF(REGEXMATCH(S244, ""rede2deoutubro\.blogspot""), ""Blogspot (Rede 02 de Outubro)"",
IF(REGEXMATCH("&amp;"S244, ""Rede TVT""), ""YouTube (Rede TVT)"",
IF(REGEXMATCH(S244, ""Esquerda Diário""), ""Esquerda Diário"",
IF(REGEXMATCH(S244, ""GZH""), ""GZH"",
IF(REGEXMATCH(S244, ""TVPUC""), ""TVPUC"",
IF(REGEXMATCH(S244, ""Mídia Ninja.*Facebook""), ""Facebook (Mídia"&amp;" Ninja)"",
IF(REGEXMATCH(S244, ""Memórias Carandiru.*Instagram""), ""Instagram (Memórias Carandiru)"",
IF(REGEXMATCH(S244, ""Frente pelo Desencarceramento SP""), ""YouTube (Frente Pelo Desencarceramento SP)"",
IF(REGEXMATCH(S244, ""TV ABA""), ""YouTube (T"&amp;"V ABA)"",
IF(REGEXMATCH(S244, ""TV SENADO""), ""YouTube (TV Senado)"",
IF(REGEXMATCH(S244, ""Google Arts &amp; Culture""), ""Google Arts &amp; Culture (Memória Massacre Carandiru)"",
IF(REGEXMATCH(S244, ""Anistia Internacional|ANISTIA INTERNACIONAL""), ""Anistia "&amp;"Internacional"",
IF(REGEXMATCH(S244, ""47\.mostra|47a Mostra""), ""47a Mostra Internacional de Cinema em São Paulo"",
IF(REGEXMATCH(S244, ""Canal USP""), ""YouTube (Canal USP)"",
IF(AND(
  REGEXMATCH(S244, ""(?i)(teses?\.usp\.br|dissertacoes?\.usp\.br|rep"&amp;"ositorio\.usp\.br)""),
  NOT(REGEXMATCH(S244, ""Canal USP""))
), ""Biblioteca Digital de Teses e Dissertações da USP"",
IF(REGEXMATCH(S244, ""SINTRAJUSC""), ""SINTRAJUSC"",
IF(REGEXMATCH(S244, ""Agência Brasil|Agencia Brasil""), ""Agência Brasil"",
IF(REG"&amp;"EXMATCH(S244, ""Brasil de Fato""), ""Brasil de Fato"",
IF(REGEXMATCH(S244, ""Ponte Jornalismo|pontejornalismo""), ""Ponte Jornalismo"",
IF(REGEXMATCH(S244, ""letras\.mus\.br|Letras,""), ""Letras"",
IF(REGEXMATCH(S244, ""YouTube|youtube""), 
   ""YouTube "&amp;"(""&amp;
   IF(REGEXMATCH(S244, ""Itaú Cultural""), ""Itaú Cultural"",
   IF(REGEXMATCH(S244, ""Rede TVT""), ""Rede TVT"",
   IF(REGEXMATCH(S244, ""Frente pelo Desencarceramento SP""), ""Frente Pelo Desencarceramento SP"",
   IF(REGEXMATCH(S244, ""TV ABA""), "&amp;"""TV ABA"",
   IF(REGEXMATCH(S244, ""TV SENADO""), ""TV Senado"",
   IF(REGEXMATCH(S244, ""Canal USP""), ""Canal USP"",
   IF(REGEXMATCH(S244, ""Douer, Zack|Zack Douer""), ""Douer Zack"",
   IF(REGEXMATCH(S244, ""PRISIONEIRO 84\.901|PRISIONEIRO 84""), ""P"&amp;"risioneiro 84.901"",
   IF(REGEXMATCH(S244, ""^[^,]*, ""), 
        PROPER(REGEXREPLACE(REGEXEXTRACT(S244, ""^([^.]*)\.""), ""^([^,]*), (.*)"", ""$2 $1"")),
        PROPER(REGEXEXTRACT(S244, ""^([^.]*)\.""))
   )))))))))&amp;"")"",
IF(REGEXMATCH(S244, ""Spot"&amp;"ify|spotify""), 
   ""Spotify (""&amp;
   IF(REGEXMATCH(S244, ""ESTRANHO SORRISO""), ""Estranho Sorriso"",
   PROPER(REGEXEXTRACT(S244, ""^([^.]*)\.""))
   )&amp;"")"",
IF(REGEXMATCH(S244, ""Vimeo|vimeo""), 
   ""Vimeo (""&amp;
   IF(REGEXMATCH(S244, ""Passa Palavra"&amp;"""), ""Passa Palavra"",
   PROPER(REGEXEXTRACT(S244, ""^([^.]*)\.""))
   )&amp;"")"",
IF(REGEXMATCH(S244, ""Blogspot""), 
   ""Blogspot (""&amp;
   IF(REGEXMATCH(S244, ""rede2deoutubro""), ""Rede 02 de Outubro"",
   PROPER(REGEXEXTRACT(S244, ""^([^.]*)\.""))
   "&amp;")&amp;"")"",
IF(REGEXMATCH(S244, ""Facebook""), 
   ""Facebook (""&amp;
   IF(REGEXMATCH(S244, ""Mídia Ninja""), ""Mídia Ninja"",
   PROPER(REGEXEXTRACT(S244, ""^([^.]*)\.""))
   )&amp;"")"",
IF(REGEXMATCH(S244, ""Instagram""), 
   ""Instagram (""&amp;
   IF(REGEXMATCH"&amp;"(S244, ""Memórias Carandiru""), ""Memórias Carandiru"",
   PROPER(REGEXEXTRACT(S244, ""^([^.]*)\.""))
   )&amp;"")"",
IF(REGEXMATCH(S244, ""Folha de S\. Paulo|FOLHA DE S\. PAULO""), ""Folha de S. Paulo"",
IF(REGEXMATCH(S244, ""O Estado de S\. Paulo|ESTADAO"""&amp;"), ""O Estado de S. Paulo"",
IF(REGEXMATCH(S244, ""salasecreta""), ""Wordpress (Sala Secreta)"",
IF(REGEXMATCH(S244, ""Wikipedia|Wikipédia|WIKIPÉDIA""), ""Wikipedia"",
IF(REGEXMATCH(S244, ""VEJA|Veja""), ""Veja Abril"",
IF(REGEXMATCH(S517, ""Rede Globo|RE"&amp;"DE GLOBO""), ""Rede Globo"",
IF(REGEXMATCH(S517, ""G1|globo\.com""), ""G1"",
IF(REGEXMATCH(S244, ""Deutsche Welle|DW\.com""), ""Deutsche Welle"",
IF(REGEXMATCH(S244, ""CIDH|Comissão Interamericana""), ""Comissão Interamericana de Direitos Humanos (CIDH)"""&amp;",
IF(REGEXMATCH(S244, ""Pastoral Carcerária""), ""Pastoral Carcerária"",
IF(REGEXMATCH(S244, ""Esquerda Web""), ""Esquerda Web"",
IF(REGEXMATCH(S244, ""ONU|Organização das Nações Unidas""), ""ONU Brasil"",
IF(REGEXMATCH(S244, ""Quilombo Invisível""), ""Qu"&amp;"ilombo Invisível"",
IF(REGEXMATCH(S244, ""ALESP|Assembleia Legislativa""), ""ALESP"",
IF(REGEXMATCH(S244, ""Revista Opera""), ""Revista Opera"",
IF(REGEXMATCH(S244, ""SP Escola de Teatro""), ""SP Escola de Teatro"",
IF(REGEXMATCH(S244, ""EMC|Espaço Memóri"&amp;"a Carandiru""), ""EMC Espaço Memória Carandiru"",
IF(REGEXMATCH(S244, ""^RAMOS, Nuno|Nuno Ramos""), ""Nuno Ramos"",
IF(REGEXMATCH(S244, ""^VELOSO, Caetano|Caetano Veloso""), ""YouTube (Caetano Veloso)"",
IF(REGEXMATCH(S244, ""^FATOS REAIS""), ""YouTube ("&amp;"Fatos Reais - Topic)"",
IF(REGEXMATCH(S244, ""^SALA SECRETA""), ""Wordpress (Sala Secreta)"",
PROPER(REGEXEXTRACT(S244, ""^([^.]*)\.""))
))))))))))))))))))))))))))))))))))))))))))))))))))))))))"),"Instagram (Memórias Carandiru)")</f>
        <v>Instagram (Memórias Carandiru)</v>
      </c>
      <c r="N244" s="11" t="s">
        <v>47</v>
      </c>
      <c r="O244" s="14" t="s">
        <v>149</v>
      </c>
      <c r="P244" s="186">
        <v>45857.0</v>
      </c>
      <c r="Q244" s="11" t="s">
        <v>154</v>
      </c>
      <c r="R244" s="70" t="str">
        <f t="shared" si="8"/>
        <v>Aqui</v>
      </c>
      <c r="S244" s="75" t="s">
        <v>1028</v>
      </c>
    </row>
    <row r="245">
      <c r="A245" s="11">
        <v>243.0</v>
      </c>
      <c r="B245" s="14" t="s">
        <v>68</v>
      </c>
      <c r="C245" s="12" t="str">
        <f>IFERROR(__xludf.DUMMYFUNCTION("IF(B245="""","""",IF(OR(
  REGEXMATCH(B245,""Performance|Instalação|Álbum|Música|Poema|Livro|Filme|Documentário|Recitação|Espetáculo|Peça|Intervenção|Desfile|Fotografia|Exposição|Charge|Grafite|Leitura pública|Fabricação de cachaça artesanal""),
  REGEXMA"&amp;"TCH(B245,""dança|teatral|artístico|musical|artística"")
),""Manifestação artístico-cultural"",
IF(OR(
  REGEXMATCH(B245,""Crônica|Série|Reportagem|Podcast|Audiotour|Entrevista|Vídeo|Rádio""),
  REGEXMATCH(B245,""midiática"")
),""Produção midiática"","""")"&amp;"))
"),"Produção midiática")</f>
        <v>Produção midiática</v>
      </c>
      <c r="D245" s="13" t="str">
        <f>IFERROR(__xludf.DUMMYFUNCTION("IF(B245="""","""",IF(OR(
  REGEXMATCH(B245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REGEXMATCH(B245,""público|Imediato|artística|teatral|memória"")
),""Público Imediato"",
IF(REGEXMATCH(B245,""Música|Álbum|Filme|Documentário|Série|Podc"&amp;"ast|Rádio|Audiotour|Entrevista|Reportagem|Crônica|Relatório|Abaixo-assinado|Manifesto|Petição|Poema|Livro|Fotografia|Curta|Live|Webinário|Charge|Leitura pública|Vídeo""),
""Público Mediado"","""")))
"),"Público Mediado")</f>
        <v>Público Mediado</v>
      </c>
      <c r="E245" s="13" t="str">
        <f>IFERROR(__xludf.DUMMYFUNCTION("IF(B245="""","""",IF(OR(
  REGEXMATCH(B245,""Live|Webinário|Virtual""),
  REGEXMATCH(B245,""online"")
),""Virtual"",
IF(REGEXMATCH(B245,""Música|Álbum|Filme|Documentário|Série|Podcast|Rádio|Audiotour|Episódio|Reportagem|Curta|Charge|Livro|Vídeo|Entrevista"&amp;"""),
""Midiático"",
IF(REGEXMATCH(B245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45" s="186">
        <v>45801.0</v>
      </c>
      <c r="G245" s="15">
        <f t="shared" si="1"/>
        <v>2025</v>
      </c>
      <c r="H245" s="181" t="s">
        <v>347</v>
      </c>
      <c r="I245" s="175" t="s">
        <v>326</v>
      </c>
      <c r="J245" s="202" t="s">
        <v>1029</v>
      </c>
      <c r="K245" s="16" t="s">
        <v>736</v>
      </c>
      <c r="L245" s="18" t="s">
        <v>489</v>
      </c>
      <c r="M245" s="15" t="str">
        <f>IFERROR(__xludf.DUMMYFUNCTION("IF(REGEXMATCH(S245, ""Companhia das Letras""), ""Companhia das Letras"",
IF(REGEXMATCH(S245, ""Labortexto Editorial""), ""Labortexto Editorial"",
IF(REGEXMATCH(S245, ""Geração Editorial""), ""Geração Editorial"",
IF(REGEXMATCH(S245, ""Editora Imprensa Ofi"&amp;"cial|Imprensa Oficial""), ""Editora Imprensa Oficial"",
IF(REGEXMATCH(S245, ""Folha Online""), ""Folha Online"",
IF(REGEXMATCH(S245, ""FGV DIREITO SP|FGV Direito SP""), ""FGV DIREITO SP"",
IF(REGEXMATCH(S245, ""massacrecarandiru\.org\.br""), ""Memória Mas"&amp;"sacre Carandiru"",
IF(REGEXMATCH(S245, ""Itaú Cultural""), ""YouTube (Itaú Cultural)"",
IF(REGEXMATCH(S245, ""Passa Palavra""), ""Vimeo (Passa Palavra)"",
IF(REGEXMATCH(S245, ""rede2deoutubro\.blogspot""), ""Blogspot (Rede 02 de Outubro)"",
IF(REGEXMATCH("&amp;"S245, ""Rede TVT""), ""YouTube (Rede TVT)"",
IF(REGEXMATCH(S245, ""Esquerda Diário""), ""Esquerda Diário"",
IF(REGEXMATCH(S245, ""GZH""), ""GZH"",
IF(REGEXMATCH(S245, ""TVPUC""), ""TVPUC"",
IF(REGEXMATCH(S245, ""Mídia Ninja.*Facebook""), ""Facebook (Mídia"&amp;" Ninja)"",
IF(REGEXMATCH(S245, ""Memórias Carandiru.*Instagram""), ""Instagram (Memórias Carandiru)"",
IF(REGEXMATCH(S245, ""Frente pelo Desencarceramento SP""), ""YouTube (Frente Pelo Desencarceramento SP)"",
IF(REGEXMATCH(S245, ""TV ABA""), ""YouTube (T"&amp;"V ABA)"",
IF(REGEXMATCH(S245, ""TV SENADO""), ""YouTube (TV Senado)"",
IF(REGEXMATCH(S245, ""Google Arts &amp; Culture""), ""Google Arts &amp; Culture (Memória Massacre Carandiru)"",
IF(REGEXMATCH(S245, ""Anistia Internacional|ANISTIA INTERNACIONAL""), ""Anistia "&amp;"Internacional"",
IF(REGEXMATCH(S245, ""47\.mostra|47a Mostra""), ""47a Mostra Internacional de Cinema em São Paulo"",
IF(REGEXMATCH(S245, ""Canal USP""), ""YouTube (Canal USP)"",
IF(AND(
  REGEXMATCH(S245, ""(?i)(teses?\.usp\.br|dissertacoes?\.usp\.br|rep"&amp;"ositorio\.usp\.br)""),
  NOT(REGEXMATCH(S245, ""Canal USP""))
), ""Biblioteca Digital de Teses e Dissertações da USP"",
IF(REGEXMATCH(S245, ""SINTRAJUSC""), ""SINTRAJUSC"",
IF(REGEXMATCH(S245, ""Agência Brasil|Agencia Brasil""), ""Agência Brasil"",
IF(REG"&amp;"EXMATCH(S245, ""Brasil de Fato""), ""Brasil de Fato"",
IF(REGEXMATCH(S245, ""Ponte Jornalismo|pontejornalismo""), ""Ponte Jornalismo"",
IF(REGEXMATCH(S245, ""letras\.mus\.br|Letras,""), ""Letras"",
IF(REGEXMATCH(S245, ""YouTube|youtube""), 
   ""YouTube "&amp;"(""&amp;
   IF(REGEXMATCH(S245, ""Itaú Cultural""), ""Itaú Cultural"",
   IF(REGEXMATCH(S245, ""Rede TVT""), ""Rede TVT"",
   IF(REGEXMATCH(S245, ""Frente pelo Desencarceramento SP""), ""Frente Pelo Desencarceramento SP"",
   IF(REGEXMATCH(S245, ""TV ABA""), "&amp;"""TV ABA"",
   IF(REGEXMATCH(S245, ""TV SENADO""), ""TV Senado"",
   IF(REGEXMATCH(S245, ""Canal USP""), ""Canal USP"",
   IF(REGEXMATCH(S245, ""Douer, Zack|Zack Douer""), ""Douer Zack"",
   IF(REGEXMATCH(S245, ""PRISIONEIRO 84\.901|PRISIONEIRO 84""), ""P"&amp;"risioneiro 84.901"",
   IF(REGEXMATCH(S245, ""^[^,]*, ""), 
        PROPER(REGEXREPLACE(REGEXEXTRACT(S245, ""^([^.]*)\.""), ""^([^,]*), (.*)"", ""$2 $1"")),
        PROPER(REGEXEXTRACT(S245, ""^([^.]*)\.""))
   )))))))))&amp;"")"",
IF(REGEXMATCH(S245, ""Spot"&amp;"ify|spotify""), 
   ""Spotify (""&amp;
   IF(REGEXMATCH(S245, ""ESTRANHO SORRISO""), ""Estranho Sorriso"",
   PROPER(REGEXEXTRACT(S245, ""^([^.]*)\.""))
   )&amp;"")"",
IF(REGEXMATCH(S245, ""Vimeo|vimeo""), 
   ""Vimeo (""&amp;
   IF(REGEXMATCH(S245, ""Passa Palavra"&amp;"""), ""Passa Palavra"",
   PROPER(REGEXEXTRACT(S245, ""^([^.]*)\.""))
   )&amp;"")"",
IF(REGEXMATCH(S245, ""Blogspot""), 
   ""Blogspot (""&amp;
   IF(REGEXMATCH(S245, ""rede2deoutubro""), ""Rede 02 de Outubro"",
   PROPER(REGEXEXTRACT(S245, ""^([^.]*)\.""))
   "&amp;")&amp;"")"",
IF(REGEXMATCH(S245, ""Facebook""), 
   ""Facebook (""&amp;
   IF(REGEXMATCH(S245, ""Mídia Ninja""), ""Mídia Ninja"",
   PROPER(REGEXEXTRACT(S245, ""^([^.]*)\.""))
   )&amp;"")"",
IF(REGEXMATCH(S245, ""Instagram""), 
   ""Instagram (""&amp;
   IF(REGEXMATCH"&amp;"(S245, ""Memórias Carandiru""), ""Memórias Carandiru"",
   PROPER(REGEXEXTRACT(S245, ""^([^.]*)\.""))
   )&amp;"")"",
IF(REGEXMATCH(S245, ""Folha de S\. Paulo|FOLHA DE S\. PAULO""), ""Folha de S. Paulo"",
IF(REGEXMATCH(S245, ""O Estado de S\. Paulo|ESTADAO"""&amp;"), ""O Estado de S. Paulo"",
IF(REGEXMATCH(S245, ""salasecreta""), ""Wordpress (Sala Secreta)"",
IF(REGEXMATCH(S245, ""Wikipedia|Wikipédia|WIKIPÉDIA""), ""Wikipedia"",
IF(REGEXMATCH(S245, ""VEJA|Veja""), ""Veja Abril"",
IF(REGEXMATCH(S518, ""Rede Globo|RE"&amp;"DE GLOBO""), ""Rede Globo"",
IF(REGEXMATCH(S518, ""G1|globo\.com""), ""G1"",
IF(REGEXMATCH(S245, ""Deutsche Welle|DW\.com""), ""Deutsche Welle"",
IF(REGEXMATCH(S245, ""CIDH|Comissão Interamericana""), ""Comissão Interamericana de Direitos Humanos (CIDH)"""&amp;",
IF(REGEXMATCH(S245, ""Pastoral Carcerária""), ""Pastoral Carcerária"",
IF(REGEXMATCH(S245, ""Esquerda Web""), ""Esquerda Web"",
IF(REGEXMATCH(S245, ""ONU|Organização das Nações Unidas""), ""ONU Brasil"",
IF(REGEXMATCH(S245, ""Quilombo Invisível""), ""Qu"&amp;"ilombo Invisível"",
IF(REGEXMATCH(S245, ""ALESP|Assembleia Legislativa""), ""ALESP"",
IF(REGEXMATCH(S245, ""Revista Opera""), ""Revista Opera"",
IF(REGEXMATCH(S245, ""SP Escola de Teatro""), ""SP Escola de Teatro"",
IF(REGEXMATCH(S245, ""EMC|Espaço Memóri"&amp;"a Carandiru""), ""EMC Espaço Memória Carandiru"",
IF(REGEXMATCH(S245, ""^RAMOS, Nuno|Nuno Ramos""), ""Nuno Ramos"",
IF(REGEXMATCH(S245, ""^VELOSO, Caetano|Caetano Veloso""), ""YouTube (Caetano Veloso)"",
IF(REGEXMATCH(S245, ""^FATOS REAIS""), ""YouTube ("&amp;"Fatos Reais - Topic)"",
IF(REGEXMATCH(S245, ""^SALA SECRETA""), ""Wordpress (Sala Secreta)"",
PROPER(REGEXEXTRACT(S245, ""^([^.]*)\.""))
))))))))))))))))))))))))))))))))))))))))))))))))))))))))"),"Instagram (Memórias Carandiru)")</f>
        <v>Instagram (Memórias Carandiru)</v>
      </c>
      <c r="N245" s="11" t="s">
        <v>47</v>
      </c>
      <c r="O245" s="14" t="s">
        <v>149</v>
      </c>
      <c r="P245" s="186">
        <v>45857.0</v>
      </c>
      <c r="Q245" s="11" t="s">
        <v>154</v>
      </c>
      <c r="R245" s="70" t="str">
        <f t="shared" si="8"/>
        <v>Aqui</v>
      </c>
      <c r="S245" s="75" t="s">
        <v>1030</v>
      </c>
    </row>
    <row r="246">
      <c r="A246" s="11">
        <v>244.0</v>
      </c>
      <c r="B246" s="14" t="s">
        <v>799</v>
      </c>
      <c r="C246" s="122" t="s">
        <v>165</v>
      </c>
      <c r="D246" s="13" t="str">
        <f>IFERROR(__xludf.DUMMYFUNCTION("IF(B246="""","""",IF(OR(
  REGEXMATCH(B246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REGEXMATCH(B246,""público|Imediato|artística|teatral|memória"")
),""Público Imediato"",
IF(REGEXMATCH(B246,""Música|Álbum|Filme|Documentário|Série|Podc"&amp;"ast|Rádio|Audiotour|Entrevista|Reportagem|Crônica|Relatório|Abaixo-assinado|Manifesto|Petição|Poema|Livro|Fotografia|Curta|Live|Webinário|Charge|Leitura pública|Vídeo""),
""Público Mediado"","""")))
"),"Público Imediato")</f>
        <v>Público Imediato</v>
      </c>
      <c r="E246" s="13" t="str">
        <f>IFERROR(__xludf.DUMMYFUNCTION("IF(B246="""","""",IF(OR(
  REGEXMATCH(B246,""Live|Webinário|Virtual""),
  REGEXMATCH(B246,""online"")
),""Virtual"",
IF(REGEXMATCH(B246,""Música|Álbum|Filme|Documentário|Série|Podcast|Rádio|Audiotour|Episódio|Reportagem|Curta|Charge|Livro|Vídeo|Entrevista"&amp;"""),
""Midiático"",
IF(REGEXMATCH(B246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6" s="186">
        <v>45822.0</v>
      </c>
      <c r="G246" s="15">
        <f t="shared" si="1"/>
        <v>2025</v>
      </c>
      <c r="H246" s="14" t="s">
        <v>733</v>
      </c>
      <c r="I246" s="175" t="s">
        <v>741</v>
      </c>
      <c r="J246" s="202" t="s">
        <v>1031</v>
      </c>
      <c r="K246" s="16" t="s">
        <v>736</v>
      </c>
      <c r="L246" s="18" t="s">
        <v>489</v>
      </c>
      <c r="M246" s="15" t="str">
        <f>IFERROR(__xludf.DUMMYFUNCTION("IF(REGEXMATCH(S246, ""Companhia das Letras""), ""Companhia das Letras"",
IF(REGEXMATCH(S246, ""Labortexto Editorial""), ""Labortexto Editorial"",
IF(REGEXMATCH(S246, ""Geração Editorial""), ""Geração Editorial"",
IF(REGEXMATCH(S246, ""Editora Imprensa Ofi"&amp;"cial|Imprensa Oficial""), ""Editora Imprensa Oficial"",
IF(REGEXMATCH(S246, ""Folha Online""), ""Folha Online"",
IF(REGEXMATCH(S246, ""FGV DIREITO SP|FGV Direito SP""), ""FGV DIREITO SP"",
IF(REGEXMATCH(S246, ""massacrecarandiru\.org\.br""), ""Memória Mas"&amp;"sacre Carandiru"",
IF(REGEXMATCH(S246, ""Itaú Cultural""), ""YouTube (Itaú Cultural)"",
IF(REGEXMATCH(S246, ""Passa Palavra""), ""Vimeo (Passa Palavra)"",
IF(REGEXMATCH(S246, ""rede2deoutubro\.blogspot""), ""Blogspot (Rede 02 de Outubro)"",
IF(REGEXMATCH("&amp;"S246, ""Rede TVT""), ""YouTube (Rede TVT)"",
IF(REGEXMATCH(S246, ""Esquerda Diário""), ""Esquerda Diário"",
IF(REGEXMATCH(S246, ""GZH""), ""GZH"",
IF(REGEXMATCH(S246, ""TVPUC""), ""TVPUC"",
IF(REGEXMATCH(S246, ""Mídia Ninja.*Facebook""), ""Facebook (Mídia"&amp;" Ninja)"",
IF(REGEXMATCH(S246, ""Memórias Carandiru.*Instagram""), ""Instagram (Memórias Carandiru)"",
IF(REGEXMATCH(S246, ""Frente pelo Desencarceramento SP""), ""YouTube (Frente Pelo Desencarceramento SP)"",
IF(REGEXMATCH(S246, ""TV ABA""), ""YouTube (T"&amp;"V ABA)"",
IF(REGEXMATCH(S246, ""TV SENADO""), ""YouTube (TV Senado)"",
IF(REGEXMATCH(S246, ""Google Arts &amp; Culture""), ""Google Arts &amp; Culture (Memória Massacre Carandiru)"",
IF(REGEXMATCH(S246, ""Anistia Internacional|ANISTIA INTERNACIONAL""), ""Anistia "&amp;"Internacional"",
IF(REGEXMATCH(S246, ""47\.mostra|47a Mostra""), ""47a Mostra Internacional de Cinema em São Paulo"",
IF(REGEXMATCH(S246, ""Canal USP""), ""YouTube (Canal USP)"",
IF(AND(
  REGEXMATCH(S246, ""(?i)(teses?\.usp\.br|dissertacoes?\.usp\.br|rep"&amp;"ositorio\.usp\.br)""),
  NOT(REGEXMATCH(S246, ""Canal USP""))
), ""Biblioteca Digital de Teses e Dissertações da USP"",
IF(REGEXMATCH(S246, ""SINTRAJUSC""), ""SINTRAJUSC"",
IF(REGEXMATCH(S246, ""Agência Brasil|Agencia Brasil""), ""Agência Brasil"",
IF(REG"&amp;"EXMATCH(S246, ""Brasil de Fato""), ""Brasil de Fato"",
IF(REGEXMATCH(S246, ""Ponte Jornalismo|pontejornalismo""), ""Ponte Jornalismo"",
IF(REGEXMATCH(S246, ""letras\.mus\.br|Letras,""), ""Letras"",
IF(REGEXMATCH(S246, ""YouTube|youtube""), 
   ""YouTube "&amp;"(""&amp;
   IF(REGEXMATCH(S246, ""Itaú Cultural""), ""Itaú Cultural"",
   IF(REGEXMATCH(S246, ""Rede TVT""), ""Rede TVT"",
   IF(REGEXMATCH(S246, ""Frente pelo Desencarceramento SP""), ""Frente Pelo Desencarceramento SP"",
   IF(REGEXMATCH(S246, ""TV ABA""), "&amp;"""TV ABA"",
   IF(REGEXMATCH(S246, ""TV SENADO""), ""TV Senado"",
   IF(REGEXMATCH(S246, ""Canal USP""), ""Canal USP"",
   IF(REGEXMATCH(S246, ""Douer, Zack|Zack Douer""), ""Douer Zack"",
   IF(REGEXMATCH(S246, ""PRISIONEIRO 84\.901|PRISIONEIRO 84""), ""P"&amp;"risioneiro 84.901"",
   IF(REGEXMATCH(S246, ""^[^,]*, ""), 
        PROPER(REGEXREPLACE(REGEXEXTRACT(S246, ""^([^.]*)\.""), ""^([^,]*), (.*)"", ""$2 $1"")),
        PROPER(REGEXEXTRACT(S246, ""^([^.]*)\.""))
   )))))))))&amp;"")"",
IF(REGEXMATCH(S246, ""Spot"&amp;"ify|spotify""), 
   ""Spotify (""&amp;
   IF(REGEXMATCH(S246, ""ESTRANHO SORRISO""), ""Estranho Sorriso"",
   PROPER(REGEXEXTRACT(S246, ""^([^.]*)\.""))
   )&amp;"")"",
IF(REGEXMATCH(S246, ""Vimeo|vimeo""), 
   ""Vimeo (""&amp;
   IF(REGEXMATCH(S246, ""Passa Palavra"&amp;"""), ""Passa Palavra"",
   PROPER(REGEXEXTRACT(S246, ""^([^.]*)\.""))
   )&amp;"")"",
IF(REGEXMATCH(S246, ""Blogspot""), 
   ""Blogspot (""&amp;
   IF(REGEXMATCH(S246, ""rede2deoutubro""), ""Rede 02 de Outubro"",
   PROPER(REGEXEXTRACT(S246, ""^([^.]*)\.""))
   "&amp;")&amp;"")"",
IF(REGEXMATCH(S246, ""Facebook""), 
   ""Facebook (""&amp;
   IF(REGEXMATCH(S246, ""Mídia Ninja""), ""Mídia Ninja"",
   PROPER(REGEXEXTRACT(S246, ""^([^.]*)\.""))
   )&amp;"")"",
IF(REGEXMATCH(S246, ""Instagram""), 
   ""Instagram (""&amp;
   IF(REGEXMATCH"&amp;"(S246, ""Memórias Carandiru""), ""Memórias Carandiru"",
   PROPER(REGEXEXTRACT(S246, ""^([^.]*)\.""))
   )&amp;"")"",
IF(REGEXMATCH(S246, ""Folha de S\. Paulo|FOLHA DE S\. PAULO""), ""Folha de S. Paulo"",
IF(REGEXMATCH(S246, ""O Estado de S\. Paulo|ESTADAO"""&amp;"), ""O Estado de S. Paulo"",
IF(REGEXMATCH(S246, ""salasecreta""), ""Wordpress (Sala Secreta)"",
IF(REGEXMATCH(S246, ""Wikipedia|Wikipédia|WIKIPÉDIA""), ""Wikipedia"",
IF(REGEXMATCH(S246, ""VEJA|Veja""), ""Veja Abril"",
IF(REGEXMATCH(S519, ""Rede Globo|RE"&amp;"DE GLOBO""), ""Rede Globo"",
IF(REGEXMATCH(S519, ""G1|globo\.com""), ""G1"",
IF(REGEXMATCH(S246, ""Deutsche Welle|DW\.com""), ""Deutsche Welle"",
IF(REGEXMATCH(S246, ""CIDH|Comissão Interamericana""), ""Comissão Interamericana de Direitos Humanos (CIDH)"""&amp;",
IF(REGEXMATCH(S246, ""Pastoral Carcerária""), ""Pastoral Carcerária"",
IF(REGEXMATCH(S246, ""Esquerda Web""), ""Esquerda Web"",
IF(REGEXMATCH(S246, ""ONU|Organização das Nações Unidas""), ""ONU Brasil"",
IF(REGEXMATCH(S246, ""Quilombo Invisível""), ""Qu"&amp;"ilombo Invisível"",
IF(REGEXMATCH(S246, ""ALESP|Assembleia Legislativa""), ""ALESP"",
IF(REGEXMATCH(S246, ""Revista Opera""), ""Revista Opera"",
IF(REGEXMATCH(S246, ""SP Escola de Teatro""), ""SP Escola de Teatro"",
IF(REGEXMATCH(S246, ""EMC|Espaço Memóri"&amp;"a Carandiru""), ""EMC Espaço Memória Carandiru"",
IF(REGEXMATCH(S246, ""^RAMOS, Nuno|Nuno Ramos""), ""Nuno Ramos"",
IF(REGEXMATCH(S246, ""^VELOSO, Caetano|Caetano Veloso""), ""YouTube (Caetano Veloso)"",
IF(REGEXMATCH(S246, ""^FATOS REAIS""), ""YouTube ("&amp;"Fatos Reais - Topic)"",
IF(REGEXMATCH(S246, ""^SALA SECRETA""), ""Wordpress (Sala Secreta)"",
PROPER(REGEXEXTRACT(S246, ""^([^.]*)\.""))
))))))))))))))))))))))))))))))))))))))))))))))))))))))))"),"Instagram (Memórias Carandiru)")</f>
        <v>Instagram (Memórias Carandiru)</v>
      </c>
      <c r="N246" s="11" t="s">
        <v>47</v>
      </c>
      <c r="O246" s="14" t="s">
        <v>149</v>
      </c>
      <c r="P246" s="186">
        <v>45857.0</v>
      </c>
      <c r="Q246" s="11" t="s">
        <v>154</v>
      </c>
      <c r="R246" s="70" t="str">
        <f t="shared" si="8"/>
        <v>Aqui</v>
      </c>
      <c r="S246" s="75" t="s">
        <v>1032</v>
      </c>
    </row>
    <row r="247">
      <c r="A247" s="11">
        <v>245.0</v>
      </c>
      <c r="B247" s="14" t="s">
        <v>799</v>
      </c>
      <c r="C247" s="122" t="s">
        <v>165</v>
      </c>
      <c r="D247" s="13" t="str">
        <f>IFERROR(__xludf.DUMMYFUNCTION("IF(B247="""","""",IF(OR(
  REGEXMATCH(B247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REGEXMATCH(B247,""público|Imediato|artística|teatral|memória"")
),""Público Imediato"",
IF(REGEXMATCH(B247,""Música|Álbum|Filme|Documentário|Série|Podc"&amp;"ast|Rádio|Audiotour|Entrevista|Reportagem|Crônica|Relatório|Abaixo-assinado|Manifesto|Petição|Poema|Livro|Fotografia|Curta|Live|Webinário|Charge|Leitura pública|Vídeo""),
""Público Mediado"","""")))
"),"Público Imediato")</f>
        <v>Público Imediato</v>
      </c>
      <c r="E247" s="13" t="str">
        <f>IFERROR(__xludf.DUMMYFUNCTION("IF(B247="""","""",IF(OR(
  REGEXMATCH(B247,""Live|Webinário|Virtual""),
  REGEXMATCH(B247,""online"")
),""Virtual"",
IF(REGEXMATCH(B247,""Música|Álbum|Filme|Documentário|Série|Podcast|Rádio|Audiotour|Episódio|Reportagem|Curta|Charge|Livro|Vídeo|Entrevista"&amp;"""),
""Midiático"",
IF(REGEXMATCH(B247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7" s="186">
        <v>45829.0</v>
      </c>
      <c r="G247" s="15">
        <f t="shared" si="1"/>
        <v>2025</v>
      </c>
      <c r="H247" s="14" t="s">
        <v>733</v>
      </c>
      <c r="I247" s="175" t="s">
        <v>741</v>
      </c>
      <c r="J247" s="202" t="s">
        <v>1033</v>
      </c>
      <c r="K247" s="16" t="s">
        <v>736</v>
      </c>
      <c r="L247" s="18" t="s">
        <v>489</v>
      </c>
      <c r="M247" s="15" t="str">
        <f>IFERROR(__xludf.DUMMYFUNCTION("IF(REGEXMATCH(S247, ""Companhia das Letras""), ""Companhia das Letras"",
IF(REGEXMATCH(S247, ""Labortexto Editorial""), ""Labortexto Editorial"",
IF(REGEXMATCH(S247, ""Geração Editorial""), ""Geração Editorial"",
IF(REGEXMATCH(S247, ""Editora Imprensa Ofi"&amp;"cial|Imprensa Oficial""), ""Editora Imprensa Oficial"",
IF(REGEXMATCH(S247, ""Folha Online""), ""Folha Online"",
IF(REGEXMATCH(S247, ""FGV DIREITO SP|FGV Direito SP""), ""FGV DIREITO SP"",
IF(REGEXMATCH(S247, ""massacrecarandiru\.org\.br""), ""Memória Mas"&amp;"sacre Carandiru"",
IF(REGEXMATCH(S247, ""Itaú Cultural""), ""YouTube (Itaú Cultural)"",
IF(REGEXMATCH(S247, ""Passa Palavra""), ""Vimeo (Passa Palavra)"",
IF(REGEXMATCH(S247, ""rede2deoutubro\.blogspot""), ""Blogspot (Rede 02 de Outubro)"",
IF(REGEXMATCH("&amp;"S247, ""Rede TVT""), ""YouTube (Rede TVT)"",
IF(REGEXMATCH(S247, ""Esquerda Diário""), ""Esquerda Diário"",
IF(REGEXMATCH(S247, ""GZH""), ""GZH"",
IF(REGEXMATCH(S247, ""TVPUC""), ""TVPUC"",
IF(REGEXMATCH(S247, ""Mídia Ninja.*Facebook""), ""Facebook (Mídia"&amp;" Ninja)"",
IF(REGEXMATCH(S247, ""Memórias Carandiru.*Instagram""), ""Instagram (Memórias Carandiru)"",
IF(REGEXMATCH(S247, ""Frente pelo Desencarceramento SP""), ""YouTube (Frente Pelo Desencarceramento SP)"",
IF(REGEXMATCH(S247, ""TV ABA""), ""YouTube (T"&amp;"V ABA)"",
IF(REGEXMATCH(S247, ""TV SENADO""), ""YouTube (TV Senado)"",
IF(REGEXMATCH(S247, ""Google Arts &amp; Culture""), ""Google Arts &amp; Culture (Memória Massacre Carandiru)"",
IF(REGEXMATCH(S247, ""Anistia Internacional|ANISTIA INTERNACIONAL""), ""Anistia "&amp;"Internacional"",
IF(REGEXMATCH(S247, ""47\.mostra|47a Mostra""), ""47a Mostra Internacional de Cinema em São Paulo"",
IF(REGEXMATCH(S247, ""Canal USP""), ""YouTube (Canal USP)"",
IF(AND(
  REGEXMATCH(S247, ""(?i)(teses?\.usp\.br|dissertacoes?\.usp\.br|rep"&amp;"ositorio\.usp\.br)""),
  NOT(REGEXMATCH(S247, ""Canal USP""))
), ""Biblioteca Digital de Teses e Dissertações da USP"",
IF(REGEXMATCH(S247, ""SINTRAJUSC""), ""SINTRAJUSC"",
IF(REGEXMATCH(S247, ""Agência Brasil|Agencia Brasil""), ""Agência Brasil"",
IF(REG"&amp;"EXMATCH(S247, ""Brasil de Fato""), ""Brasil de Fato"",
IF(REGEXMATCH(S247, ""Ponte Jornalismo|pontejornalismo""), ""Ponte Jornalismo"",
IF(REGEXMATCH(S247, ""letras\.mus\.br|Letras,""), ""Letras"",
IF(REGEXMATCH(S247, ""YouTube|youtube""), 
   ""YouTube "&amp;"(""&amp;
   IF(REGEXMATCH(S247, ""Itaú Cultural""), ""Itaú Cultural"",
   IF(REGEXMATCH(S247, ""Rede TVT""), ""Rede TVT"",
   IF(REGEXMATCH(S247, ""Frente pelo Desencarceramento SP""), ""Frente Pelo Desencarceramento SP"",
   IF(REGEXMATCH(S247, ""TV ABA""), "&amp;"""TV ABA"",
   IF(REGEXMATCH(S247, ""TV SENADO""), ""TV Senado"",
   IF(REGEXMATCH(S247, ""Canal USP""), ""Canal USP"",
   IF(REGEXMATCH(S247, ""Douer, Zack|Zack Douer""), ""Douer Zack"",
   IF(REGEXMATCH(S247, ""PRISIONEIRO 84\.901|PRISIONEIRO 84""), ""P"&amp;"risioneiro 84.901"",
   IF(REGEXMATCH(S247, ""^[^,]*, ""), 
        PROPER(REGEXREPLACE(REGEXEXTRACT(S247, ""^([^.]*)\.""), ""^([^,]*), (.*)"", ""$2 $1"")),
        PROPER(REGEXEXTRACT(S247, ""^([^.]*)\.""))
   )))))))))&amp;"")"",
IF(REGEXMATCH(S247, ""Spot"&amp;"ify|spotify""), 
   ""Spotify (""&amp;
   IF(REGEXMATCH(S247, ""ESTRANHO SORRISO""), ""Estranho Sorriso"",
   PROPER(REGEXEXTRACT(S247, ""^([^.]*)\.""))
   )&amp;"")"",
IF(REGEXMATCH(S247, ""Vimeo|vimeo""), 
   ""Vimeo (""&amp;
   IF(REGEXMATCH(S247, ""Passa Palavra"&amp;"""), ""Passa Palavra"",
   PROPER(REGEXEXTRACT(S247, ""^([^.]*)\.""))
   )&amp;"")"",
IF(REGEXMATCH(S247, ""Blogspot""), 
   ""Blogspot (""&amp;
   IF(REGEXMATCH(S247, ""rede2deoutubro""), ""Rede 02 de Outubro"",
   PROPER(REGEXEXTRACT(S247, ""^([^.]*)\.""))
   "&amp;")&amp;"")"",
IF(REGEXMATCH(S247, ""Facebook""), 
   ""Facebook (""&amp;
   IF(REGEXMATCH(S247, ""Mídia Ninja""), ""Mídia Ninja"",
   PROPER(REGEXEXTRACT(S247, ""^([^.]*)\.""))
   )&amp;"")"",
IF(REGEXMATCH(S247, ""Instagram""), 
   ""Instagram (""&amp;
   IF(REGEXMATCH"&amp;"(S247, ""Memórias Carandiru""), ""Memórias Carandiru"",
   PROPER(REGEXEXTRACT(S247, ""^([^.]*)\.""))
   )&amp;"")"",
IF(REGEXMATCH(S247, ""Folha de S\. Paulo|FOLHA DE S\. PAULO""), ""Folha de S. Paulo"",
IF(REGEXMATCH(S247, ""O Estado de S\. Paulo|ESTADAO"""&amp;"), ""O Estado de S. Paulo"",
IF(REGEXMATCH(S247, ""salasecreta""), ""Wordpress (Sala Secreta)"",
IF(REGEXMATCH(S247, ""Wikipedia|Wikipédia|WIKIPÉDIA""), ""Wikipedia"",
IF(REGEXMATCH(S247, ""VEJA|Veja""), ""Veja Abril"",
IF(REGEXMATCH(S520, ""Rede Globo|RE"&amp;"DE GLOBO""), ""Rede Globo"",
IF(REGEXMATCH(S520, ""G1|globo\.com""), ""G1"",
IF(REGEXMATCH(S247, ""Deutsche Welle|DW\.com""), ""Deutsche Welle"",
IF(REGEXMATCH(S247, ""CIDH|Comissão Interamericana""), ""Comissão Interamericana de Direitos Humanos (CIDH)"""&amp;",
IF(REGEXMATCH(S247, ""Pastoral Carcerária""), ""Pastoral Carcerária"",
IF(REGEXMATCH(S247, ""Esquerda Web""), ""Esquerda Web"",
IF(REGEXMATCH(S247, ""ONU|Organização das Nações Unidas""), ""ONU Brasil"",
IF(REGEXMATCH(S247, ""Quilombo Invisível""), ""Qu"&amp;"ilombo Invisível"",
IF(REGEXMATCH(S247, ""ALESP|Assembleia Legislativa""), ""ALESP"",
IF(REGEXMATCH(S247, ""Revista Opera""), ""Revista Opera"",
IF(REGEXMATCH(S247, ""SP Escola de Teatro""), ""SP Escola de Teatro"",
IF(REGEXMATCH(S247, ""EMC|Espaço Memóri"&amp;"a Carandiru""), ""EMC Espaço Memória Carandiru"",
IF(REGEXMATCH(S247, ""^RAMOS, Nuno|Nuno Ramos""), ""Nuno Ramos"",
IF(REGEXMATCH(S247, ""^VELOSO, Caetano|Caetano Veloso""), ""YouTube (Caetano Veloso)"",
IF(REGEXMATCH(S247, ""^FATOS REAIS""), ""YouTube ("&amp;"Fatos Reais - Topic)"",
IF(REGEXMATCH(S247, ""^SALA SECRETA""), ""Wordpress (Sala Secreta)"",
PROPER(REGEXEXTRACT(S247, ""^([^.]*)\.""))
))))))))))))))))))))))))))))))))))))))))))))))))))))))))"),"Instagram (Memórias Carandiru)")</f>
        <v>Instagram (Memórias Carandiru)</v>
      </c>
      <c r="N247" s="11" t="s">
        <v>47</v>
      </c>
      <c r="O247" s="14" t="s">
        <v>149</v>
      </c>
      <c r="P247" s="186">
        <v>45857.0</v>
      </c>
      <c r="Q247" s="11" t="s">
        <v>154</v>
      </c>
      <c r="R247" s="70" t="str">
        <f t="shared" si="8"/>
        <v>Aqui</v>
      </c>
      <c r="S247" s="75" t="s">
        <v>1034</v>
      </c>
    </row>
    <row r="248">
      <c r="A248" s="11">
        <v>246.0</v>
      </c>
      <c r="B248" s="14" t="s">
        <v>748</v>
      </c>
      <c r="C248" s="122" t="s">
        <v>165</v>
      </c>
      <c r="D248" s="13" t="str">
        <f>IFERROR(__xludf.DUMMYFUNCTION("IF(B248="""","""",IF(OR(
  REGEXMATCH(B248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REGEXMATCH(B248,""público|Imediato|artística|teatral|memória"")
),""Público Imediato"",
IF(REGEXMATCH(B248,""Música|Álbum|Filme|Documentário|Série|Podc"&amp;"ast|Rádio|Audiotour|Entrevista|Reportagem|Crônica|Relatório|Abaixo-assinado|Manifesto|Petição|Poema|Livro|Fotografia|Curta|Live|Webinário|Charge|Leitura pública|Vídeo""),
""Público Mediado"","""")))
"),"Público Mediado")</f>
        <v>Público Mediado</v>
      </c>
      <c r="E248" s="13" t="str">
        <f>IFERROR(__xludf.DUMMYFUNCTION("IF(B248="""","""",IF(OR(
  REGEXMATCH(B248,""Live|Webinário|Virtual""),
  REGEXMATCH(B248,""online"")
),""Virtual"",
IF(REGEXMATCH(B248,""Música|Álbum|Filme|Documentário|Série|Podcast|Rádio|Audiotour|Episódio|Reportagem|Curta|Charge|Livro|Vídeo|Entrevista"&amp;"""),
""Midiático"",
IF(REGEXMATCH(B248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248" s="186">
        <v>45835.0</v>
      </c>
      <c r="G248" s="15">
        <f t="shared" si="1"/>
        <v>2025</v>
      </c>
      <c r="H248" s="181" t="s">
        <v>347</v>
      </c>
      <c r="I248" s="175" t="s">
        <v>1035</v>
      </c>
      <c r="J248" s="202" t="s">
        <v>1036</v>
      </c>
      <c r="K248" s="16" t="s">
        <v>736</v>
      </c>
      <c r="L248" s="18" t="s">
        <v>489</v>
      </c>
      <c r="M248" s="15" t="str">
        <f>IFERROR(__xludf.DUMMYFUNCTION("IF(REGEXMATCH(S248, ""Companhia das Letras""), ""Companhia das Letras"",
IF(REGEXMATCH(S248, ""Labortexto Editorial""), ""Labortexto Editorial"",
IF(REGEXMATCH(S248, ""Geração Editorial""), ""Geração Editorial"",
IF(REGEXMATCH(S248, ""Editora Imprensa Ofi"&amp;"cial|Imprensa Oficial""), ""Editora Imprensa Oficial"",
IF(REGEXMATCH(S248, ""Folha Online""), ""Folha Online"",
IF(REGEXMATCH(S248, ""FGV DIREITO SP|FGV Direito SP""), ""FGV DIREITO SP"",
IF(REGEXMATCH(S248, ""massacrecarandiru\.org\.br""), ""Memória Mas"&amp;"sacre Carandiru"",
IF(REGEXMATCH(S248, ""Itaú Cultural""), ""YouTube (Itaú Cultural)"",
IF(REGEXMATCH(S248, ""Passa Palavra""), ""Vimeo (Passa Palavra)"",
IF(REGEXMATCH(S248, ""rede2deoutubro\.blogspot""), ""Blogspot (Rede 02 de Outubro)"",
IF(REGEXMATCH("&amp;"S248, ""Rede TVT""), ""YouTube (Rede TVT)"",
IF(REGEXMATCH(S248, ""Esquerda Diário""), ""Esquerda Diário"",
IF(REGEXMATCH(S248, ""GZH""), ""GZH"",
IF(REGEXMATCH(S248, ""TVPUC""), ""TVPUC"",
IF(REGEXMATCH(S248, ""Mídia Ninja.*Facebook""), ""Facebook (Mídia"&amp;" Ninja)"",
IF(REGEXMATCH(S248, ""Memórias Carandiru.*Instagram""), ""Instagram (Memórias Carandiru)"",
IF(REGEXMATCH(S248, ""Frente pelo Desencarceramento SP""), ""YouTube (Frente Pelo Desencarceramento SP)"",
IF(REGEXMATCH(S248, ""TV ABA""), ""YouTube (T"&amp;"V ABA)"",
IF(REGEXMATCH(S248, ""TV SENADO""), ""YouTube (TV Senado)"",
IF(REGEXMATCH(S248, ""Google Arts &amp; Culture""), ""Google Arts &amp; Culture (Memória Massacre Carandiru)"",
IF(REGEXMATCH(S248, ""Anistia Internacional|ANISTIA INTERNACIONAL""), ""Anistia "&amp;"Internacional"",
IF(REGEXMATCH(S248, ""47\.mostra|47a Mostra""), ""47a Mostra Internacional de Cinema em São Paulo"",
IF(REGEXMATCH(S248, ""Canal USP""), ""YouTube (Canal USP)"",
IF(AND(
  REGEXMATCH(S248, ""(?i)(teses?\.usp\.br|dissertacoes?\.usp\.br|rep"&amp;"ositorio\.usp\.br)""),
  NOT(REGEXMATCH(S248, ""Canal USP""))
), ""Biblioteca Digital de Teses e Dissertações da USP"",
IF(REGEXMATCH(S248, ""SINTRAJUSC""), ""SINTRAJUSC"",
IF(REGEXMATCH(S248, ""Agência Brasil|Agencia Brasil""), ""Agência Brasil"",
IF(REG"&amp;"EXMATCH(S248, ""Brasil de Fato""), ""Brasil de Fato"",
IF(REGEXMATCH(S248, ""Ponte Jornalismo|pontejornalismo""), ""Ponte Jornalismo"",
IF(REGEXMATCH(S248, ""letras\.mus\.br|Letras,""), ""Letras"",
IF(REGEXMATCH(S248, ""YouTube|youtube""), 
   ""YouTube "&amp;"(""&amp;
   IF(REGEXMATCH(S248, ""Itaú Cultural""), ""Itaú Cultural"",
   IF(REGEXMATCH(S248, ""Rede TVT""), ""Rede TVT"",
   IF(REGEXMATCH(S248, ""Frente pelo Desencarceramento SP""), ""Frente Pelo Desencarceramento SP"",
   IF(REGEXMATCH(S248, ""TV ABA""), "&amp;"""TV ABA"",
   IF(REGEXMATCH(S248, ""TV SENADO""), ""TV Senado"",
   IF(REGEXMATCH(S248, ""Canal USP""), ""Canal USP"",
   IF(REGEXMATCH(S248, ""Douer, Zack|Zack Douer""), ""Douer Zack"",
   IF(REGEXMATCH(S248, ""PRISIONEIRO 84\.901|PRISIONEIRO 84""), ""P"&amp;"risioneiro 84.901"",
   IF(REGEXMATCH(S248, ""^[^,]*, ""), 
        PROPER(REGEXREPLACE(REGEXEXTRACT(S248, ""^([^.]*)\.""), ""^([^,]*), (.*)"", ""$2 $1"")),
        PROPER(REGEXEXTRACT(S248, ""^([^.]*)\.""))
   )))))))))&amp;"")"",
IF(REGEXMATCH(S248, ""Spot"&amp;"ify|spotify""), 
   ""Spotify (""&amp;
   IF(REGEXMATCH(S248, ""ESTRANHO SORRISO""), ""Estranho Sorriso"",
   PROPER(REGEXEXTRACT(S248, ""^([^.]*)\.""))
   )&amp;"")"",
IF(REGEXMATCH(S248, ""Vimeo|vimeo""), 
   ""Vimeo (""&amp;
   IF(REGEXMATCH(S248, ""Passa Palavra"&amp;"""), ""Passa Palavra"",
   PROPER(REGEXEXTRACT(S248, ""^([^.]*)\.""))
   )&amp;"")"",
IF(REGEXMATCH(S248, ""Blogspot""), 
   ""Blogspot (""&amp;
   IF(REGEXMATCH(S248, ""rede2deoutubro""), ""Rede 02 de Outubro"",
   PROPER(REGEXEXTRACT(S248, ""^([^.]*)\.""))
   "&amp;")&amp;"")"",
IF(REGEXMATCH(S248, ""Facebook""), 
   ""Facebook (""&amp;
   IF(REGEXMATCH(S248, ""Mídia Ninja""), ""Mídia Ninja"",
   PROPER(REGEXEXTRACT(S248, ""^([^.]*)\.""))
   )&amp;"")"",
IF(REGEXMATCH(S248, ""Instagram""), 
   ""Instagram (""&amp;
   IF(REGEXMATCH"&amp;"(S248, ""Memórias Carandiru""), ""Memórias Carandiru"",
   PROPER(REGEXEXTRACT(S248, ""^([^.]*)\.""))
   )&amp;"")"",
IF(REGEXMATCH(S248, ""Folha de S\. Paulo|FOLHA DE S\. PAULO""), ""Folha de S. Paulo"",
IF(REGEXMATCH(S248, ""O Estado de S\. Paulo|ESTADAO"""&amp;"), ""O Estado de S. Paulo"",
IF(REGEXMATCH(S248, ""salasecreta""), ""Wordpress (Sala Secreta)"",
IF(REGEXMATCH(S248, ""Wikipedia|Wikipédia|WIKIPÉDIA""), ""Wikipedia"",
IF(REGEXMATCH(S248, ""VEJA|Veja""), ""Veja Abril"",
IF(REGEXMATCH(S521, ""Rede Globo|RE"&amp;"DE GLOBO""), ""Rede Globo"",
IF(REGEXMATCH(S521, ""G1|globo\.com""), ""G1"",
IF(REGEXMATCH(S248, ""Deutsche Welle|DW\.com""), ""Deutsche Welle"",
IF(REGEXMATCH(S248, ""CIDH|Comissão Interamericana""), ""Comissão Interamericana de Direitos Humanos (CIDH)"""&amp;",
IF(REGEXMATCH(S248, ""Pastoral Carcerária""), ""Pastoral Carcerária"",
IF(REGEXMATCH(S248, ""Esquerda Web""), ""Esquerda Web"",
IF(REGEXMATCH(S248, ""ONU|Organização das Nações Unidas""), ""ONU Brasil"",
IF(REGEXMATCH(S248, ""Quilombo Invisível""), ""Qu"&amp;"ilombo Invisível"",
IF(REGEXMATCH(S248, ""ALESP|Assembleia Legislativa""), ""ALESP"",
IF(REGEXMATCH(S248, ""Revista Opera""), ""Revista Opera"",
IF(REGEXMATCH(S248, ""SP Escola de Teatro""), ""SP Escola de Teatro"",
IF(REGEXMATCH(S248, ""EMC|Espaço Memóri"&amp;"a Carandiru""), ""EMC Espaço Memória Carandiru"",
IF(REGEXMATCH(S248, ""^RAMOS, Nuno|Nuno Ramos""), ""Nuno Ramos"",
IF(REGEXMATCH(S248, ""^VELOSO, Caetano|Caetano Veloso""), ""YouTube (Caetano Veloso)"",
IF(REGEXMATCH(S248, ""^FATOS REAIS""), ""YouTube ("&amp;"Fatos Reais - Topic)"",
IF(REGEXMATCH(S248, ""^SALA SECRETA""), ""Wordpress (Sala Secreta)"",
PROPER(REGEXEXTRACT(S248, ""^([^.]*)\.""))
))))))))))))))))))))))))))))))))))))))))))))))))))))))))"),"Instagram (Memória Carandiru)")</f>
        <v>Instagram (Memória Carandiru)</v>
      </c>
      <c r="N248" s="11" t="s">
        <v>47</v>
      </c>
      <c r="O248" s="14" t="s">
        <v>149</v>
      </c>
      <c r="P248" s="186">
        <v>45857.0</v>
      </c>
      <c r="Q248" s="11" t="s">
        <v>154</v>
      </c>
      <c r="R248" s="70" t="str">
        <f t="shared" si="8"/>
        <v>Aqui</v>
      </c>
      <c r="S248" s="75" t="s">
        <v>1037</v>
      </c>
    </row>
    <row r="249">
      <c r="A249" s="11">
        <v>247.0</v>
      </c>
      <c r="B249" s="14" t="s">
        <v>799</v>
      </c>
      <c r="C249" s="122" t="s">
        <v>165</v>
      </c>
      <c r="D249" s="13" t="str">
        <f>IFERROR(__xludf.DUMMYFUNCTION("IF(B249="""","""",IF(OR(
  REGEXMATCH(B249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REGEXMATCH(B249,""público|Imediato|artística|teatral|memória"")
),""Público Imediato"",
IF(REGEXMATCH(B249,""Música|Álbum|Filme|Documentário|Série|Podc"&amp;"ast|Rádio|Audiotour|Entrevista|Reportagem|Crônica|Relatório|Abaixo-assinado|Manifesto|Petição|Poema|Livro|Fotografia|Curta|Live|Webinário|Charge|Leitura pública|Vídeo""),
""Público Mediado"","""")))
"),"Público Imediato")</f>
        <v>Público Imediato</v>
      </c>
      <c r="E249" s="13" t="str">
        <f>IFERROR(__xludf.DUMMYFUNCTION("IF(B249="""","""",IF(OR(
  REGEXMATCH(B249,""Live|Webinário|Virtual""),
  REGEXMATCH(B249,""online"")
),""Virtual"",
IF(REGEXMATCH(B249,""Música|Álbum|Filme|Documentário|Série|Podcast|Rádio|Audiotour|Episódio|Reportagem|Curta|Charge|Livro|Vídeo|Entrevista"&amp;"""),
""Midiático"",
IF(REGEXMATCH(B249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9" s="183">
        <v>45841.0</v>
      </c>
      <c r="G249" s="15">
        <f t="shared" si="1"/>
        <v>2025</v>
      </c>
      <c r="H249" s="11" t="s">
        <v>603</v>
      </c>
      <c r="I249" s="175" t="s">
        <v>741</v>
      </c>
      <c r="J249" s="17" t="s">
        <v>1038</v>
      </c>
      <c r="K249" s="16" t="s">
        <v>736</v>
      </c>
      <c r="L249" s="18" t="s">
        <v>489</v>
      </c>
      <c r="M249" s="15" t="str">
        <f>IFERROR(__xludf.DUMMYFUNCTION("IF(REGEXMATCH(S249, ""Companhia das Letras""), ""Companhia das Letras"",
IF(REGEXMATCH(S249, ""Labortexto Editorial""), ""Labortexto Editorial"",
IF(REGEXMATCH(S249, ""Geração Editorial""), ""Geração Editorial"",
IF(REGEXMATCH(S249, ""Editora Imprensa Ofi"&amp;"cial|Imprensa Oficial""), ""Editora Imprensa Oficial"",
IF(REGEXMATCH(S249, ""Folha Online""), ""Folha Online"",
IF(REGEXMATCH(S249, ""FGV DIREITO SP|FGV Direito SP""), ""FGV DIREITO SP"",
IF(REGEXMATCH(S249, ""massacrecarandiru\.org\.br""), ""Memória Mas"&amp;"sacre Carandiru"",
IF(REGEXMATCH(S249, ""Itaú Cultural""), ""YouTube (Itaú Cultural)"",
IF(REGEXMATCH(S249, ""Passa Palavra""), ""Vimeo (Passa Palavra)"",
IF(REGEXMATCH(S249, ""rede2deoutubro\.blogspot""), ""Blogspot (Rede 02 de Outubro)"",
IF(REGEXMATCH("&amp;"S249, ""Rede TVT""), ""YouTube (Rede TVT)"",
IF(REGEXMATCH(S249, ""Esquerda Diário""), ""Esquerda Diário"",
IF(REGEXMATCH(S249, ""GZH""), ""GZH"",
IF(REGEXMATCH(S249, ""TVPUC""), ""TVPUC"",
IF(REGEXMATCH(S249, ""Mídia Ninja.*Facebook""), ""Facebook (Mídia"&amp;" Ninja)"",
IF(REGEXMATCH(S249, ""Memórias Carandiru.*Instagram""), ""Instagram (Memórias Carandiru)"",
IF(REGEXMATCH(S249, ""Frente pelo Desencarceramento SP""), ""YouTube (Frente Pelo Desencarceramento SP)"",
IF(REGEXMATCH(S249, ""TV ABA""), ""YouTube (T"&amp;"V ABA)"",
IF(REGEXMATCH(S249, ""TV SENADO""), ""YouTube (TV Senado)"",
IF(REGEXMATCH(S249, ""Google Arts &amp; Culture""), ""Google Arts &amp; Culture (Memória Massacre Carandiru)"",
IF(REGEXMATCH(S249, ""Anistia Internacional|ANISTIA INTERNACIONAL""), ""Anistia "&amp;"Internacional"",
IF(REGEXMATCH(S249, ""47\.mostra|47a Mostra""), ""47a Mostra Internacional de Cinema em São Paulo"",
IF(REGEXMATCH(S249, ""Canal USP""), ""YouTube (Canal USP)"",
IF(AND(
  REGEXMATCH(S249, ""(?i)(teses?\.usp\.br|dissertacoes?\.usp\.br|rep"&amp;"ositorio\.usp\.br)""),
  NOT(REGEXMATCH(S249, ""Canal USP""))
), ""Biblioteca Digital de Teses e Dissertações da USP"",
IF(REGEXMATCH(S249, ""SINTRAJUSC""), ""SINTRAJUSC"",
IF(REGEXMATCH(S249, ""Agência Brasil|Agencia Brasil""), ""Agência Brasil"",
IF(REG"&amp;"EXMATCH(S249, ""Brasil de Fato""), ""Brasil de Fato"",
IF(REGEXMATCH(S249, ""Ponte Jornalismo|pontejornalismo""), ""Ponte Jornalismo"",
IF(REGEXMATCH(S249, ""letras\.mus\.br|Letras,""), ""Letras"",
IF(REGEXMATCH(S249, ""YouTube|youtube""), 
   ""YouTube "&amp;"(""&amp;
   IF(REGEXMATCH(S249, ""Itaú Cultural""), ""Itaú Cultural"",
   IF(REGEXMATCH(S249, ""Rede TVT""), ""Rede TVT"",
   IF(REGEXMATCH(S249, ""Frente pelo Desencarceramento SP""), ""Frente Pelo Desencarceramento SP"",
   IF(REGEXMATCH(S249, ""TV ABA""), "&amp;"""TV ABA"",
   IF(REGEXMATCH(S249, ""TV SENADO""), ""TV Senado"",
   IF(REGEXMATCH(S249, ""Canal USP""), ""Canal USP"",
   IF(REGEXMATCH(S249, ""Douer, Zack|Zack Douer""), ""Douer Zack"",
   IF(REGEXMATCH(S249, ""PRISIONEIRO 84\.901|PRISIONEIRO 84""), ""P"&amp;"risioneiro 84.901"",
   IF(REGEXMATCH(S249, ""^[^,]*, ""), 
        PROPER(REGEXREPLACE(REGEXEXTRACT(S249, ""^([^.]*)\.""), ""^([^,]*), (.*)"", ""$2 $1"")),
        PROPER(REGEXEXTRACT(S249, ""^([^.]*)\.""))
   )))))))))&amp;"")"",
IF(REGEXMATCH(S249, ""Spot"&amp;"ify|spotify""), 
   ""Spotify (""&amp;
   IF(REGEXMATCH(S249, ""ESTRANHO SORRISO""), ""Estranho Sorriso"",
   PROPER(REGEXEXTRACT(S249, ""^([^.]*)\.""))
   )&amp;"")"",
IF(REGEXMATCH(S249, ""Vimeo|vimeo""), 
   ""Vimeo (""&amp;
   IF(REGEXMATCH(S249, ""Passa Palavra"&amp;"""), ""Passa Palavra"",
   PROPER(REGEXEXTRACT(S249, ""^([^.]*)\.""))
   )&amp;"")"",
IF(REGEXMATCH(S249, ""Blogspot""), 
   ""Blogspot (""&amp;
   IF(REGEXMATCH(S249, ""rede2deoutubro""), ""Rede 02 de Outubro"",
   PROPER(REGEXEXTRACT(S249, ""^([^.]*)\.""))
   "&amp;")&amp;"")"",
IF(REGEXMATCH(S249, ""Facebook""), 
   ""Facebook (""&amp;
   IF(REGEXMATCH(S249, ""Mídia Ninja""), ""Mídia Ninja"",
   PROPER(REGEXEXTRACT(S249, ""^([^.]*)\.""))
   )&amp;"")"",
IF(REGEXMATCH(S249, ""Instagram""), 
   ""Instagram (""&amp;
   IF(REGEXMATCH"&amp;"(S249, ""Memórias Carandiru""), ""Memórias Carandiru"",
   PROPER(REGEXEXTRACT(S249, ""^([^.]*)\.""))
   )&amp;"")"",
IF(REGEXMATCH(S249, ""Folha de S\. Paulo|FOLHA DE S\. PAULO""), ""Folha de S. Paulo"",
IF(REGEXMATCH(S249, ""O Estado de S\. Paulo|ESTADAO"""&amp;"), ""O Estado de S. Paulo"",
IF(REGEXMATCH(S249, ""salasecreta""), ""Wordpress (Sala Secreta)"",
IF(REGEXMATCH(S249, ""Wikipedia|Wikipédia|WIKIPÉDIA""), ""Wikipedia"",
IF(REGEXMATCH(S249, ""VEJA|Veja""), ""Veja Abril"",
IF(REGEXMATCH(S522, ""Rede Globo|RE"&amp;"DE GLOBO""), ""Rede Globo"",
IF(REGEXMATCH(S522, ""G1|globo\.com""), ""G1"",
IF(REGEXMATCH(S249, ""Deutsche Welle|DW\.com""), ""Deutsche Welle"",
IF(REGEXMATCH(S249, ""CIDH|Comissão Interamericana""), ""Comissão Interamericana de Direitos Humanos (CIDH)"""&amp;",
IF(REGEXMATCH(S249, ""Pastoral Carcerária""), ""Pastoral Carcerária"",
IF(REGEXMATCH(S249, ""Esquerda Web""), ""Esquerda Web"",
IF(REGEXMATCH(S249, ""ONU|Organização das Nações Unidas""), ""ONU Brasil"",
IF(REGEXMATCH(S249, ""Quilombo Invisível""), ""Qu"&amp;"ilombo Invisível"",
IF(REGEXMATCH(S249, ""ALESP|Assembleia Legislativa""), ""ALESP"",
IF(REGEXMATCH(S249, ""Revista Opera""), ""Revista Opera"",
IF(REGEXMATCH(S249, ""SP Escola de Teatro""), ""SP Escola de Teatro"",
IF(REGEXMATCH(S249, ""EMC|Espaço Memóri"&amp;"a Carandiru""), ""EMC Espaço Memória Carandiru"",
IF(REGEXMATCH(S249, ""^RAMOS, Nuno|Nuno Ramos""), ""Nuno Ramos"",
IF(REGEXMATCH(S249, ""^VELOSO, Caetano|Caetano Veloso""), ""YouTube (Caetano Veloso)"",
IF(REGEXMATCH(S249, ""^FATOS REAIS""), ""YouTube ("&amp;"Fatos Reais - Topic)"",
IF(REGEXMATCH(S249, ""^SALA SECRETA""), ""Wordpress (Sala Secreta)"",
PROPER(REGEXEXTRACT(S249, ""^([^.]*)\.""))
))))))))))))))))))))))))))))))))))))))))))))))))))))))))"),"Instagram (Memórias Carandiru)")</f>
        <v>Instagram (Memórias Carandiru)</v>
      </c>
      <c r="N249" s="11" t="s">
        <v>47</v>
      </c>
      <c r="O249" s="11" t="s">
        <v>221</v>
      </c>
      <c r="P249" s="51">
        <v>45854.0</v>
      </c>
      <c r="Q249" s="11" t="s">
        <v>154</v>
      </c>
      <c r="R249" s="70" t="str">
        <f t="shared" si="8"/>
        <v>Aqui</v>
      </c>
      <c r="S249" s="75" t="s">
        <v>1039</v>
      </c>
    </row>
    <row r="250">
      <c r="A250" s="11">
        <v>248.0</v>
      </c>
      <c r="B250" s="14" t="s">
        <v>485</v>
      </c>
      <c r="C250" s="12" t="str">
        <f>IFERROR(__xludf.DUMMYFUNCTION("IF(B250="""","""",IF(OR(
  REGEXMATCH(B250,""Performance|Instalação|Álbum|Música|Poema|Livro|Filme|Documentário|Recitação|Espetáculo|Peça|Intervenção|Desfile|Fotografia|Exposição|Charge|Grafite|Leitura pública|Fabricação de cachaça artesanal""),
  REGEXMA"&amp;"TCH(B250,""dança|teatral|artístico|musical|artística"")
),""Manifestação artístico-cultural"",
IF(OR(
  REGEXMATCH(B250,""Crônica|Série|Reportagem|Podcast|Audiotour|Entrevista|Vídeo|Rádio""),
  REGEXMATCH(B250,""midiática"")
),""Produção midiática"","""")"&amp;"))
"),"Manifestação artístico-cultural")</f>
        <v>Manifestação artístico-cultural</v>
      </c>
      <c r="D250" s="13" t="str">
        <f>IFERROR(__xludf.DUMMYFUNCTION("IF(B250="""","""",IF(OR(
  REGEXMATCH(B250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REGEXMATCH(B250,""público|Imediato|artística|teatral|memória"")
),""Público Imediato"",
IF(REGEXMATCH(B250,""Música|Álbum|Filme|Documentário|Série|Podc"&amp;"ast|Rádio|Audiotour|Entrevista|Reportagem|Crônica|Relatório|Abaixo-assinado|Manifesto|Petição|Poema|Livro|Fotografia|Curta|Live|Webinário|Charge|Leitura pública|Vídeo""),
""Público Mediado"","""")))
"),"Público Imediato")</f>
        <v>Público Imediato</v>
      </c>
      <c r="E250" s="13" t="str">
        <f>IFERROR(__xludf.DUMMYFUNCTION("IF(B250="""","""",IF(OR(
  REGEXMATCH(B250,""Live|Webinário|Virtual""),
  REGEXMATCH(B250,""online"")
),""Virtual"",
IF(REGEXMATCH(B250,""Música|Álbum|Filme|Documentário|Série|Podcast|Rádio|Audiotour|Episódio|Reportagem|Curta|Charge|Livro|Vídeo|Entrevista"&amp;"""),
""Midiático"",
IF(REGEXMATCH(B250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0" s="186">
        <v>45843.0</v>
      </c>
      <c r="G250" s="15">
        <f t="shared" si="1"/>
        <v>2025</v>
      </c>
      <c r="H250" s="14" t="s">
        <v>733</v>
      </c>
      <c r="I250" s="175" t="s">
        <v>1040</v>
      </c>
      <c r="J250" s="202" t="s">
        <v>1041</v>
      </c>
      <c r="K250" s="16" t="s">
        <v>736</v>
      </c>
      <c r="L250" s="18" t="s">
        <v>489</v>
      </c>
      <c r="M250" s="15" t="str">
        <f>IFERROR(__xludf.DUMMYFUNCTION("IF(REGEXMATCH(S250, ""Companhia das Letras""), ""Companhia das Letras"",
IF(REGEXMATCH(S250, ""Labortexto Editorial""), ""Labortexto Editorial"",
IF(REGEXMATCH(S250, ""Geração Editorial""), ""Geração Editorial"",
IF(REGEXMATCH(S250, ""Editora Imprensa Ofi"&amp;"cial|Imprensa Oficial""), ""Editora Imprensa Oficial"",
IF(REGEXMATCH(S250, ""Folha Online""), ""Folha Online"",
IF(REGEXMATCH(S250, ""FGV DIREITO SP|FGV Direito SP""), ""FGV DIREITO SP"",
IF(REGEXMATCH(S250, ""massacrecarandiru\.org\.br""), ""Memória Mas"&amp;"sacre Carandiru"",
IF(REGEXMATCH(S250, ""Itaú Cultural""), ""YouTube (Itaú Cultural)"",
IF(REGEXMATCH(S250, ""Passa Palavra""), ""Vimeo (Passa Palavra)"",
IF(REGEXMATCH(S250, ""rede2deoutubro\.blogspot""), ""Blogspot (Rede 02 de Outubro)"",
IF(REGEXMATCH("&amp;"S250, ""Rede TVT""), ""YouTube (Rede TVT)"",
IF(REGEXMATCH(S250, ""Esquerda Diário""), ""Esquerda Diário"",
IF(REGEXMATCH(S250, ""GZH""), ""GZH"",
IF(REGEXMATCH(S250, ""TVPUC""), ""TVPUC"",
IF(REGEXMATCH(S250, ""Mídia Ninja.*Facebook""), ""Facebook (Mídia"&amp;" Ninja)"",
IF(REGEXMATCH(S250, ""Memórias Carandiru.*Instagram""), ""Instagram (Memórias Carandiru)"",
IF(REGEXMATCH(S250, ""Frente pelo Desencarceramento SP""), ""YouTube (Frente Pelo Desencarceramento SP)"",
IF(REGEXMATCH(S250, ""TV ABA""), ""YouTube (T"&amp;"V ABA)"",
IF(REGEXMATCH(S250, ""TV SENADO""), ""YouTube (TV Senado)"",
IF(REGEXMATCH(S250, ""Google Arts &amp; Culture""), ""Google Arts &amp; Culture (Memória Massacre Carandiru)"",
IF(REGEXMATCH(S250, ""Anistia Internacional|ANISTIA INTERNACIONAL""), ""Anistia "&amp;"Internacional"",
IF(REGEXMATCH(S250, ""47\.mostra|47a Mostra""), ""47a Mostra Internacional de Cinema em São Paulo"",
IF(REGEXMATCH(S250, ""Canal USP""), ""YouTube (Canal USP)"",
IF(AND(
  REGEXMATCH(S250, ""(?i)(teses?\.usp\.br|dissertacoes?\.usp\.br|rep"&amp;"ositorio\.usp\.br)""),
  NOT(REGEXMATCH(S250, ""Canal USP""))
), ""Biblioteca Digital de Teses e Dissertações da USP"",
IF(REGEXMATCH(S250, ""SINTRAJUSC""), ""SINTRAJUSC"",
IF(REGEXMATCH(S250, ""Agência Brasil|Agencia Brasil""), ""Agência Brasil"",
IF(REG"&amp;"EXMATCH(S250, ""Brasil de Fato""), ""Brasil de Fato"",
IF(REGEXMATCH(S250, ""Ponte Jornalismo|pontejornalismo""), ""Ponte Jornalismo"",
IF(REGEXMATCH(S250, ""letras\.mus\.br|Letras,""), ""Letras"",
IF(REGEXMATCH(S250, ""YouTube|youtube""), 
   ""YouTube "&amp;"(""&amp;
   IF(REGEXMATCH(S250, ""Itaú Cultural""), ""Itaú Cultural"",
   IF(REGEXMATCH(S250, ""Rede TVT""), ""Rede TVT"",
   IF(REGEXMATCH(S250, ""Frente pelo Desencarceramento SP""), ""Frente Pelo Desencarceramento SP"",
   IF(REGEXMATCH(S250, ""TV ABA""), "&amp;"""TV ABA"",
   IF(REGEXMATCH(S250, ""TV SENADO""), ""TV Senado"",
   IF(REGEXMATCH(S250, ""Canal USP""), ""Canal USP"",
   IF(REGEXMATCH(S250, ""Douer, Zack|Zack Douer""), ""Douer Zack"",
   IF(REGEXMATCH(S250, ""PRISIONEIRO 84\.901|PRISIONEIRO 84""), ""P"&amp;"risioneiro 84.901"",
   IF(REGEXMATCH(S250, ""^[^,]*, ""), 
        PROPER(REGEXREPLACE(REGEXEXTRACT(S250, ""^([^.]*)\.""), ""^([^,]*), (.*)"", ""$2 $1"")),
        PROPER(REGEXEXTRACT(S250, ""^([^.]*)\.""))
   )))))))))&amp;"")"",
IF(REGEXMATCH(S250, ""Spot"&amp;"ify|spotify""), 
   ""Spotify (""&amp;
   IF(REGEXMATCH(S250, ""ESTRANHO SORRISO""), ""Estranho Sorriso"",
   PROPER(REGEXEXTRACT(S250, ""^([^.]*)\.""))
   )&amp;"")"",
IF(REGEXMATCH(S250, ""Vimeo|vimeo""), 
   ""Vimeo (""&amp;
   IF(REGEXMATCH(S250, ""Passa Palavra"&amp;"""), ""Passa Palavra"",
   PROPER(REGEXEXTRACT(S250, ""^([^.]*)\.""))
   )&amp;"")"",
IF(REGEXMATCH(S250, ""Blogspot""), 
   ""Blogspot (""&amp;
   IF(REGEXMATCH(S250, ""rede2deoutubro""), ""Rede 02 de Outubro"",
   PROPER(REGEXEXTRACT(S250, ""^([^.]*)\.""))
   "&amp;")&amp;"")"",
IF(REGEXMATCH(S250, ""Facebook""), 
   ""Facebook (""&amp;
   IF(REGEXMATCH(S250, ""Mídia Ninja""), ""Mídia Ninja"",
   PROPER(REGEXEXTRACT(S250, ""^([^.]*)\.""))
   )&amp;"")"",
IF(REGEXMATCH(S250, ""Instagram""), 
   ""Instagram (""&amp;
   IF(REGEXMATCH"&amp;"(S250, ""Memórias Carandiru""), ""Memórias Carandiru"",
   PROPER(REGEXEXTRACT(S250, ""^([^.]*)\.""))
   )&amp;"")"",
IF(REGEXMATCH(S250, ""Folha de S\. Paulo|FOLHA DE S\. PAULO""), ""Folha de S. Paulo"",
IF(REGEXMATCH(S250, ""O Estado de S\. Paulo|ESTADAO"""&amp;"), ""O Estado de S. Paulo"",
IF(REGEXMATCH(S250, ""salasecreta""), ""Wordpress (Sala Secreta)"",
IF(REGEXMATCH(S250, ""Wikipedia|Wikipédia|WIKIPÉDIA""), ""Wikipedia"",
IF(REGEXMATCH(S250, ""VEJA|Veja""), ""Veja Abril"",
IF(REGEXMATCH(S523, ""Rede Globo|RE"&amp;"DE GLOBO""), ""Rede Globo"",
IF(REGEXMATCH(S523, ""G1|globo\.com""), ""G1"",
IF(REGEXMATCH(S250, ""Deutsche Welle|DW\.com""), ""Deutsche Welle"",
IF(REGEXMATCH(S250, ""CIDH|Comissão Interamericana""), ""Comissão Interamericana de Direitos Humanos (CIDH)"""&amp;",
IF(REGEXMATCH(S250, ""Pastoral Carcerária""), ""Pastoral Carcerária"",
IF(REGEXMATCH(S250, ""Esquerda Web""), ""Esquerda Web"",
IF(REGEXMATCH(S250, ""ONU|Organização das Nações Unidas""), ""ONU Brasil"",
IF(REGEXMATCH(S250, ""Quilombo Invisível""), ""Qu"&amp;"ilombo Invisível"",
IF(REGEXMATCH(S250, ""ALESP|Assembleia Legislativa""), ""ALESP"",
IF(REGEXMATCH(S250, ""Revista Opera""), ""Revista Opera"",
IF(REGEXMATCH(S250, ""SP Escola de Teatro""), ""SP Escola de Teatro"",
IF(REGEXMATCH(S250, ""EMC|Espaço Memóri"&amp;"a Carandiru""), ""EMC Espaço Memória Carandiru"",
IF(REGEXMATCH(S250, ""^RAMOS, Nuno|Nuno Ramos""), ""Nuno Ramos"",
IF(REGEXMATCH(S250, ""^VELOSO, Caetano|Caetano Veloso""), ""YouTube (Caetano Veloso)"",
IF(REGEXMATCH(S250, ""^FATOS REAIS""), ""YouTube ("&amp;"Fatos Reais - Topic)"",
IF(REGEXMATCH(S250, ""^SALA SECRETA""), ""Wordpress (Sala Secreta)"",
PROPER(REGEXEXTRACT(S250, ""^([^.]*)\.""))
))))))))))))))))))))))))))))))))))))))))))))))))))))))))"),"Instagram (Memórias Carandiru)")</f>
        <v>Instagram (Memórias Carandiru)</v>
      </c>
      <c r="N250" s="11" t="s">
        <v>47</v>
      </c>
      <c r="O250" s="14" t="s">
        <v>149</v>
      </c>
      <c r="P250" s="186">
        <v>45857.0</v>
      </c>
      <c r="Q250" s="11" t="s">
        <v>154</v>
      </c>
      <c r="R250" s="70" t="str">
        <f t="shared" si="8"/>
        <v>Aqui</v>
      </c>
      <c r="S250" s="75" t="s">
        <v>1042</v>
      </c>
    </row>
    <row r="251">
      <c r="A251" s="11">
        <v>249.0</v>
      </c>
      <c r="B251" s="14" t="s">
        <v>485</v>
      </c>
      <c r="C251" s="12" t="str">
        <f>IFERROR(__xludf.DUMMYFUNCTION("IF(B251="""","""",IF(OR(
  REGEXMATCH(B251,""Performance|Instalação|Álbum|Música|Poema|Livro|Filme|Documentário|Recitação|Espetáculo|Peça|Intervenção|Desfile|Fotografia|Exposição|Charge|Grafite|Leitura pública|Fabricação de cachaça artesanal""),
  REGEXMA"&amp;"TCH(B251,""dança|teatral|artístico|musical|artística"")
),""Manifestação artístico-cultural"",
IF(OR(
  REGEXMATCH(B251,""Crônica|Série|Reportagem|Podcast|Audiotour|Entrevista|Vídeo|Rádio""),
  REGEXMATCH(B251,""midiática"")
),""Produção midiática"","""")"&amp;"))
"),"Manifestação artístico-cultural")</f>
        <v>Manifestação artístico-cultural</v>
      </c>
      <c r="D251" s="13" t="str">
        <f>IFERROR(__xludf.DUMMYFUNCTION("IF(B251="""","""",IF(OR(
  REGEXMATCH(B251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REGEXMATCH(B251,""público|Imediato|artística|teatral|memória"")
),""Público Imediato"",
IF(REGEXMATCH(B251,""Música|Álbum|Filme|Documentário|Série|Podc"&amp;"ast|Rádio|Audiotour|Entrevista|Reportagem|Crônica|Relatório|Abaixo-assinado|Manifesto|Petição|Poema|Livro|Fotografia|Curta|Live|Webinário|Charge|Leitura pública|Vídeo""),
""Público Mediado"","""")))
"),"Público Imediato")</f>
        <v>Público Imediato</v>
      </c>
      <c r="E251" s="13" t="str">
        <f>IFERROR(__xludf.DUMMYFUNCTION("IF(B251="""","""",IF(OR(
  REGEXMATCH(B251,""Live|Webinário|Virtual""),
  REGEXMATCH(B251,""online"")
),""Virtual"",
IF(REGEXMATCH(B251,""Música|Álbum|Filme|Documentário|Série|Podcast|Rádio|Audiotour|Episódio|Reportagem|Curta|Charge|Livro|Vídeo|Entrevista"&amp;"""),
""Midiático"",
IF(REGEXMATCH(B251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1" s="186">
        <v>45878.0</v>
      </c>
      <c r="G251" s="15">
        <f t="shared" si="1"/>
        <v>2025</v>
      </c>
      <c r="H251" s="14" t="s">
        <v>733</v>
      </c>
      <c r="I251" s="175" t="s">
        <v>439</v>
      </c>
      <c r="J251" s="202" t="s">
        <v>1043</v>
      </c>
      <c r="K251" s="16" t="s">
        <v>736</v>
      </c>
      <c r="L251" s="18" t="s">
        <v>489</v>
      </c>
      <c r="M251" s="15" t="str">
        <f>IFERROR(__xludf.DUMMYFUNCTION("IF(REGEXMATCH(S251, ""Companhia das Letras""), ""Companhia das Letras"",
IF(REGEXMATCH(S251, ""Labortexto Editorial""), ""Labortexto Editorial"",
IF(REGEXMATCH(S251, ""Geração Editorial""), ""Geração Editorial"",
IF(REGEXMATCH(S251, ""Editora Imprensa Ofi"&amp;"cial|Imprensa Oficial""), ""Editora Imprensa Oficial"",
IF(REGEXMATCH(S251, ""Folha Online""), ""Folha Online"",
IF(REGEXMATCH(S251, ""FGV DIREITO SP|FGV Direito SP""), ""FGV DIREITO SP"",
IF(REGEXMATCH(S251, ""massacrecarandiru\.org\.br""), ""Memória Mas"&amp;"sacre Carandiru"",
IF(REGEXMATCH(S251, ""Itaú Cultural""), ""YouTube (Itaú Cultural)"",
IF(REGEXMATCH(S251, ""Passa Palavra""), ""Vimeo (Passa Palavra)"",
IF(REGEXMATCH(S251, ""rede2deoutubro\.blogspot""), ""Blogspot (Rede 02 de Outubro)"",
IF(REGEXMATCH("&amp;"S251, ""Rede TVT""), ""YouTube (Rede TVT)"",
IF(REGEXMATCH(S251, ""Esquerda Diário""), ""Esquerda Diário"",
IF(REGEXMATCH(S251, ""GZH""), ""GZH"",
IF(REGEXMATCH(S251, ""TVPUC""), ""TVPUC"",
IF(REGEXMATCH(S251, ""Mídia Ninja.*Facebook""), ""Facebook (Mídia"&amp;" Ninja)"",
IF(REGEXMATCH(S251, ""Memórias Carandiru.*Instagram""), ""Instagram (Memórias Carandiru)"",
IF(REGEXMATCH(S251, ""Frente pelo Desencarceramento SP""), ""YouTube (Frente Pelo Desencarceramento SP)"",
IF(REGEXMATCH(S251, ""TV ABA""), ""YouTube (T"&amp;"V ABA)"",
IF(REGEXMATCH(S251, ""TV SENADO""), ""YouTube (TV Senado)"",
IF(REGEXMATCH(S251, ""Google Arts &amp; Culture""), ""Google Arts &amp; Culture (Memória Massacre Carandiru)"",
IF(REGEXMATCH(S251, ""Anistia Internacional|ANISTIA INTERNACIONAL""), ""Anistia "&amp;"Internacional"",
IF(REGEXMATCH(S251, ""47\.mostra|47a Mostra""), ""47a Mostra Internacional de Cinema em São Paulo"",
IF(REGEXMATCH(S251, ""Canal USP""), ""YouTube (Canal USP)"",
IF(AND(
  REGEXMATCH(S251, ""(?i)(teses?\.usp\.br|dissertacoes?\.usp\.br|rep"&amp;"ositorio\.usp\.br)""),
  NOT(REGEXMATCH(S251, ""Canal USP""))
), ""Biblioteca Digital de Teses e Dissertações da USP"",
IF(REGEXMATCH(S251, ""SINTRAJUSC""), ""SINTRAJUSC"",
IF(REGEXMATCH(S251, ""Agência Brasil|Agencia Brasil""), ""Agência Brasil"",
IF(REG"&amp;"EXMATCH(S251, ""Brasil de Fato""), ""Brasil de Fato"",
IF(REGEXMATCH(S251, ""Ponte Jornalismo|pontejornalismo""), ""Ponte Jornalismo"",
IF(REGEXMATCH(S251, ""letras\.mus\.br|Letras,""), ""Letras"",
IF(REGEXMATCH(S251, ""YouTube|youtube""), 
   ""YouTube "&amp;"(""&amp;
   IF(REGEXMATCH(S251, ""Itaú Cultural""), ""Itaú Cultural"",
   IF(REGEXMATCH(S251, ""Rede TVT""), ""Rede TVT"",
   IF(REGEXMATCH(S251, ""Frente pelo Desencarceramento SP""), ""Frente Pelo Desencarceramento SP"",
   IF(REGEXMATCH(S251, ""TV ABA""), "&amp;"""TV ABA"",
   IF(REGEXMATCH(S251, ""TV SENADO""), ""TV Senado"",
   IF(REGEXMATCH(S251, ""Canal USP""), ""Canal USP"",
   IF(REGEXMATCH(S251, ""Douer, Zack|Zack Douer""), ""Douer Zack"",
   IF(REGEXMATCH(S251, ""PRISIONEIRO 84\.901|PRISIONEIRO 84""), ""P"&amp;"risioneiro 84.901"",
   IF(REGEXMATCH(S251, ""^[^,]*, ""), 
        PROPER(REGEXREPLACE(REGEXEXTRACT(S251, ""^([^.]*)\.""), ""^([^,]*), (.*)"", ""$2 $1"")),
        PROPER(REGEXEXTRACT(S251, ""^([^.]*)\.""))
   )))))))))&amp;"")"",
IF(REGEXMATCH(S251, ""Spot"&amp;"ify|spotify""), 
   ""Spotify (""&amp;
   IF(REGEXMATCH(S251, ""ESTRANHO SORRISO""), ""Estranho Sorriso"",
   PROPER(REGEXEXTRACT(S251, ""^([^.]*)\.""))
   )&amp;"")"",
IF(REGEXMATCH(S251, ""Vimeo|vimeo""), 
   ""Vimeo (""&amp;
   IF(REGEXMATCH(S251, ""Passa Palavra"&amp;"""), ""Passa Palavra"",
   PROPER(REGEXEXTRACT(S251, ""^([^.]*)\.""))
   )&amp;"")"",
IF(REGEXMATCH(S251, ""Blogspot""), 
   ""Blogspot (""&amp;
   IF(REGEXMATCH(S251, ""rede2deoutubro""), ""Rede 02 de Outubro"",
   PROPER(REGEXEXTRACT(S251, ""^([^.]*)\.""))
   "&amp;")&amp;"")"",
IF(REGEXMATCH(S251, ""Facebook""), 
   ""Facebook (""&amp;
   IF(REGEXMATCH(S251, ""Mídia Ninja""), ""Mídia Ninja"",
   PROPER(REGEXEXTRACT(S251, ""^([^.]*)\.""))
   )&amp;"")"",
IF(REGEXMATCH(S251, ""Instagram""), 
   ""Instagram (""&amp;
   IF(REGEXMATCH"&amp;"(S251, ""Memórias Carandiru""), ""Memórias Carandiru"",
   PROPER(REGEXEXTRACT(S251, ""^([^.]*)\.""))
   )&amp;"")"",
IF(REGEXMATCH(S251, ""Folha de S\. Paulo|FOLHA DE S\. PAULO""), ""Folha de S. Paulo"",
IF(REGEXMATCH(S251, ""O Estado de S\. Paulo|ESTADAO"""&amp;"), ""O Estado de S. Paulo"",
IF(REGEXMATCH(S251, ""salasecreta""), ""Wordpress (Sala Secreta)"",
IF(REGEXMATCH(S251, ""Wikipedia|Wikipédia|WIKIPÉDIA""), ""Wikipedia"",
IF(REGEXMATCH(S251, ""VEJA|Veja""), ""Veja Abril"",
IF(REGEXMATCH(S524, ""Rede Globo|RE"&amp;"DE GLOBO""), ""Rede Globo"",
IF(REGEXMATCH(S524, ""G1|globo\.com""), ""G1"",
IF(REGEXMATCH(S251, ""Deutsche Welle|DW\.com""), ""Deutsche Welle"",
IF(REGEXMATCH(S251, ""CIDH|Comissão Interamericana""), ""Comissão Interamericana de Direitos Humanos (CIDH)"""&amp;",
IF(REGEXMATCH(S251, ""Pastoral Carcerária""), ""Pastoral Carcerária"",
IF(REGEXMATCH(S251, ""Esquerda Web""), ""Esquerda Web"",
IF(REGEXMATCH(S251, ""ONU|Organização das Nações Unidas""), ""ONU Brasil"",
IF(REGEXMATCH(S251, ""Quilombo Invisível""), ""Qu"&amp;"ilombo Invisível"",
IF(REGEXMATCH(S251, ""ALESP|Assembleia Legislativa""), ""ALESP"",
IF(REGEXMATCH(S251, ""Revista Opera""), ""Revista Opera"",
IF(REGEXMATCH(S251, ""SP Escola de Teatro""), ""SP Escola de Teatro"",
IF(REGEXMATCH(S251, ""EMC|Espaço Memóri"&amp;"a Carandiru""), ""EMC Espaço Memória Carandiru"",
IF(REGEXMATCH(S251, ""^RAMOS, Nuno|Nuno Ramos""), ""Nuno Ramos"",
IF(REGEXMATCH(S251, ""^VELOSO, Caetano|Caetano Veloso""), ""YouTube (Caetano Veloso)"",
IF(REGEXMATCH(S251, ""^FATOS REAIS""), ""YouTube ("&amp;"Fatos Reais - Topic)"",
IF(REGEXMATCH(S251, ""^SALA SECRETA""), ""Wordpress (Sala Secreta)"",
PROPER(REGEXEXTRACT(S251, ""^([^.]*)\.""))
))))))))))))))))))))))))))))))))))))))))))))))))))))))))"),"Google Arts &amp; Culture (Memória Massacre Carandiru)")</f>
        <v>Google Arts &amp; Culture (Memória Massacre Carandiru)</v>
      </c>
      <c r="N251" s="11" t="s">
        <v>47</v>
      </c>
      <c r="O251" s="14" t="s">
        <v>149</v>
      </c>
      <c r="P251" s="186">
        <v>45857.0</v>
      </c>
      <c r="Q251" s="11" t="s">
        <v>154</v>
      </c>
      <c r="R251" s="70" t="str">
        <f t="shared" si="8"/>
        <v>Aqui</v>
      </c>
      <c r="S251" s="75" t="s">
        <v>1044</v>
      </c>
    </row>
    <row r="252">
      <c r="A252" s="11">
        <v>250.0</v>
      </c>
      <c r="B252" s="11" t="s">
        <v>799</v>
      </c>
      <c r="C252" s="122" t="s">
        <v>165</v>
      </c>
      <c r="D252" s="13" t="str">
        <f>IFERROR(__xludf.DUMMYFUNCTION("IF(B252="""","""",IF(OR(
  REGEXMATCH(B252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REGEXMATCH(B252,""público|Imediato|artística|teatral|memória"")
),""Público Imediato"",
IF(REGEXMATCH(B252,""Música|Álbum|Filme|Documentário|Série|Podc"&amp;"ast|Rádio|Audiotour|Entrevista|Reportagem|Crônica|Relatório|Abaixo-assinado|Manifesto|Petição|Poema|Livro|Fotografia|Curta|Live|Webinário|Charge|Leitura pública|Vídeo""),
""Público Mediado"","""")))
"),"Público Imediato")</f>
        <v>Público Imediato</v>
      </c>
      <c r="E252" s="13" t="str">
        <f>IFERROR(__xludf.DUMMYFUNCTION("IF(B252="""","""",IF(OR(
  REGEXMATCH(B252,""Live|Webinário|Virtual""),
  REGEXMATCH(B252,""online"")
),""Virtual"",
IF(REGEXMATCH(B252,""Música|Álbum|Filme|Documentário|Série|Podcast|Rádio|Audiotour|Episódio|Reportagem|Curta|Charge|Livro|Vídeo|Entrevista"&amp;"""),
""Midiático"",
IF(REGEXMATCH(B252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2" s="183">
        <v>45885.0</v>
      </c>
      <c r="G252" s="15">
        <f t="shared" si="1"/>
        <v>2025</v>
      </c>
      <c r="H252" s="11" t="s">
        <v>1045</v>
      </c>
      <c r="I252" s="175" t="s">
        <v>741</v>
      </c>
      <c r="J252" s="17" t="s">
        <v>1046</v>
      </c>
      <c r="K252" s="16" t="s">
        <v>736</v>
      </c>
      <c r="L252" s="18" t="s">
        <v>489</v>
      </c>
      <c r="M252" s="15" t="str">
        <f>IFERROR(__xludf.DUMMYFUNCTION("IF(REGEXMATCH(S252, ""Companhia das Letras""), ""Companhia das Letras"",
IF(REGEXMATCH(S252, ""Labortexto Editorial""), ""Labortexto Editorial"",
IF(REGEXMATCH(S252, ""Geração Editorial""), ""Geração Editorial"",
IF(REGEXMATCH(S252, ""Editora Imprensa Ofi"&amp;"cial|Imprensa Oficial""), ""Editora Imprensa Oficial"",
IF(REGEXMATCH(S252, ""Folha Online""), ""Folha Online"",
IF(REGEXMATCH(S252, ""FGV DIREITO SP|FGV Direito SP""), ""FGV DIREITO SP"",
IF(REGEXMATCH(S252, ""massacrecarandiru\.org\.br""), ""Memória Mas"&amp;"sacre Carandiru"",
IF(REGEXMATCH(S252, ""Itaú Cultural""), ""YouTube (Itaú Cultural)"",
IF(REGEXMATCH(S252, ""Passa Palavra""), ""Vimeo (Passa Palavra)"",
IF(REGEXMATCH(S252, ""rede2deoutubro\.blogspot""), ""Blogspot (Rede 02 de Outubro)"",
IF(REGEXMATCH("&amp;"S252, ""Rede TVT""), ""YouTube (Rede TVT)"",
IF(REGEXMATCH(S252, ""Esquerda Diário""), ""Esquerda Diário"",
IF(REGEXMATCH(S252, ""GZH""), ""GZH"",
IF(REGEXMATCH(S252, ""TVPUC""), ""TVPUC"",
IF(REGEXMATCH(S252, ""Mídia Ninja.*Facebook""), ""Facebook (Mídia"&amp;" Ninja)"",
IF(REGEXMATCH(S252, ""Memórias Carandiru.*Instagram""), ""Instagram (Memórias Carandiru)"",
IF(REGEXMATCH(S252, ""Frente pelo Desencarceramento SP""), ""YouTube (Frente Pelo Desencarceramento SP)"",
IF(REGEXMATCH(S252, ""TV ABA""), ""YouTube (T"&amp;"V ABA)"",
IF(REGEXMATCH(S252, ""TV SENADO""), ""YouTube (TV Senado)"",
IF(REGEXMATCH(S252, ""Google Arts &amp; Culture""), ""Google Arts &amp; Culture (Memória Massacre Carandiru)"",
IF(REGEXMATCH(S252, ""Anistia Internacional|ANISTIA INTERNACIONAL""), ""Anistia "&amp;"Internacional"",
IF(REGEXMATCH(S252, ""47\.mostra|47a Mostra""), ""47a Mostra Internacional de Cinema em São Paulo"",
IF(REGEXMATCH(S252, ""Canal USP""), ""YouTube (Canal USP)"",
IF(AND(
  REGEXMATCH(S252, ""(?i)(teses?\.usp\.br|dissertacoes?\.usp\.br|rep"&amp;"ositorio\.usp\.br)""),
  NOT(REGEXMATCH(S252, ""Canal USP""))
), ""Biblioteca Digital de Teses e Dissertações da USP"",
IF(REGEXMATCH(S252, ""SINTRAJUSC""), ""SINTRAJUSC"",
IF(REGEXMATCH(S252, ""Agência Brasil|Agencia Brasil""), ""Agência Brasil"",
IF(REG"&amp;"EXMATCH(S252, ""Brasil de Fato""), ""Brasil de Fato"",
IF(REGEXMATCH(S252, ""Ponte Jornalismo|pontejornalismo""), ""Ponte Jornalismo"",
IF(REGEXMATCH(S252, ""letras\.mus\.br|Letras,""), ""Letras"",
IF(REGEXMATCH(S252, ""YouTube|youtube""), 
   ""YouTube "&amp;"(""&amp;
   IF(REGEXMATCH(S252, ""Itaú Cultural""), ""Itaú Cultural"",
   IF(REGEXMATCH(S252, ""Rede TVT""), ""Rede TVT"",
   IF(REGEXMATCH(S252, ""Frente pelo Desencarceramento SP""), ""Frente Pelo Desencarceramento SP"",
   IF(REGEXMATCH(S252, ""TV ABA""), "&amp;"""TV ABA"",
   IF(REGEXMATCH(S252, ""TV SENADO""), ""TV Senado"",
   IF(REGEXMATCH(S252, ""Canal USP""), ""Canal USP"",
   IF(REGEXMATCH(S252, ""Douer, Zack|Zack Douer""), ""Douer Zack"",
   IF(REGEXMATCH(S252, ""PRISIONEIRO 84\.901|PRISIONEIRO 84""), ""P"&amp;"risioneiro 84.901"",
   IF(REGEXMATCH(S252, ""^[^,]*, ""), 
        PROPER(REGEXREPLACE(REGEXEXTRACT(S252, ""^([^.]*)\.""), ""^([^,]*), (.*)"", ""$2 $1"")),
        PROPER(REGEXEXTRACT(S252, ""^([^.]*)\.""))
   )))))))))&amp;"")"",
IF(REGEXMATCH(S252, ""Spot"&amp;"ify|spotify""), 
   ""Spotify (""&amp;
   IF(REGEXMATCH(S252, ""ESTRANHO SORRISO""), ""Estranho Sorriso"",
   PROPER(REGEXEXTRACT(S252, ""^([^.]*)\.""))
   )&amp;"")"",
IF(REGEXMATCH(S252, ""Vimeo|vimeo""), 
   ""Vimeo (""&amp;
   IF(REGEXMATCH(S252, ""Passa Palavra"&amp;"""), ""Passa Palavra"",
   PROPER(REGEXEXTRACT(S252, ""^([^.]*)\.""))
   )&amp;"")"",
IF(REGEXMATCH(S252, ""Blogspot""), 
   ""Blogspot (""&amp;
   IF(REGEXMATCH(S252, ""rede2deoutubro""), ""Rede 02 de Outubro"",
   PROPER(REGEXEXTRACT(S252, ""^([^.]*)\.""))
   "&amp;")&amp;"")"",
IF(REGEXMATCH(S252, ""Facebook""), 
   ""Facebook (""&amp;
   IF(REGEXMATCH(S252, ""Mídia Ninja""), ""Mídia Ninja"",
   PROPER(REGEXEXTRACT(S252, ""^([^.]*)\.""))
   )&amp;"")"",
IF(REGEXMATCH(S252, ""Instagram""), 
   ""Instagram (""&amp;
   IF(REGEXMATCH"&amp;"(S252, ""Memórias Carandiru""), ""Memórias Carandiru"",
   PROPER(REGEXEXTRACT(S252, ""^([^.]*)\.""))
   )&amp;"")"",
IF(REGEXMATCH(S252, ""Folha de S\. Paulo|FOLHA DE S\. PAULO""), ""Folha de S. Paulo"",
IF(REGEXMATCH(S252, ""O Estado de S\. Paulo|ESTADAO"""&amp;"), ""O Estado de S. Paulo"",
IF(REGEXMATCH(S252, ""salasecreta""), ""Wordpress (Sala Secreta)"",
IF(REGEXMATCH(S252, ""Wikipedia|Wikipédia|WIKIPÉDIA""), ""Wikipedia"",
IF(REGEXMATCH(S252, ""VEJA|Veja""), ""Veja Abril"",
IF(REGEXMATCH(S525, ""Rede Globo|RE"&amp;"DE GLOBO""), ""Rede Globo"",
IF(REGEXMATCH(S525, ""G1|globo\.com""), ""G1"",
IF(REGEXMATCH(S252, ""Deutsche Welle|DW\.com""), ""Deutsche Welle"",
IF(REGEXMATCH(S252, ""CIDH|Comissão Interamericana""), ""Comissão Interamericana de Direitos Humanos (CIDH)"""&amp;",
IF(REGEXMATCH(S252, ""Pastoral Carcerária""), ""Pastoral Carcerária"",
IF(REGEXMATCH(S252, ""Esquerda Web""), ""Esquerda Web"",
IF(REGEXMATCH(S252, ""ONU|Organização das Nações Unidas""), ""ONU Brasil"",
IF(REGEXMATCH(S252, ""Quilombo Invisível""), ""Qu"&amp;"ilombo Invisível"",
IF(REGEXMATCH(S252, ""ALESP|Assembleia Legislativa""), ""ALESP"",
IF(REGEXMATCH(S252, ""Revista Opera""), ""Revista Opera"",
IF(REGEXMATCH(S252, ""SP Escola de Teatro""), ""SP Escola de Teatro"",
IF(REGEXMATCH(S252, ""EMC|Espaço Memóri"&amp;"a Carandiru""), ""EMC Espaço Memória Carandiru"",
IF(REGEXMATCH(S252, ""^RAMOS, Nuno|Nuno Ramos""), ""Nuno Ramos"",
IF(REGEXMATCH(S252, ""^VELOSO, Caetano|Caetano Veloso""), ""YouTube (Caetano Veloso)"",
IF(REGEXMATCH(S252, ""^FATOS REAIS""), ""YouTube ("&amp;"Fatos Reais - Topic)"",
IF(REGEXMATCH(S252, ""^SALA SECRETA""), ""Wordpress (Sala Secreta)"",
PROPER(REGEXEXTRACT(S252, ""^([^.]*)\.""))
))))))))))))))))))))))))))))))))))))))))))))))))))))))))"),"Instagram (Memórias Carandiru)")</f>
        <v>Instagram (Memórias Carandiru)</v>
      </c>
      <c r="N252" s="11" t="s">
        <v>47</v>
      </c>
      <c r="O252" s="14" t="s">
        <v>149</v>
      </c>
      <c r="P252" s="171">
        <v>45941.0</v>
      </c>
      <c r="Q252" s="11" t="s">
        <v>154</v>
      </c>
      <c r="R252" s="70" t="str">
        <f t="shared" si="8"/>
        <v>Aqui</v>
      </c>
      <c r="S252" s="172" t="s">
        <v>1047</v>
      </c>
    </row>
    <row r="253">
      <c r="A253" s="11">
        <v>251.0</v>
      </c>
      <c r="B253" s="11" t="s">
        <v>799</v>
      </c>
      <c r="C253" s="122" t="s">
        <v>165</v>
      </c>
      <c r="D253" s="13" t="str">
        <f>IFERROR(__xludf.DUMMYFUNCTION("IF(B253="""","""",IF(OR(
  REGEXMATCH(B253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REGEXMATCH(B253,""público|Imediato|artística|teatral|memória"")
),""Público Imediato"",
IF(REGEXMATCH(B253,""Música|Álbum|Filme|Documentário|Série|Podc"&amp;"ast|Rádio|Audiotour|Entrevista|Reportagem|Crônica|Relatório|Abaixo-assinado|Manifesto|Petição|Poema|Livro|Fotografia|Curta|Live|Webinário|Charge|Leitura pública|Vídeo""),
""Público Mediado"","""")))
"),"Público Imediato")</f>
        <v>Público Imediato</v>
      </c>
      <c r="E253" s="13" t="str">
        <f>IFERROR(__xludf.DUMMYFUNCTION("IF(B253="""","""",IF(OR(
  REGEXMATCH(B253,""Live|Webinário|Virtual""),
  REGEXMATCH(B253,""online"")
),""Virtual"",
IF(REGEXMATCH(B253,""Música|Álbum|Filme|Documentário|Série|Podcast|Rádio|Audiotour|Episódio|Reportagem|Curta|Charge|Livro|Vídeo|Entrevista"&amp;"""),
""Midiático"",
IF(REGEXMATCH(B253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3" s="183">
        <v>45899.0</v>
      </c>
      <c r="G253" s="15">
        <f t="shared" si="1"/>
        <v>2025</v>
      </c>
      <c r="H253" s="11" t="s">
        <v>1045</v>
      </c>
      <c r="I253" s="175" t="s">
        <v>741</v>
      </c>
      <c r="J253" s="17" t="s">
        <v>1048</v>
      </c>
      <c r="K253" s="16" t="s">
        <v>736</v>
      </c>
      <c r="L253" s="18" t="s">
        <v>489</v>
      </c>
      <c r="M253" s="15" t="str">
        <f>IFERROR(__xludf.DUMMYFUNCTION("IF(REGEXMATCH(S253, ""Companhia das Letras""), ""Companhia das Letras"",
IF(REGEXMATCH(S253, ""Labortexto Editorial""), ""Labortexto Editorial"",
IF(REGEXMATCH(S253, ""Geração Editorial""), ""Geração Editorial"",
IF(REGEXMATCH(S253, ""Editora Imprensa Ofi"&amp;"cial|Imprensa Oficial""), ""Editora Imprensa Oficial"",
IF(REGEXMATCH(S253, ""Folha Online""), ""Folha Online"",
IF(REGEXMATCH(S253, ""FGV DIREITO SP|FGV Direito SP""), ""FGV DIREITO SP"",
IF(REGEXMATCH(S253, ""massacrecarandiru\.org\.br""), ""Memória Mas"&amp;"sacre Carandiru"",
IF(REGEXMATCH(S253, ""Itaú Cultural""), ""YouTube (Itaú Cultural)"",
IF(REGEXMATCH(S253, ""Passa Palavra""), ""Vimeo (Passa Palavra)"",
IF(REGEXMATCH(S253, ""rede2deoutubro\.blogspot""), ""Blogspot (Rede 02 de Outubro)"",
IF(REGEXMATCH("&amp;"S253, ""Rede TVT""), ""YouTube (Rede TVT)"",
IF(REGEXMATCH(S253, ""Esquerda Diário""), ""Esquerda Diário"",
IF(REGEXMATCH(S253, ""GZH""), ""GZH"",
IF(REGEXMATCH(S253, ""TVPUC""), ""TVPUC"",
IF(REGEXMATCH(S253, ""Mídia Ninja.*Facebook""), ""Facebook (Mídia"&amp;" Ninja)"",
IF(REGEXMATCH(S253, ""Memórias Carandiru.*Instagram""), ""Instagram (Memórias Carandiru)"",
IF(REGEXMATCH(S253, ""Frente pelo Desencarceramento SP""), ""YouTube (Frente Pelo Desencarceramento SP)"",
IF(REGEXMATCH(S253, ""TV ABA""), ""YouTube (T"&amp;"V ABA)"",
IF(REGEXMATCH(S253, ""TV SENADO""), ""YouTube (TV Senado)"",
IF(REGEXMATCH(S253, ""Google Arts &amp; Culture""), ""Google Arts &amp; Culture (Memória Massacre Carandiru)"",
IF(REGEXMATCH(S253, ""Anistia Internacional|ANISTIA INTERNACIONAL""), ""Anistia "&amp;"Internacional"",
IF(REGEXMATCH(S253, ""47\.mostra|47a Mostra""), ""47a Mostra Internacional de Cinema em São Paulo"",
IF(REGEXMATCH(S253, ""Canal USP""), ""YouTube (Canal USP)"",
IF(AND(
  REGEXMATCH(S253, ""(?i)(teses?\.usp\.br|dissertacoes?\.usp\.br|rep"&amp;"ositorio\.usp\.br)""),
  NOT(REGEXMATCH(S253, ""Canal USP""))
), ""Biblioteca Digital de Teses e Dissertações da USP"",
IF(REGEXMATCH(S253, ""SINTRAJUSC""), ""SINTRAJUSC"",
IF(REGEXMATCH(S253, ""Agência Brasil|Agencia Brasil""), ""Agência Brasil"",
IF(REG"&amp;"EXMATCH(S253, ""Brasil de Fato""), ""Brasil de Fato"",
IF(REGEXMATCH(S253, ""Ponte Jornalismo|pontejornalismo""), ""Ponte Jornalismo"",
IF(REGEXMATCH(S253, ""letras\.mus\.br|Letras,""), ""Letras"",
IF(REGEXMATCH(S253, ""YouTube|youtube""), 
   ""YouTube "&amp;"(""&amp;
   IF(REGEXMATCH(S253, ""Itaú Cultural""), ""Itaú Cultural"",
   IF(REGEXMATCH(S253, ""Rede TVT""), ""Rede TVT"",
   IF(REGEXMATCH(S253, ""Frente pelo Desencarceramento SP""), ""Frente Pelo Desencarceramento SP"",
   IF(REGEXMATCH(S253, ""TV ABA""), "&amp;"""TV ABA"",
   IF(REGEXMATCH(S253, ""TV SENADO""), ""TV Senado"",
   IF(REGEXMATCH(S253, ""Canal USP""), ""Canal USP"",
   IF(REGEXMATCH(S253, ""Douer, Zack|Zack Douer""), ""Douer Zack"",
   IF(REGEXMATCH(S253, ""PRISIONEIRO 84\.901|PRISIONEIRO 84""), ""P"&amp;"risioneiro 84.901"",
   IF(REGEXMATCH(S253, ""^[^,]*, ""), 
        PROPER(REGEXREPLACE(REGEXEXTRACT(S253, ""^([^.]*)\.""), ""^([^,]*), (.*)"", ""$2 $1"")),
        PROPER(REGEXEXTRACT(S253, ""^([^.]*)\.""))
   )))))))))&amp;"")"",
IF(REGEXMATCH(S253, ""Spot"&amp;"ify|spotify""), 
   ""Spotify (""&amp;
   IF(REGEXMATCH(S253, ""ESTRANHO SORRISO""), ""Estranho Sorriso"",
   PROPER(REGEXEXTRACT(S253, ""^([^.]*)\.""))
   )&amp;"")"",
IF(REGEXMATCH(S253, ""Vimeo|vimeo""), 
   ""Vimeo (""&amp;
   IF(REGEXMATCH(S253, ""Passa Palavra"&amp;"""), ""Passa Palavra"",
   PROPER(REGEXEXTRACT(S253, ""^([^.]*)\.""))
   )&amp;"")"",
IF(REGEXMATCH(S253, ""Blogspot""), 
   ""Blogspot (""&amp;
   IF(REGEXMATCH(S253, ""rede2deoutubro""), ""Rede 02 de Outubro"",
   PROPER(REGEXEXTRACT(S253, ""^([^.]*)\.""))
   "&amp;")&amp;"")"",
IF(REGEXMATCH(S253, ""Facebook""), 
   ""Facebook (""&amp;
   IF(REGEXMATCH(S253, ""Mídia Ninja""), ""Mídia Ninja"",
   PROPER(REGEXEXTRACT(S253, ""^([^.]*)\.""))
   )&amp;"")"",
IF(REGEXMATCH(S253, ""Instagram""), 
   ""Instagram (""&amp;
   IF(REGEXMATCH"&amp;"(S253, ""Memórias Carandiru""), ""Memórias Carandiru"",
   PROPER(REGEXEXTRACT(S253, ""^([^.]*)\.""))
   )&amp;"")"",
IF(REGEXMATCH(S253, ""Folha de S\. Paulo|FOLHA DE S\. PAULO""), ""Folha de S. Paulo"",
IF(REGEXMATCH(S253, ""O Estado de S\. Paulo|ESTADAO"""&amp;"), ""O Estado de S. Paulo"",
IF(REGEXMATCH(S253, ""salasecreta""), ""Wordpress (Sala Secreta)"",
IF(REGEXMATCH(S253, ""Wikipedia|Wikipédia|WIKIPÉDIA""), ""Wikipedia"",
IF(REGEXMATCH(S253, ""VEJA|Veja""), ""Veja Abril"",
IF(REGEXMATCH(S526, ""Rede Globo|RE"&amp;"DE GLOBO""), ""Rede Globo"",
IF(REGEXMATCH(S526, ""G1|globo\.com""), ""G1"",
IF(REGEXMATCH(S253, ""Deutsche Welle|DW\.com""), ""Deutsche Welle"",
IF(REGEXMATCH(S253, ""CIDH|Comissão Interamericana""), ""Comissão Interamericana de Direitos Humanos (CIDH)"""&amp;",
IF(REGEXMATCH(S253, ""Pastoral Carcerária""), ""Pastoral Carcerária"",
IF(REGEXMATCH(S253, ""Esquerda Web""), ""Esquerda Web"",
IF(REGEXMATCH(S253, ""ONU|Organização das Nações Unidas""), ""ONU Brasil"",
IF(REGEXMATCH(S253, ""Quilombo Invisível""), ""Qu"&amp;"ilombo Invisível"",
IF(REGEXMATCH(S253, ""ALESP|Assembleia Legislativa""), ""ALESP"",
IF(REGEXMATCH(S253, ""Revista Opera""), ""Revista Opera"",
IF(REGEXMATCH(S253, ""SP Escola de Teatro""), ""SP Escola de Teatro"",
IF(REGEXMATCH(S253, ""EMC|Espaço Memóri"&amp;"a Carandiru""), ""EMC Espaço Memória Carandiru"",
IF(REGEXMATCH(S253, ""^RAMOS, Nuno|Nuno Ramos""), ""Nuno Ramos"",
IF(REGEXMATCH(S253, ""^VELOSO, Caetano|Caetano Veloso""), ""YouTube (Caetano Veloso)"",
IF(REGEXMATCH(S253, ""^FATOS REAIS""), ""YouTube ("&amp;"Fatos Reais - Topic)"",
IF(REGEXMATCH(S253, ""^SALA SECRETA""), ""Wordpress (Sala Secreta)"",
PROPER(REGEXEXTRACT(S253, ""^([^.]*)\.""))
))))))))))))))))))))))))))))))))))))))))))))))))))))))))"),"Instagram (Memórias Carandiru)")</f>
        <v>Instagram (Memórias Carandiru)</v>
      </c>
      <c r="N253" s="11" t="s">
        <v>47</v>
      </c>
      <c r="O253" s="14" t="s">
        <v>149</v>
      </c>
      <c r="P253" s="171">
        <v>45941.0</v>
      </c>
      <c r="Q253" s="11" t="s">
        <v>154</v>
      </c>
      <c r="R253" s="70" t="str">
        <f t="shared" si="8"/>
        <v>Aqui</v>
      </c>
      <c r="S253" s="172" t="s">
        <v>1049</v>
      </c>
    </row>
    <row r="254">
      <c r="A254" s="11">
        <v>252.0</v>
      </c>
      <c r="B254" s="11" t="s">
        <v>799</v>
      </c>
      <c r="C254" s="122" t="s">
        <v>165</v>
      </c>
      <c r="D254" s="13" t="str">
        <f>IFERROR(__xludf.DUMMYFUNCTION("IF(B254="""","""",IF(OR(
  REGEXMATCH(B254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REGEXMATCH(B254,""público|Imediato|artística|teatral|memória"")
),""Público Imediato"",
IF(REGEXMATCH(B254,""Música|Álbum|Filme|Documentário|Série|Podc"&amp;"ast|Rádio|Audiotour|Entrevista|Reportagem|Crônica|Relatório|Abaixo-assinado|Manifesto|Petição|Poema|Livro|Fotografia|Curta|Live|Webinário|Charge|Leitura pública|Vídeo""),
""Público Mediado"","""")))
"),"Público Imediato")</f>
        <v>Público Imediato</v>
      </c>
      <c r="E254" s="13" t="str">
        <f>IFERROR(__xludf.DUMMYFUNCTION("IF(B254="""","""",IF(OR(
  REGEXMATCH(B254,""Live|Webinário|Virtual""),
  REGEXMATCH(B254,""online"")
),""Virtual"",
IF(REGEXMATCH(B254,""Música|Álbum|Filme|Documentário|Série|Podcast|Rádio|Audiotour|Episódio|Reportagem|Curta|Charge|Livro|Vídeo|Entrevista"&amp;"""),
""Midiático"",
IF(REGEXMATCH(B254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4" s="183">
        <v>45913.0</v>
      </c>
      <c r="G254" s="15">
        <f t="shared" si="1"/>
        <v>2025</v>
      </c>
      <c r="H254" s="11" t="s">
        <v>1045</v>
      </c>
      <c r="I254" s="175" t="s">
        <v>741</v>
      </c>
      <c r="J254" s="17" t="s">
        <v>1050</v>
      </c>
      <c r="K254" s="16" t="s">
        <v>736</v>
      </c>
      <c r="L254" s="18" t="s">
        <v>489</v>
      </c>
      <c r="M254" s="15" t="str">
        <f>IFERROR(__xludf.DUMMYFUNCTION("IF(REGEXMATCH(S254, ""Companhia das Letras""), ""Companhia das Letras"",
IF(REGEXMATCH(S254, ""Labortexto Editorial""), ""Labortexto Editorial"",
IF(REGEXMATCH(S254, ""Geração Editorial""), ""Geração Editorial"",
IF(REGEXMATCH(S254, ""Editora Imprensa Ofi"&amp;"cial|Imprensa Oficial""), ""Editora Imprensa Oficial"",
IF(REGEXMATCH(S254, ""Folha Online""), ""Folha Online"",
IF(REGEXMATCH(S254, ""FGV DIREITO SP|FGV Direito SP""), ""FGV DIREITO SP"",
IF(REGEXMATCH(S254, ""massacrecarandiru\.org\.br""), ""Memória Mas"&amp;"sacre Carandiru"",
IF(REGEXMATCH(S254, ""Itaú Cultural""), ""YouTube (Itaú Cultural)"",
IF(REGEXMATCH(S254, ""Passa Palavra""), ""Vimeo (Passa Palavra)"",
IF(REGEXMATCH(S254, ""rede2deoutubro\.blogspot""), ""Blogspot (Rede 02 de Outubro)"",
IF(REGEXMATCH("&amp;"S254, ""Rede TVT""), ""YouTube (Rede TVT)"",
IF(REGEXMATCH(S254, ""Esquerda Diário""), ""Esquerda Diário"",
IF(REGEXMATCH(S254, ""GZH""), ""GZH"",
IF(REGEXMATCH(S254, ""TVPUC""), ""TVPUC"",
IF(REGEXMATCH(S254, ""Mídia Ninja.*Facebook""), ""Facebook (Mídia"&amp;" Ninja)"",
IF(REGEXMATCH(S254, ""Memórias Carandiru.*Instagram""), ""Instagram (Memórias Carandiru)"",
IF(REGEXMATCH(S254, ""Frente pelo Desencarceramento SP""), ""YouTube (Frente Pelo Desencarceramento SP)"",
IF(REGEXMATCH(S254, ""TV ABA""), ""YouTube (T"&amp;"V ABA)"",
IF(REGEXMATCH(S254, ""TV SENADO""), ""YouTube (TV Senado)"",
IF(REGEXMATCH(S254, ""Google Arts &amp; Culture""), ""Google Arts &amp; Culture (Memória Massacre Carandiru)"",
IF(REGEXMATCH(S254, ""Anistia Internacional|ANISTIA INTERNACIONAL""), ""Anistia "&amp;"Internacional"",
IF(REGEXMATCH(S254, ""47\.mostra|47a Mostra""), ""47a Mostra Internacional de Cinema em São Paulo"",
IF(REGEXMATCH(S254, ""Canal USP""), ""YouTube (Canal USP)"",
IF(AND(
  REGEXMATCH(S254, ""(?i)(teses?\.usp\.br|dissertacoes?\.usp\.br|rep"&amp;"ositorio\.usp\.br)""),
  NOT(REGEXMATCH(S254, ""Canal USP""))
), ""Biblioteca Digital de Teses e Dissertações da USP"",
IF(REGEXMATCH(S254, ""SINTRAJUSC""), ""SINTRAJUSC"",
IF(REGEXMATCH(S254, ""Agência Brasil|Agencia Brasil""), ""Agência Brasil"",
IF(REG"&amp;"EXMATCH(S254, ""Brasil de Fato""), ""Brasil de Fato"",
IF(REGEXMATCH(S254, ""Ponte Jornalismo|pontejornalismo""), ""Ponte Jornalismo"",
IF(REGEXMATCH(S254, ""letras\.mus\.br|Letras,""), ""Letras"",
IF(REGEXMATCH(S254, ""YouTube|youtube""), 
   ""YouTube "&amp;"(""&amp;
   IF(REGEXMATCH(S254, ""Itaú Cultural""), ""Itaú Cultural"",
   IF(REGEXMATCH(S254, ""Rede TVT""), ""Rede TVT"",
   IF(REGEXMATCH(S254, ""Frente pelo Desencarceramento SP""), ""Frente Pelo Desencarceramento SP"",
   IF(REGEXMATCH(S254, ""TV ABA""), "&amp;"""TV ABA"",
   IF(REGEXMATCH(S254, ""TV SENADO""), ""TV Senado"",
   IF(REGEXMATCH(S254, ""Canal USP""), ""Canal USP"",
   IF(REGEXMATCH(S254, ""Douer, Zack|Zack Douer""), ""Douer Zack"",
   IF(REGEXMATCH(S254, ""PRISIONEIRO 84\.901|PRISIONEIRO 84""), ""P"&amp;"risioneiro 84.901"",
   IF(REGEXMATCH(S254, ""^[^,]*, ""), 
        PROPER(REGEXREPLACE(REGEXEXTRACT(S254, ""^([^.]*)\.""), ""^([^,]*), (.*)"", ""$2 $1"")),
        PROPER(REGEXEXTRACT(S254, ""^([^.]*)\.""))
   )))))))))&amp;"")"",
IF(REGEXMATCH(S254, ""Spot"&amp;"ify|spotify""), 
   ""Spotify (""&amp;
   IF(REGEXMATCH(S254, ""ESTRANHO SORRISO""), ""Estranho Sorriso"",
   PROPER(REGEXEXTRACT(S254, ""^([^.]*)\.""))
   )&amp;"")"",
IF(REGEXMATCH(S254, ""Vimeo|vimeo""), 
   ""Vimeo (""&amp;
   IF(REGEXMATCH(S254, ""Passa Palavra"&amp;"""), ""Passa Palavra"",
   PROPER(REGEXEXTRACT(S254, ""^([^.]*)\.""))
   )&amp;"")"",
IF(REGEXMATCH(S254, ""Blogspot""), 
   ""Blogspot (""&amp;
   IF(REGEXMATCH(S254, ""rede2deoutubro""), ""Rede 02 de Outubro"",
   PROPER(REGEXEXTRACT(S254, ""^([^.]*)\.""))
   "&amp;")&amp;"")"",
IF(REGEXMATCH(S254, ""Facebook""), 
   ""Facebook (""&amp;
   IF(REGEXMATCH(S254, ""Mídia Ninja""), ""Mídia Ninja"",
   PROPER(REGEXEXTRACT(S254, ""^([^.]*)\.""))
   )&amp;"")"",
IF(REGEXMATCH(S254, ""Instagram""), 
   ""Instagram (""&amp;
   IF(REGEXMATCH"&amp;"(S254, ""Memórias Carandiru""), ""Memórias Carandiru"",
   PROPER(REGEXEXTRACT(S254, ""^([^.]*)\.""))
   )&amp;"")"",
IF(REGEXMATCH(S254, ""Folha de S\. Paulo|FOLHA DE S\. PAULO""), ""Folha de S. Paulo"",
IF(REGEXMATCH(S254, ""O Estado de S\. Paulo|ESTADAO"""&amp;"), ""O Estado de S. Paulo"",
IF(REGEXMATCH(S254, ""salasecreta""), ""Wordpress (Sala Secreta)"",
IF(REGEXMATCH(S254, ""Wikipedia|Wikipédia|WIKIPÉDIA""), ""Wikipedia"",
IF(REGEXMATCH(S254, ""VEJA|Veja""), ""Veja Abril"",
IF(REGEXMATCH(S527, ""Rede Globo|RE"&amp;"DE GLOBO""), ""Rede Globo"",
IF(REGEXMATCH(S527, ""G1|globo\.com""), ""G1"",
IF(REGEXMATCH(S254, ""Deutsche Welle|DW\.com""), ""Deutsche Welle"",
IF(REGEXMATCH(S254, ""CIDH|Comissão Interamericana""), ""Comissão Interamericana de Direitos Humanos (CIDH)"""&amp;",
IF(REGEXMATCH(S254, ""Pastoral Carcerária""), ""Pastoral Carcerária"",
IF(REGEXMATCH(S254, ""Esquerda Web""), ""Esquerda Web"",
IF(REGEXMATCH(S254, ""ONU|Organização das Nações Unidas""), ""ONU Brasil"",
IF(REGEXMATCH(S254, ""Quilombo Invisível""), ""Qu"&amp;"ilombo Invisível"",
IF(REGEXMATCH(S254, ""ALESP|Assembleia Legislativa""), ""ALESP"",
IF(REGEXMATCH(S254, ""Revista Opera""), ""Revista Opera"",
IF(REGEXMATCH(S254, ""SP Escola de Teatro""), ""SP Escola de Teatro"",
IF(REGEXMATCH(S254, ""EMC|Espaço Memóri"&amp;"a Carandiru""), ""EMC Espaço Memória Carandiru"",
IF(REGEXMATCH(S254, ""^RAMOS, Nuno|Nuno Ramos""), ""Nuno Ramos"",
IF(REGEXMATCH(S254, ""^VELOSO, Caetano|Caetano Veloso""), ""YouTube (Caetano Veloso)"",
IF(REGEXMATCH(S254, ""^FATOS REAIS""), ""YouTube ("&amp;"Fatos Reais - Topic)"",
IF(REGEXMATCH(S254, ""^SALA SECRETA""), ""Wordpress (Sala Secreta)"",
PROPER(REGEXEXTRACT(S254, ""^([^.]*)\.""))
))))))))))))))))))))))))))))))))))))))))))))))))))))))))"),"Instagram (Memórias Carandiru)")</f>
        <v>Instagram (Memórias Carandiru)</v>
      </c>
      <c r="N254" s="11" t="s">
        <v>47</v>
      </c>
      <c r="O254" s="14" t="s">
        <v>149</v>
      </c>
      <c r="P254" s="171">
        <v>45941.0</v>
      </c>
      <c r="Q254" s="11" t="s">
        <v>154</v>
      </c>
      <c r="R254" s="70" t="str">
        <f t="shared" si="8"/>
        <v>Aqui</v>
      </c>
      <c r="S254" s="172" t="s">
        <v>1051</v>
      </c>
    </row>
    <row r="255">
      <c r="A255" s="11">
        <v>253.0</v>
      </c>
      <c r="B255" s="11" t="s">
        <v>799</v>
      </c>
      <c r="C255" s="122" t="s">
        <v>165</v>
      </c>
      <c r="D255" s="13" t="str">
        <f>IFERROR(__xludf.DUMMYFUNCTION("IF(B255="""","""",IF(OR(
  REGEXMATCH(B255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REGEXMATCH(B255,""público|Imediato|artística|teatral|memória"")
),""Público Imediato"",
IF(REGEXMATCH(B255,""Música|Álbum|Filme|Documentário|Série|Podc"&amp;"ast|Rádio|Audiotour|Entrevista|Reportagem|Crônica|Relatório|Abaixo-assinado|Manifesto|Petição|Poema|Livro|Fotografia|Curta|Live|Webinário|Charge|Leitura pública|Vídeo""),
""Público Mediado"","""")))
"),"Público Imediato")</f>
        <v>Público Imediato</v>
      </c>
      <c r="E255" s="13" t="str">
        <f>IFERROR(__xludf.DUMMYFUNCTION("IF(B255="""","""",IF(OR(
  REGEXMATCH(B255,""Live|Webinário|Virtual""),
  REGEXMATCH(B255,""online"")
),""Virtual"",
IF(REGEXMATCH(B255,""Música|Álbum|Filme|Documentário|Série|Podcast|Rádio|Audiotour|Episódio|Reportagem|Curta|Charge|Livro|Vídeo|Entrevista"&amp;"""),
""Midiático"",
IF(REGEXMATCH(B255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5" s="183">
        <v>45927.0</v>
      </c>
      <c r="G255" s="15">
        <f t="shared" si="1"/>
        <v>2025</v>
      </c>
      <c r="H255" s="11" t="s">
        <v>1045</v>
      </c>
      <c r="I255" s="175" t="s">
        <v>741</v>
      </c>
      <c r="J255" s="17" t="s">
        <v>1052</v>
      </c>
      <c r="K255" s="16" t="s">
        <v>736</v>
      </c>
      <c r="L255" s="18" t="s">
        <v>489</v>
      </c>
      <c r="M255" s="15" t="str">
        <f>IFERROR(__xludf.DUMMYFUNCTION("IF(REGEXMATCH(S255, ""Companhia das Letras""), ""Companhia das Letras"",
IF(REGEXMATCH(S255, ""Labortexto Editorial""), ""Labortexto Editorial"",
IF(REGEXMATCH(S255, ""Geração Editorial""), ""Geração Editorial"",
IF(REGEXMATCH(S255, ""Editora Imprensa Ofi"&amp;"cial|Imprensa Oficial""), ""Editora Imprensa Oficial"",
IF(REGEXMATCH(S255, ""Folha Online""), ""Folha Online"",
IF(REGEXMATCH(S255, ""FGV DIREITO SP|FGV Direito SP""), ""FGV DIREITO SP"",
IF(REGEXMATCH(S255, ""massacrecarandiru\.org\.br""), ""Memória Mas"&amp;"sacre Carandiru"",
IF(REGEXMATCH(S255, ""Itaú Cultural""), ""YouTube (Itaú Cultural)"",
IF(REGEXMATCH(S255, ""Passa Palavra""), ""Vimeo (Passa Palavra)"",
IF(REGEXMATCH(S255, ""rede2deoutubro\.blogspot""), ""Blogspot (Rede 02 de Outubro)"",
IF(REGEXMATCH("&amp;"S255, ""Rede TVT""), ""YouTube (Rede TVT)"",
IF(REGEXMATCH(S255, ""Esquerda Diário""), ""Esquerda Diário"",
IF(REGEXMATCH(S255, ""GZH""), ""GZH"",
IF(REGEXMATCH(S255, ""TVPUC""), ""TVPUC"",
IF(REGEXMATCH(S255, ""Mídia Ninja.*Facebook""), ""Facebook (Mídia"&amp;" Ninja)"",
IF(REGEXMATCH(S255, ""Memórias Carandiru.*Instagram""), ""Instagram (Memórias Carandiru)"",
IF(REGEXMATCH(S255, ""Frente pelo Desencarceramento SP""), ""YouTube (Frente Pelo Desencarceramento SP)"",
IF(REGEXMATCH(S255, ""TV ABA""), ""YouTube (T"&amp;"V ABA)"",
IF(REGEXMATCH(S255, ""TV SENADO""), ""YouTube (TV Senado)"",
IF(REGEXMATCH(S255, ""Google Arts &amp; Culture""), ""Google Arts &amp; Culture (Memória Massacre Carandiru)"",
IF(REGEXMATCH(S255, ""Anistia Internacional|ANISTIA INTERNACIONAL""), ""Anistia "&amp;"Internacional"",
IF(REGEXMATCH(S255, ""47\.mostra|47a Mostra""), ""47a Mostra Internacional de Cinema em São Paulo"",
IF(REGEXMATCH(S255, ""Canal USP""), ""YouTube (Canal USP)"",
IF(AND(
  REGEXMATCH(S255, ""(?i)(teses?\.usp\.br|dissertacoes?\.usp\.br|rep"&amp;"ositorio\.usp\.br)""),
  NOT(REGEXMATCH(S255, ""Canal USP""))
), ""Biblioteca Digital de Teses e Dissertações da USP"",
IF(REGEXMATCH(S255, ""SINTRAJUSC""), ""SINTRAJUSC"",
IF(REGEXMATCH(S255, ""Agência Brasil|Agencia Brasil""), ""Agência Brasil"",
IF(REG"&amp;"EXMATCH(S255, ""Brasil de Fato""), ""Brasil de Fato"",
IF(REGEXMATCH(S255, ""Ponte Jornalismo|pontejornalismo""), ""Ponte Jornalismo"",
IF(REGEXMATCH(S255, ""letras\.mus\.br|Letras,""), ""Letras"",
IF(REGEXMATCH(S255, ""YouTube|youtube""), 
   ""YouTube "&amp;"(""&amp;
   IF(REGEXMATCH(S255, ""Itaú Cultural""), ""Itaú Cultural"",
   IF(REGEXMATCH(S255, ""Rede TVT""), ""Rede TVT"",
   IF(REGEXMATCH(S255, ""Frente pelo Desencarceramento SP""), ""Frente Pelo Desencarceramento SP"",
   IF(REGEXMATCH(S255, ""TV ABA""), "&amp;"""TV ABA"",
   IF(REGEXMATCH(S255, ""TV SENADO""), ""TV Senado"",
   IF(REGEXMATCH(S255, ""Canal USP""), ""Canal USP"",
   IF(REGEXMATCH(S255, ""Douer, Zack|Zack Douer""), ""Douer Zack"",
   IF(REGEXMATCH(S255, ""PRISIONEIRO 84\.901|PRISIONEIRO 84""), ""P"&amp;"risioneiro 84.901"",
   IF(REGEXMATCH(S255, ""^[^,]*, ""), 
        PROPER(REGEXREPLACE(REGEXEXTRACT(S255, ""^([^.]*)\.""), ""^([^,]*), (.*)"", ""$2 $1"")),
        PROPER(REGEXEXTRACT(S255, ""^([^.]*)\.""))
   )))))))))&amp;"")"",
IF(REGEXMATCH(S255, ""Spot"&amp;"ify|spotify""), 
   ""Spotify (""&amp;
   IF(REGEXMATCH(S255, ""ESTRANHO SORRISO""), ""Estranho Sorriso"",
   PROPER(REGEXEXTRACT(S255, ""^([^.]*)\.""))
   )&amp;"")"",
IF(REGEXMATCH(S255, ""Vimeo|vimeo""), 
   ""Vimeo (""&amp;
   IF(REGEXMATCH(S255, ""Passa Palavra"&amp;"""), ""Passa Palavra"",
   PROPER(REGEXEXTRACT(S255, ""^([^.]*)\.""))
   )&amp;"")"",
IF(REGEXMATCH(S255, ""Blogspot""), 
   ""Blogspot (""&amp;
   IF(REGEXMATCH(S255, ""rede2deoutubro""), ""Rede 02 de Outubro"",
   PROPER(REGEXEXTRACT(S255, ""^([^.]*)\.""))
   "&amp;")&amp;"")"",
IF(REGEXMATCH(S255, ""Facebook""), 
   ""Facebook (""&amp;
   IF(REGEXMATCH(S255, ""Mídia Ninja""), ""Mídia Ninja"",
   PROPER(REGEXEXTRACT(S255, ""^([^.]*)\.""))
   )&amp;"")"",
IF(REGEXMATCH(S255, ""Instagram""), 
   ""Instagram (""&amp;
   IF(REGEXMATCH"&amp;"(S255, ""Memórias Carandiru""), ""Memórias Carandiru"",
   PROPER(REGEXEXTRACT(S255, ""^([^.]*)\.""))
   )&amp;"")"",
IF(REGEXMATCH(S255, ""Folha de S\. Paulo|FOLHA DE S\. PAULO""), ""Folha de S. Paulo"",
IF(REGEXMATCH(S255, ""O Estado de S\. Paulo|ESTADAO"""&amp;"), ""O Estado de S. Paulo"",
IF(REGEXMATCH(S255, ""salasecreta""), ""Wordpress (Sala Secreta)"",
IF(REGEXMATCH(S255, ""Wikipedia|Wikipédia|WIKIPÉDIA""), ""Wikipedia"",
IF(REGEXMATCH(S255, ""VEJA|Veja""), ""Veja Abril"",
IF(REGEXMATCH(S528, ""Rede Globo|RE"&amp;"DE GLOBO""), ""Rede Globo"",
IF(REGEXMATCH(S528, ""G1|globo\.com""), ""G1"",
IF(REGEXMATCH(S255, ""Deutsche Welle|DW\.com""), ""Deutsche Welle"",
IF(REGEXMATCH(S255, ""CIDH|Comissão Interamericana""), ""Comissão Interamericana de Direitos Humanos (CIDH)"""&amp;",
IF(REGEXMATCH(S255, ""Pastoral Carcerária""), ""Pastoral Carcerária"",
IF(REGEXMATCH(S255, ""Esquerda Web""), ""Esquerda Web"",
IF(REGEXMATCH(S255, ""ONU|Organização das Nações Unidas""), ""ONU Brasil"",
IF(REGEXMATCH(S255, ""Quilombo Invisível""), ""Qu"&amp;"ilombo Invisível"",
IF(REGEXMATCH(S255, ""ALESP|Assembleia Legislativa""), ""ALESP"",
IF(REGEXMATCH(S255, ""Revista Opera""), ""Revista Opera"",
IF(REGEXMATCH(S255, ""SP Escola de Teatro""), ""SP Escola de Teatro"",
IF(REGEXMATCH(S255, ""EMC|Espaço Memóri"&amp;"a Carandiru""), ""EMC Espaço Memória Carandiru"",
IF(REGEXMATCH(S255, ""^RAMOS, Nuno|Nuno Ramos""), ""Nuno Ramos"",
IF(REGEXMATCH(S255, ""^VELOSO, Caetano|Caetano Veloso""), ""YouTube (Caetano Veloso)"",
IF(REGEXMATCH(S255, ""^FATOS REAIS""), ""YouTube ("&amp;"Fatos Reais - Topic)"",
IF(REGEXMATCH(S255, ""^SALA SECRETA""), ""Wordpress (Sala Secreta)"",
PROPER(REGEXEXTRACT(S255, ""^([^.]*)\.""))
))))))))))))))))))))))))))))))))))))))))))))))))))))))))"),"Instagram (Memórias Carandiru)")</f>
        <v>Instagram (Memórias Carandiru)</v>
      </c>
      <c r="N255" s="11" t="s">
        <v>47</v>
      </c>
      <c r="O255" s="14" t="s">
        <v>149</v>
      </c>
      <c r="P255" s="171">
        <v>45941.0</v>
      </c>
      <c r="Q255" s="11" t="s">
        <v>154</v>
      </c>
      <c r="R255" s="70" t="str">
        <f t="shared" si="8"/>
        <v>Aqui</v>
      </c>
      <c r="S255" s="172" t="s">
        <v>1053</v>
      </c>
    </row>
    <row r="256">
      <c r="A256" s="11">
        <v>254.0</v>
      </c>
      <c r="B256" s="11" t="s">
        <v>703</v>
      </c>
      <c r="C256" s="12" t="str">
        <f>IFERROR(__xludf.DUMMYFUNCTION("IF(B256="""","""",IF(OR(
  REGEXMATCH(B256,""Performance|Instalação|Álbum|Música|Poema|Livro|Filme|Documentário|Recitação|Espetáculo|Peça|Intervenção|Desfile|Fotografia|Exposição|Charge|Grafite|Leitura pública|Fabricação de cachaça artesanal""),
  REGEXMA"&amp;"TCH(B256,""dança|teatral|artístico|musical|artística"")
),""Manifestação artístico-cultural"",
IF(OR(
  REGEXMATCH(B256,""Crônica|Série|Reportagem|Podcast|Audiotour|Entrevista|Vídeo|Rádio""),
  REGEXMATCH(B256,""midiática"")
),""Produção midiática"","""")"&amp;"))
"),"Produção midiática")</f>
        <v>Produção midiática</v>
      </c>
      <c r="D256" s="13" t="str">
        <f>IFERROR(__xludf.DUMMYFUNCTION("IF(B256="""","""",IF(OR(
  REGEXMATCH(B256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REGEXMATCH(B256,""público|Imediato|artística|teatral|memória"")
),""Público Imediato"",
IF(REGEXMATCH(B256,""Música|Álbum|Filme|Documentário|Série|Podc"&amp;"ast|Rádio|Audiotour|Entrevista|Reportagem|Crônica|Relatório|Abaixo-assinado|Manifesto|Petição|Poema|Livro|Fotografia|Curta|Live|Webinário|Charge|Leitura pública|Vídeo""),
""Público Mediado"","""")))
"),"Público Mediado")</f>
        <v>Público Mediado</v>
      </c>
      <c r="E256" s="13" t="str">
        <f>IFERROR(__xludf.DUMMYFUNCTION("IF(B256="""","""",IF(OR(
  REGEXMATCH(B256,""Live|Webinário|Virtual""),
  REGEXMATCH(B256,""online"")
),""Virtual"",
IF(REGEXMATCH(B256,""Música|Álbum|Filme|Documentário|Série|Podcast|Rádio|Audiotour|Episódio|Reportagem|Curta|Charge|Livro|Vídeo|Entrevista"&amp;"""),
""Midiático"",
IF(REGEXMATCH(B256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56" s="183">
        <v>45894.0</v>
      </c>
      <c r="G256" s="15">
        <f t="shared" si="1"/>
        <v>2025</v>
      </c>
      <c r="H256" s="181" t="s">
        <v>347</v>
      </c>
      <c r="I256" s="16" t="s">
        <v>849</v>
      </c>
      <c r="J256" s="169" t="str">
        <f>IFERROR(__xludf.DUMMYFUNCTION("REGEXEXTRACT(S256, ""\.\s(.*?)\s*YouTube"")"),"O massacre do Carandiru | Humanidade #1.")</f>
        <v>O massacre do Carandiru | Humanidade #1.</v>
      </c>
      <c r="K256" s="16" t="s">
        <v>83</v>
      </c>
      <c r="L256" s="18" t="s">
        <v>329</v>
      </c>
      <c r="M256" s="15" t="str">
        <f>IFERROR(__xludf.DUMMYFUNCTION("IF(REGEXMATCH(S256, ""Companhia das Letras""), ""Companhia das Letras"",
IF(REGEXMATCH(S256, ""Labortexto Editorial""), ""Labortexto Editorial"",
IF(REGEXMATCH(S256, ""Geração Editorial""), ""Geração Editorial"",
IF(REGEXMATCH(S256, ""Editora Imprensa Ofi"&amp;"cial|Imprensa Oficial""), ""Editora Imprensa Oficial"",
IF(REGEXMATCH(S256, ""Folha Online""), ""Folha Online"",
IF(REGEXMATCH(S256, ""FGV DIREITO SP|FGV Direito SP""), ""FGV DIREITO SP"",
IF(REGEXMATCH(S256, ""massacrecarandiru\.org\.br""), ""Memória Mas"&amp;"sacre Carandiru"",
IF(REGEXMATCH(S256, ""Itaú Cultural""), ""YouTube (Itaú Cultural)"",
IF(REGEXMATCH(S256, ""Passa Palavra""), ""Vimeo (Passa Palavra)"",
IF(REGEXMATCH(S256, ""rede2deoutubro\.blogspot""), ""Blogspot (Rede 02 de Outubro)"",
IF(REGEXMATCH("&amp;"S256, ""Rede TVT""), ""YouTube (Rede TVT)"",
IF(REGEXMATCH(S256, ""Esquerda Diário""), ""Esquerda Diário"",
IF(REGEXMATCH(S256, ""GZH""), ""GZH"",
IF(REGEXMATCH(S256, ""TVPUC""), ""TVPUC"",
IF(REGEXMATCH(S256, ""Mídia Ninja.*Facebook""), ""Facebook (Mídia"&amp;" Ninja)"",
IF(REGEXMATCH(S256, ""Memórias Carandiru.*Instagram""), ""Instagram (Memórias Carandiru)"",
IF(REGEXMATCH(S256, ""Frente pelo Desencarceramento SP""), ""YouTube (Frente Pelo Desencarceramento SP)"",
IF(REGEXMATCH(S256, ""TV ABA""), ""YouTube (T"&amp;"V ABA)"",
IF(REGEXMATCH(S256, ""TV SENADO""), ""YouTube (TV Senado)"",
IF(REGEXMATCH(S256, ""Google Arts &amp; Culture""), ""Google Arts &amp; Culture (Memória Massacre Carandiru)"",
IF(REGEXMATCH(S256, ""Anistia Internacional|ANISTIA INTERNACIONAL""), ""Anistia "&amp;"Internacional"",
IF(REGEXMATCH(S256, ""47\.mostra|47a Mostra""), ""47a Mostra Internacional de Cinema em São Paulo"",
IF(REGEXMATCH(S256, ""Canal USP""), ""YouTube (Canal USP)"",
IF(AND(
  REGEXMATCH(S256, ""(?i)(teses?\.usp\.br|dissertacoes?\.usp\.br|rep"&amp;"ositorio\.usp\.br)""),
  NOT(REGEXMATCH(S256, ""Canal USP""))
), ""Biblioteca Digital de Teses e Dissertações da USP"",
IF(REGEXMATCH(S256, ""SINTRAJUSC""), ""SINTRAJUSC"",
IF(REGEXMATCH(S256, ""Agência Brasil|Agencia Brasil""), ""Agência Brasil"",
IF(REG"&amp;"EXMATCH(S256, ""Brasil de Fato""), ""Brasil de Fato"",
IF(REGEXMATCH(S256, ""Ponte Jornalismo|pontejornalismo""), ""Ponte Jornalismo"",
IF(REGEXMATCH(S256, ""letras\.mus\.br|Letras,""), ""Letras"",
IF(REGEXMATCH(S256, ""YouTube|youtube""), 
   ""YouTube "&amp;"(""&amp;
   IF(REGEXMATCH(S256, ""Itaú Cultural""), ""Itaú Cultural"",
   IF(REGEXMATCH(S256, ""Rede TVT""), ""Rede TVT"",
   IF(REGEXMATCH(S256, ""Frente pelo Desencarceramento SP""), ""Frente Pelo Desencarceramento SP"",
   IF(REGEXMATCH(S256, ""TV ABA""), "&amp;"""TV ABA"",
   IF(REGEXMATCH(S256, ""TV SENADO""), ""TV Senado"",
   IF(REGEXMATCH(S256, ""Canal USP""), ""Canal USP"",
   IF(REGEXMATCH(S256, ""Douer, Zack|Zack Douer""), ""Douer Zack"",
   IF(REGEXMATCH(S256, ""PRISIONEIRO 84\.901|PRISIONEIRO 84""), ""P"&amp;"risioneiro 84.901"",
   IF(REGEXMATCH(S256, ""^[^,]*, ""), 
        PROPER(REGEXREPLACE(REGEXEXTRACT(S256, ""^([^.]*)\.""), ""^([^,]*), (.*)"", ""$2 $1"")),
        PROPER(REGEXEXTRACT(S256, ""^([^.]*)\.""))
   )))))))))&amp;"")"",
IF(REGEXMATCH(S256, ""Spot"&amp;"ify|spotify""), 
   ""Spotify (""&amp;
   IF(REGEXMATCH(S256, ""ESTRANHO SORRISO""), ""Estranho Sorriso"",
   PROPER(REGEXEXTRACT(S256, ""^([^.]*)\.""))
   )&amp;"")"",
IF(REGEXMATCH(S256, ""Vimeo|vimeo""), 
   ""Vimeo (""&amp;
   IF(REGEXMATCH(S256, ""Passa Palavra"&amp;"""), ""Passa Palavra"",
   PROPER(REGEXEXTRACT(S256, ""^([^.]*)\.""))
   )&amp;"")"",
IF(REGEXMATCH(S256, ""Blogspot""), 
   ""Blogspot (""&amp;
   IF(REGEXMATCH(S256, ""rede2deoutubro""), ""Rede 02 de Outubro"",
   PROPER(REGEXEXTRACT(S256, ""^([^.]*)\.""))
   "&amp;")&amp;"")"",
IF(REGEXMATCH(S256, ""Facebook""), 
   ""Facebook (""&amp;
   IF(REGEXMATCH(S256, ""Mídia Ninja""), ""Mídia Ninja"",
   PROPER(REGEXEXTRACT(S256, ""^([^.]*)\.""))
   )&amp;"")"",
IF(REGEXMATCH(S256, ""Instagram""), 
   ""Instagram (""&amp;
   IF(REGEXMATCH"&amp;"(S256, ""Memórias Carandiru""), ""Memórias Carandiru"",
   PROPER(REGEXEXTRACT(S256, ""^([^.]*)\.""))
   )&amp;"")"",
IF(REGEXMATCH(S256, ""Folha de S\. Paulo|FOLHA DE S\. PAULO""), ""Folha de S. Paulo"",
IF(REGEXMATCH(S256, ""O Estado de S\. Paulo|ESTADAO"""&amp;"), ""O Estado de S. Paulo"",
IF(REGEXMATCH(S256, ""salasecreta""), ""Wordpress (Sala Secreta)"",
IF(REGEXMATCH(S256, ""Wikipedia|Wikipédia|WIKIPÉDIA""), ""Wikipedia"",
IF(REGEXMATCH(S256, ""VEJA|Veja""), ""Veja Abril"",
IF(REGEXMATCH(S529, ""Rede Globo|RE"&amp;"DE GLOBO""), ""Rede Globo"",
IF(REGEXMATCH(S529, ""G1|globo\.com""), ""G1"",
IF(REGEXMATCH(S256, ""Deutsche Welle|DW\.com""), ""Deutsche Welle"",
IF(REGEXMATCH(S256, ""CIDH|Comissão Interamericana""), ""Comissão Interamericana de Direitos Humanos (CIDH)"""&amp;",
IF(REGEXMATCH(S256, ""Pastoral Carcerária""), ""Pastoral Carcerária"",
IF(REGEXMATCH(S256, ""Esquerda Web""), ""Esquerda Web"",
IF(REGEXMATCH(S256, ""ONU|Organização das Nações Unidas""), ""ONU Brasil"",
IF(REGEXMATCH(S256, ""Quilombo Invisível""), ""Qu"&amp;"ilombo Invisível"",
IF(REGEXMATCH(S256, ""ALESP|Assembleia Legislativa""), ""ALESP"",
IF(REGEXMATCH(S256, ""Revista Opera""), ""Revista Opera"",
IF(REGEXMATCH(S256, ""SP Escola de Teatro""), ""SP Escola de Teatro"",
IF(REGEXMATCH(S256, ""EMC|Espaço Memóri"&amp;"a Carandiru""), ""EMC Espaço Memória Carandiru"",
IF(REGEXMATCH(S256, ""^RAMOS, Nuno|Nuno Ramos""), ""Nuno Ramos"",
IF(REGEXMATCH(S256, ""^VELOSO, Caetano|Caetano Veloso""), ""YouTube (Caetano Veloso)"",
IF(REGEXMATCH(S256, ""^FATOS REAIS""), ""YouTube ("&amp;"Fatos Reais - Topic)"",
IF(REGEXMATCH(S256, ""^SALA SECRETA""), ""Wordpress (Sala Secreta)"",
PROPER(REGEXEXTRACT(S256, ""^([^.]*)\.""))
))))))))))))))))))))))))))))))))))))))))))))))))))))))))"),"YouTube (Planeta Novo)")</f>
        <v>YouTube (Planeta Novo)</v>
      </c>
      <c r="N256" s="11" t="s">
        <v>47</v>
      </c>
      <c r="O256" s="14" t="s">
        <v>374</v>
      </c>
      <c r="P256" s="171">
        <v>45946.0</v>
      </c>
      <c r="Q256" s="11" t="s">
        <v>154</v>
      </c>
      <c r="R256" s="70" t="str">
        <f t="shared" si="8"/>
        <v>Aqui</v>
      </c>
      <c r="S256" s="75" t="s">
        <v>1054</v>
      </c>
    </row>
    <row r="257">
      <c r="A257" s="11">
        <v>255.0</v>
      </c>
      <c r="B257" s="11" t="s">
        <v>703</v>
      </c>
      <c r="C257" s="12" t="str">
        <f>IFERROR(__xludf.DUMMYFUNCTION("IF(B257="""","""",IF(OR(
  REGEXMATCH(B257,""Performance|Instalação|Álbum|Música|Poema|Livro|Filme|Documentário|Recitação|Espetáculo|Peça|Intervenção|Desfile|Fotografia|Exposição|Charge|Grafite|Leitura pública|Fabricação de cachaça artesanal""),
  REGEXMA"&amp;"TCH(B257,""dança|teatral|artístico|musical|artística"")
),""Manifestação artístico-cultural"",
IF(OR(
  REGEXMATCH(B257,""Crônica|Série|Reportagem|Podcast|Audiotour|Entrevista|Vídeo|Rádio""),
  REGEXMATCH(B257,""midiática"")
),""Produção midiática"","""")"&amp;"))
"),"Produção midiática")</f>
        <v>Produção midiática</v>
      </c>
      <c r="D257" s="13" t="str">
        <f>IFERROR(__xludf.DUMMYFUNCTION("IF(B257="""","""",IF(OR(
  REGEXMATCH(B257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REGEXMATCH(B257,""público|Imediato|artística|teatral|memória"")
),""Público Imediato"",
IF(REGEXMATCH(B257,""Música|Álbum|Filme|Documentário|Série|Podc"&amp;"ast|Rádio|Audiotour|Entrevista|Reportagem|Crônica|Relatório|Abaixo-assinado|Manifesto|Petição|Poema|Livro|Fotografia|Curta|Live|Webinário|Charge|Leitura pública|Vídeo""),
""Público Mediado"","""")))
"),"Público Mediado")</f>
        <v>Público Mediado</v>
      </c>
      <c r="E257" s="13" t="str">
        <f>IFERROR(__xludf.DUMMYFUNCTION("IF(B257="""","""",IF(OR(
  REGEXMATCH(B257,""Live|Webinário|Virtual""),
  REGEXMATCH(B257,""online"")
),""Virtual"",
IF(REGEXMATCH(B257,""Música|Álbum|Filme|Documentário|Série|Podcast|Rádio|Audiotour|Episódio|Reportagem|Curta|Charge|Livro|Vídeo|Entrevista"&amp;"""),
""Midiático"",
IF(REGEXMATCH(B257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57" s="183">
        <v>45840.0</v>
      </c>
      <c r="G257" s="15">
        <f t="shared" si="1"/>
        <v>2025</v>
      </c>
      <c r="H257" s="181" t="s">
        <v>347</v>
      </c>
      <c r="I257" s="16" t="s">
        <v>1055</v>
      </c>
      <c r="J257" s="169" t="str">
        <f>IFERROR(__xludf.DUMMYFUNCTION("REGEXEXTRACT(S257, ""\.\s(.*?)\s*YouTube"")"),"Sobrevivente do Carandiru relata em detalhes o dia do massacre.")</f>
        <v>Sobrevivente do Carandiru relata em detalhes o dia do massacre.</v>
      </c>
      <c r="K257" s="16" t="s">
        <v>83</v>
      </c>
      <c r="L257" s="18" t="s">
        <v>329</v>
      </c>
      <c r="M257" s="15" t="str">
        <f>IFERROR(__xludf.DUMMYFUNCTION("IF(REGEXMATCH(S257, ""Companhia das Letras""), ""Companhia das Letras"",
IF(REGEXMATCH(S257, ""Labortexto Editorial""), ""Labortexto Editorial"",
IF(REGEXMATCH(S257, ""Geração Editorial""), ""Geração Editorial"",
IF(REGEXMATCH(S257, ""Editora Imprensa Ofi"&amp;"cial|Imprensa Oficial""), ""Editora Imprensa Oficial"",
IF(REGEXMATCH(S257, ""Folha Online""), ""Folha Online"",
IF(REGEXMATCH(S257, ""FGV DIREITO SP|FGV Direito SP""), ""FGV DIREITO SP"",
IF(REGEXMATCH(S257, ""massacrecarandiru\.org\.br""), ""Memória Mas"&amp;"sacre Carandiru"",
IF(REGEXMATCH(S257, ""Itaú Cultural""), ""YouTube (Itaú Cultural)"",
IF(REGEXMATCH(S257, ""Passa Palavra""), ""Vimeo (Passa Palavra)"",
IF(REGEXMATCH(S257, ""rede2deoutubro\.blogspot""), ""Blogspot (Rede 02 de Outubro)"",
IF(REGEXMATCH("&amp;"S257, ""Rede TVT""), ""YouTube (Rede TVT)"",
IF(REGEXMATCH(S257, ""Esquerda Diário""), ""Esquerda Diário"",
IF(REGEXMATCH(S257, ""GZH""), ""GZH"",
IF(REGEXMATCH(S257, ""TVPUC""), ""TVPUC"",
IF(REGEXMATCH(S257, ""Mídia Ninja.*Facebook""), ""Facebook (Mídia"&amp;" Ninja)"",
IF(REGEXMATCH(S257, ""Memórias Carandiru.*Instagram""), ""Instagram (Memórias Carandiru)"",
IF(REGEXMATCH(S257, ""Frente pelo Desencarceramento SP""), ""YouTube (Frente Pelo Desencarceramento SP)"",
IF(REGEXMATCH(S257, ""TV ABA""), ""YouTube (T"&amp;"V ABA)"",
IF(REGEXMATCH(S257, ""TV SENADO""), ""YouTube (TV Senado)"",
IF(REGEXMATCH(S257, ""Google Arts &amp; Culture""), ""Google Arts &amp; Culture (Memória Massacre Carandiru)"",
IF(REGEXMATCH(S257, ""Anistia Internacional|ANISTIA INTERNACIONAL""), ""Anistia "&amp;"Internacional"",
IF(REGEXMATCH(S257, ""47\.mostra|47a Mostra""), ""47a Mostra Internacional de Cinema em São Paulo"",
IF(REGEXMATCH(S257, ""Canal USP""), ""YouTube (Canal USP)"",
IF(AND(
  REGEXMATCH(S257, ""(?i)(teses?\.usp\.br|dissertacoes?\.usp\.br|rep"&amp;"ositorio\.usp\.br)""),
  NOT(REGEXMATCH(S257, ""Canal USP""))
), ""Biblioteca Digital de Teses e Dissertações da USP"",
IF(REGEXMATCH(S257, ""SINTRAJUSC""), ""SINTRAJUSC"",
IF(REGEXMATCH(S257, ""Agência Brasil|Agencia Brasil""), ""Agência Brasil"",
IF(REG"&amp;"EXMATCH(S257, ""Brasil de Fato""), ""Brasil de Fato"",
IF(REGEXMATCH(S257, ""Ponte Jornalismo|pontejornalismo""), ""Ponte Jornalismo"",
IF(REGEXMATCH(S257, ""letras\.mus\.br|Letras,""), ""Letras"",
IF(REGEXMATCH(S257, ""YouTube|youtube""), 
   ""YouTube "&amp;"(""&amp;
   IF(REGEXMATCH(S257, ""Itaú Cultural""), ""Itaú Cultural"",
   IF(REGEXMATCH(S257, ""Rede TVT""), ""Rede TVT"",
   IF(REGEXMATCH(S257, ""Frente pelo Desencarceramento SP""), ""Frente Pelo Desencarceramento SP"",
   IF(REGEXMATCH(S257, ""TV ABA""), "&amp;"""TV ABA"",
   IF(REGEXMATCH(S257, ""TV SENADO""), ""TV Senado"",
   IF(REGEXMATCH(S257, ""Canal USP""), ""Canal USP"",
   IF(REGEXMATCH(S257, ""Douer, Zack|Zack Douer""), ""Douer Zack"",
   IF(REGEXMATCH(S257, ""PRISIONEIRO 84\.901|PRISIONEIRO 84""), ""P"&amp;"risioneiro 84.901"",
   IF(REGEXMATCH(S257, ""^[^,]*, ""), 
        PROPER(REGEXREPLACE(REGEXEXTRACT(S257, ""^([^.]*)\.""), ""^([^,]*), (.*)"", ""$2 $1"")),
        PROPER(REGEXEXTRACT(S257, ""^([^.]*)\.""))
   )))))))))&amp;"")"",
IF(REGEXMATCH(S257, ""Spot"&amp;"ify|spotify""), 
   ""Spotify (""&amp;
   IF(REGEXMATCH(S257, ""ESTRANHO SORRISO""), ""Estranho Sorriso"",
   PROPER(REGEXEXTRACT(S257, ""^([^.]*)\.""))
   )&amp;"")"",
IF(REGEXMATCH(S257, ""Vimeo|vimeo""), 
   ""Vimeo (""&amp;
   IF(REGEXMATCH(S257, ""Passa Palavra"&amp;"""), ""Passa Palavra"",
   PROPER(REGEXEXTRACT(S257, ""^([^.]*)\.""))
   )&amp;"")"",
IF(REGEXMATCH(S257, ""Blogspot""), 
   ""Blogspot (""&amp;
   IF(REGEXMATCH(S257, ""rede2deoutubro""), ""Rede 02 de Outubro"",
   PROPER(REGEXEXTRACT(S257, ""^([^.]*)\.""))
   "&amp;")&amp;"")"",
IF(REGEXMATCH(S257, ""Facebook""), 
   ""Facebook (""&amp;
   IF(REGEXMATCH(S257, ""Mídia Ninja""), ""Mídia Ninja"",
   PROPER(REGEXEXTRACT(S257, ""^([^.]*)\.""))
   )&amp;"")"",
IF(REGEXMATCH(S257, ""Instagram""), 
   ""Instagram (""&amp;
   IF(REGEXMATCH"&amp;"(S257, ""Memórias Carandiru""), ""Memórias Carandiru"",
   PROPER(REGEXEXTRACT(S257, ""^([^.]*)\.""))
   )&amp;"")"",
IF(REGEXMATCH(S257, ""Folha de S\. Paulo|FOLHA DE S\. PAULO""), ""Folha de S. Paulo"",
IF(REGEXMATCH(S257, ""O Estado de S\. Paulo|ESTADAO"""&amp;"), ""O Estado de S. Paulo"",
IF(REGEXMATCH(S257, ""salasecreta""), ""Wordpress (Sala Secreta)"",
IF(REGEXMATCH(S257, ""Wikipedia|Wikipédia|WIKIPÉDIA""), ""Wikipedia"",
IF(REGEXMATCH(S257, ""VEJA|Veja""), ""Veja Abril"",
IF(REGEXMATCH(S530, ""Rede Globo|RE"&amp;"DE GLOBO""), ""Rede Globo"",
IF(REGEXMATCH(S530, ""G1|globo\.com""), ""G1"",
IF(REGEXMATCH(S257, ""Deutsche Welle|DW\.com""), ""Deutsche Welle"",
IF(REGEXMATCH(S257, ""CIDH|Comissão Interamericana""), ""Comissão Interamericana de Direitos Humanos (CIDH)"""&amp;",
IF(REGEXMATCH(S257, ""Pastoral Carcerária""), ""Pastoral Carcerária"",
IF(REGEXMATCH(S257, ""Esquerda Web""), ""Esquerda Web"",
IF(REGEXMATCH(S257, ""ONU|Organização das Nações Unidas""), ""ONU Brasil"",
IF(REGEXMATCH(S257, ""Quilombo Invisível""), ""Qu"&amp;"ilombo Invisível"",
IF(REGEXMATCH(S257, ""ALESP|Assembleia Legislativa""), ""ALESP"",
IF(REGEXMATCH(S257, ""Revista Opera""), ""Revista Opera"",
IF(REGEXMATCH(S257, ""SP Escola de Teatro""), ""SP Escola de Teatro"",
IF(REGEXMATCH(S257, ""EMC|Espaço Memóri"&amp;"a Carandiru""), ""EMC Espaço Memória Carandiru"",
IF(REGEXMATCH(S257, ""^RAMOS, Nuno|Nuno Ramos""), ""Nuno Ramos"",
IF(REGEXMATCH(S257, ""^VELOSO, Caetano|Caetano Veloso""), ""YouTube (Caetano Veloso)"",
IF(REGEXMATCH(S257, ""^FATOS REAIS""), ""YouTube ("&amp;"Fatos Reais - Topic)"",
IF(REGEXMATCH(S257, ""^SALA SECRETA""), ""Wordpress (Sala Secreta)"",
PROPER(REGEXEXTRACT(S257, ""^([^.]*)\.""))
))))))))))))))))))))))))))))))))))))))))))))))))))))))))"),"YouTube (Tiktal Cortes [Oficial])")</f>
        <v>YouTube (Tiktal Cortes [Oficial])</v>
      </c>
      <c r="N257" s="11" t="s">
        <v>47</v>
      </c>
      <c r="O257" s="14" t="s">
        <v>374</v>
      </c>
      <c r="P257" s="171">
        <v>45946.0</v>
      </c>
      <c r="Q257" s="11" t="s">
        <v>154</v>
      </c>
      <c r="R257" s="70" t="str">
        <f t="shared" si="8"/>
        <v>Aqui</v>
      </c>
      <c r="S257" s="172" t="s">
        <v>1056</v>
      </c>
    </row>
    <row r="258">
      <c r="A258" s="11">
        <v>256.0</v>
      </c>
      <c r="B258" s="11" t="s">
        <v>770</v>
      </c>
      <c r="C258" s="122" t="s">
        <v>165</v>
      </c>
      <c r="D258" s="13" t="str">
        <f>IFERROR(__xludf.DUMMYFUNCTION("IF(B258="""","""",IF(OR(
  REGEXMATCH(B258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REGEXMATCH(B258,""público|Imediato|artística|teatral|memória"")
),""Público Imediato"",
IF(REGEXMATCH(B258,""Música|Álbum|Filme|Documentário|Série|Podc"&amp;"ast|Rádio|Audiotour|Entrevista|Reportagem|Crônica|Relatório|Abaixo-assinado|Manifesto|Petição|Poema|Livro|Fotografia|Curta|Live|Webinário|Charge|Leitura pública|Vídeo""),
""Público Mediado"","""")))
"),"Público Imediato")</f>
        <v>Público Imediato</v>
      </c>
      <c r="E258" s="13" t="str">
        <f>IFERROR(__xludf.DUMMYFUNCTION("IF(B258="""","""",IF(OR(
  REGEXMATCH(B258,""Live|Webinário|Virtual""),
  REGEXMATCH(B258,""online"")
),""Virtual"",
IF(REGEXMATCH(B258,""Música|Álbum|Filme|Documentário|Série|Podcast|Rádio|Audiotour|Episódio|Reportagem|Curta|Charge|Livro|Vídeo|Entrevista"&amp;"""),
""Midiático"",
IF(REGEXMATCH(B258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8" s="183">
        <v>45929.0</v>
      </c>
      <c r="G258" s="15">
        <f t="shared" si="1"/>
        <v>2025</v>
      </c>
      <c r="H258" s="11" t="s">
        <v>931</v>
      </c>
      <c r="I258" s="16" t="s">
        <v>1057</v>
      </c>
      <c r="J258" s="17" t="s">
        <v>1058</v>
      </c>
      <c r="K258" s="16" t="s">
        <v>233</v>
      </c>
      <c r="L258" s="18" t="s">
        <v>325</v>
      </c>
      <c r="M258" s="15" t="str">
        <f>IFERROR(__xludf.DUMMYFUNCTION("IF(REGEXMATCH(S258, ""Companhia das Letras""), ""Companhia das Letras"",
IF(REGEXMATCH(S258, ""Labortexto Editorial""), ""Labortexto Editorial"",
IF(REGEXMATCH(S258, ""Geração Editorial""), ""Geração Editorial"",
IF(REGEXMATCH(S258, ""Editora Imprensa Ofi"&amp;"cial|Imprensa Oficial""), ""Editora Imprensa Oficial"",
IF(REGEXMATCH(S258, ""Folha Online""), ""Folha Online"",
IF(REGEXMATCH(S258, ""FGV DIREITO SP|FGV Direito SP""), ""FGV DIREITO SP"",
IF(REGEXMATCH(S258, ""massacrecarandiru\.org\.br""), ""Memória Mas"&amp;"sacre Carandiru"",
IF(REGEXMATCH(S258, ""Itaú Cultural""), ""YouTube (Itaú Cultural)"",
IF(REGEXMATCH(S258, ""Passa Palavra""), ""Vimeo (Passa Palavra)"",
IF(REGEXMATCH(S258, ""rede2deoutubro\.blogspot""), ""Blogspot (Rede 02 de Outubro)"",
IF(REGEXMATCH("&amp;"S258, ""Rede TVT""), ""YouTube (Rede TVT)"",
IF(REGEXMATCH(S258, ""Esquerda Diário""), ""Esquerda Diário"",
IF(REGEXMATCH(S258, ""GZH""), ""GZH"",
IF(REGEXMATCH(S258, ""TVPUC""), ""TVPUC"",
IF(REGEXMATCH(S258, ""Mídia Ninja.*Facebook""), ""Facebook (Mídia"&amp;" Ninja)"",
IF(REGEXMATCH(S258, ""Memórias Carandiru.*Instagram""), ""Instagram (Memórias Carandiru)"",
IF(REGEXMATCH(S258, ""Frente pelo Desencarceramento SP""), ""YouTube (Frente Pelo Desencarceramento SP)"",
IF(REGEXMATCH(S258, ""TV ABA""), ""YouTube (T"&amp;"V ABA)"",
IF(REGEXMATCH(S258, ""TV SENADO""), ""YouTube (TV Senado)"",
IF(REGEXMATCH(S258, ""Google Arts &amp; Culture""), ""Google Arts &amp; Culture (Memória Massacre Carandiru)"",
IF(REGEXMATCH(S258, ""Anistia Internacional|ANISTIA INTERNACIONAL""), ""Anistia "&amp;"Internacional"",
IF(REGEXMATCH(S258, ""47\.mostra|47a Mostra""), ""47a Mostra Internacional de Cinema em São Paulo"",
IF(REGEXMATCH(S258, ""Canal USP""), ""YouTube (Canal USP)"",
IF(AND(
  REGEXMATCH(S258, ""(?i)(teses?\.usp\.br|dissertacoes?\.usp\.br|rep"&amp;"ositorio\.usp\.br)""),
  NOT(REGEXMATCH(S258, ""Canal USP""))
), ""Biblioteca Digital de Teses e Dissertações da USP"",
IF(REGEXMATCH(S258, ""SINTRAJUSC""), ""SINTRAJUSC"",
IF(REGEXMATCH(S258, ""Agência Brasil|Agencia Brasil""), ""Agência Brasil"",
IF(REG"&amp;"EXMATCH(S258, ""Brasil de Fato""), ""Brasil de Fato"",
IF(REGEXMATCH(S258, ""Ponte Jornalismo|pontejornalismo""), ""Ponte Jornalismo"",
IF(REGEXMATCH(S258, ""letras\.mus\.br|Letras,""), ""Letras"",
IF(REGEXMATCH(S258, ""YouTube|youtube""), 
   ""YouTube "&amp;"(""&amp;
   IF(REGEXMATCH(S258, ""Itaú Cultural""), ""Itaú Cultural"",
   IF(REGEXMATCH(S258, ""Rede TVT""), ""Rede TVT"",
   IF(REGEXMATCH(S258, ""Frente pelo Desencarceramento SP""), ""Frente Pelo Desencarceramento SP"",
   IF(REGEXMATCH(S258, ""TV ABA""), "&amp;"""TV ABA"",
   IF(REGEXMATCH(S258, ""TV SENADO""), ""TV Senado"",
   IF(REGEXMATCH(S258, ""Canal USP""), ""Canal USP"",
   IF(REGEXMATCH(S258, ""Douer, Zack|Zack Douer""), ""Douer Zack"",
   IF(REGEXMATCH(S258, ""PRISIONEIRO 84\.901|PRISIONEIRO 84""), ""P"&amp;"risioneiro 84.901"",
   IF(REGEXMATCH(S258, ""^[^,]*, ""), 
        PROPER(REGEXREPLACE(REGEXEXTRACT(S258, ""^([^.]*)\.""), ""^([^,]*), (.*)"", ""$2 $1"")),
        PROPER(REGEXEXTRACT(S258, ""^([^.]*)\.""))
   )))))))))&amp;"")"",
IF(REGEXMATCH(S258, ""Spot"&amp;"ify|spotify""), 
   ""Spotify (""&amp;
   IF(REGEXMATCH(S258, ""ESTRANHO SORRISO""), ""Estranho Sorriso"",
   PROPER(REGEXEXTRACT(S258, ""^([^.]*)\.""))
   )&amp;"")"",
IF(REGEXMATCH(S258, ""Vimeo|vimeo""), 
   ""Vimeo (""&amp;
   IF(REGEXMATCH(S258, ""Passa Palavra"&amp;"""), ""Passa Palavra"",
   PROPER(REGEXEXTRACT(S258, ""^([^.]*)\.""))
   )&amp;"")"",
IF(REGEXMATCH(S258, ""Blogspot""), 
   ""Blogspot (""&amp;
   IF(REGEXMATCH(S258, ""rede2deoutubro""), ""Rede 02 de Outubro"",
   PROPER(REGEXEXTRACT(S258, ""^([^.]*)\.""))
   "&amp;")&amp;"")"",
IF(REGEXMATCH(S258, ""Facebook""), 
   ""Facebook (""&amp;
   IF(REGEXMATCH(S258, ""Mídia Ninja""), ""Mídia Ninja"",
   PROPER(REGEXEXTRACT(S258, ""^([^.]*)\.""))
   )&amp;"")"",
IF(REGEXMATCH(S258, ""Instagram""), 
   ""Instagram (""&amp;
   IF(REGEXMATCH"&amp;"(S258, ""Memórias Carandiru""), ""Memórias Carandiru"",
   PROPER(REGEXEXTRACT(S258, ""^([^.]*)\.""))
   )&amp;"")"",
IF(REGEXMATCH(S258, ""Folha de S\. Paulo|FOLHA DE S\. PAULO""), ""Folha de S. Paulo"",
IF(REGEXMATCH(S258, ""O Estado de S\. Paulo|ESTADAO"""&amp;"), ""O Estado de S. Paulo"",
IF(REGEXMATCH(S258, ""salasecreta""), ""Wordpress (Sala Secreta)"",
IF(REGEXMATCH(S258, ""Wikipedia|Wikipédia|WIKIPÉDIA""), ""Wikipedia"",
IF(REGEXMATCH(S258, ""VEJA|Veja""), ""Veja Abril"",
IF(REGEXMATCH(S531, ""Rede Globo|RE"&amp;"DE GLOBO""), ""Rede Globo"",
IF(REGEXMATCH(S531, ""G1|globo\.com""), ""G1"",
IF(REGEXMATCH(S258, ""Deutsche Welle|DW\.com""), ""Deutsche Welle"",
IF(REGEXMATCH(S258, ""CIDH|Comissão Interamericana""), ""Comissão Interamericana de Direitos Humanos (CIDH)"""&amp;",
IF(REGEXMATCH(S258, ""Pastoral Carcerária""), ""Pastoral Carcerária"",
IF(REGEXMATCH(S258, ""Esquerda Web""), ""Esquerda Web"",
IF(REGEXMATCH(S258, ""ONU|Organização das Nações Unidas""), ""ONU Brasil"",
IF(REGEXMATCH(S258, ""Quilombo Invisível""), ""Qu"&amp;"ilombo Invisível"",
IF(REGEXMATCH(S258, ""ALESP|Assembleia Legislativa""), ""ALESP"",
IF(REGEXMATCH(S258, ""Revista Opera""), ""Revista Opera"",
IF(REGEXMATCH(S258, ""SP Escola de Teatro""), ""SP Escola de Teatro"",
IF(REGEXMATCH(S258, ""EMC|Espaço Memóri"&amp;"a Carandiru""), ""EMC Espaço Memória Carandiru"",
IF(REGEXMATCH(S258, ""^RAMOS, Nuno|Nuno Ramos""), ""Nuno Ramos"",
IF(REGEXMATCH(S258, ""^VELOSO, Caetano|Caetano Veloso""), ""YouTube (Caetano Veloso)"",
IF(REGEXMATCH(S258, ""^FATOS REAIS""), ""YouTube ("&amp;"Fatos Reais - Topic)"",
IF(REGEXMATCH(S258, ""^SALA SECRETA""), ""Wordpress (Sala Secreta)"",
PROPER(REGEXEXTRACT(S258, ""^([^.]*)\.""))
))))))))))))))))))))))))))))))))))))))))))))))))))))))))"),"FGV DIREITO SP")</f>
        <v>FGV DIREITO SP</v>
      </c>
      <c r="N258" s="11" t="s">
        <v>47</v>
      </c>
      <c r="O258" s="14" t="s">
        <v>1059</v>
      </c>
      <c r="P258" s="171">
        <v>45947.0</v>
      </c>
      <c r="Q258" s="11" t="s">
        <v>154</v>
      </c>
      <c r="R258" s="70" t="str">
        <f t="shared" si="8"/>
        <v>Aqui</v>
      </c>
      <c r="S258" s="172" t="s">
        <v>1060</v>
      </c>
    </row>
    <row r="259">
      <c r="A259" s="11">
        <v>257.0</v>
      </c>
      <c r="B259" s="11" t="s">
        <v>1061</v>
      </c>
      <c r="C259" s="12" t="str">
        <f>IFERROR(__xludf.DUMMYFUNCTION("IF(B259="""","""",IF(OR(
  REGEXMATCH(B259,""Performance|Instalação|Álbum|Música|Poema|Livro|Filme|Documentário|Recitação|Espetáculo|Peça|Intervenção|Desfile|Fotografia|Exposição|Charge|Grafite|Leitura pública|Fabricação de cachaça artesanal""),
  REGEXMA"&amp;"TCH(B259,""dança|teatral|artístico|musical|artística"")
),""Manifestação artístico-cultural"",
IF(OR(
  REGEXMATCH(B259,""Crônica|Série|Reportagem|Podcast|Audiotour|Entrevista|Vídeo|Rádio""),
  REGEXMATCH(B259,""midiática"")
),""Produção midiática"","""")"&amp;"))
"),"Produção midiática")</f>
        <v>Produção midiática</v>
      </c>
      <c r="D259" s="13" t="str">
        <f>IFERROR(__xludf.DUMMYFUNCTION("IF(B259="""","""",IF(OR(
  REGEXMATCH(B259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REGEXMATCH(B259,""público|Imediato|artística|teatral|memória"")
),""Público Imediato"",
IF(REGEXMATCH(B259,""Música|Álbum|Filme|Documentário|Série|Podc"&amp;"ast|Rádio|Audiotour|Entrevista|Reportagem|Crônica|Relatório|Abaixo-assinado|Manifesto|Petição|Poema|Livro|Fotografia|Curta|Live|Webinário|Charge|Leitura pública|Vídeo""),
""Público Mediado"","""")))
"),"Público Mediado")</f>
        <v>Público Mediado</v>
      </c>
      <c r="E259" s="13" t="str">
        <f>IFERROR(__xludf.DUMMYFUNCTION("IF(B259="""","""",IF(OR(
  REGEXMATCH(B259,""Live|Webinário|Virtual""),
  REGEXMATCH(B259,""online"")
),""Virtual"",
IF(REGEXMATCH(B259,""Música|Álbum|Filme|Documentário|Série|Podcast|Rádio|Audiotour|Episódio|Reportagem|Curta|Charge|Livro|Vídeo|Entrevista"&amp;"""),
""Midiático"",
IF(REGEXMATCH(B259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59" s="183">
        <v>45932.0</v>
      </c>
      <c r="G259" s="15">
        <f t="shared" si="1"/>
        <v>2025</v>
      </c>
      <c r="H259" s="11" t="s">
        <v>659</v>
      </c>
      <c r="I259" s="16" t="s">
        <v>1062</v>
      </c>
      <c r="J259" s="17" t="s">
        <v>1063</v>
      </c>
      <c r="K259" s="16" t="s">
        <v>222</v>
      </c>
      <c r="L259" s="18" t="s">
        <v>106</v>
      </c>
      <c r="M259" s="15" t="str">
        <f>IFERROR(__xludf.DUMMYFUNCTION("IF(REGEXMATCH(S259, ""Companhia das Letras""), ""Companhia das Letras"",
IF(REGEXMATCH(S259, ""Labortexto Editorial""), ""Labortexto Editorial"",
IF(REGEXMATCH(S259, ""Geração Editorial""), ""Geração Editorial"",
IF(REGEXMATCH(S259, ""Editora Imprensa Ofi"&amp;"cial|Imprensa Oficial""), ""Editora Imprensa Oficial"",
IF(REGEXMATCH(S259, ""Folha Online""), ""Folha Online"",
IF(REGEXMATCH(S259, ""FGV DIREITO SP|FGV Direito SP""), ""FGV DIREITO SP"",
IF(REGEXMATCH(S259, ""massacrecarandiru\.org\.br""), ""Memória Mas"&amp;"sacre Carandiru"",
IF(REGEXMATCH(S259, ""Itaú Cultural""), ""YouTube (Itaú Cultural)"",
IF(REGEXMATCH(S259, ""Passa Palavra""), ""Vimeo (Passa Palavra)"",
IF(REGEXMATCH(S259, ""rede2deoutubro\.blogspot""), ""Blogspot (Rede 02 de Outubro)"",
IF(REGEXMATCH("&amp;"S259, ""Rede TVT""), ""YouTube (Rede TVT)"",
IF(REGEXMATCH(S259, ""Esquerda Diário""), ""Esquerda Diário"",
IF(REGEXMATCH(S259, ""GZH""), ""GZH"",
IF(REGEXMATCH(S259, ""TVPUC""), ""TVPUC"",
IF(REGEXMATCH(S259, ""Mídia Ninja.*Facebook""), ""Facebook (Mídia"&amp;" Ninja)"",
IF(REGEXMATCH(S259, ""Memórias Carandiru.*Instagram""), ""Instagram (Memórias Carandiru)"",
IF(REGEXMATCH(S259, ""Frente pelo Desencarceramento SP""), ""YouTube (Frente Pelo Desencarceramento SP)"",
IF(REGEXMATCH(S259, ""TV ABA""), ""YouTube (T"&amp;"V ABA)"",
IF(REGEXMATCH(S259, ""TV SENADO""), ""YouTube (TV Senado)"",
IF(REGEXMATCH(S259, ""Google Arts &amp; Culture""), ""Google Arts &amp; Culture (Memória Massacre Carandiru)"",
IF(REGEXMATCH(S259, ""Anistia Internacional|ANISTIA INTERNACIONAL""), ""Anistia "&amp;"Internacional"",
IF(REGEXMATCH(S259, ""47\.mostra|47a Mostra""), ""47a Mostra Internacional de Cinema em São Paulo"",
IF(REGEXMATCH(S259, ""Canal USP""), ""YouTube (Canal USP)"",
IF(AND(
  REGEXMATCH(S259, ""(?i)(teses?\.usp\.br|dissertacoes?\.usp\.br|rep"&amp;"ositorio\.usp\.br)""),
  NOT(REGEXMATCH(S259, ""Canal USP""))
), ""Biblioteca Digital de Teses e Dissertações da USP"",
IF(REGEXMATCH(S259, ""SINTRAJUSC""), ""SINTRAJUSC"",
IF(REGEXMATCH(S259, ""Agência Brasil|Agencia Brasil""), ""Agência Brasil"",
IF(REG"&amp;"EXMATCH(S259, ""Brasil de Fato""), ""Brasil de Fato"",
IF(REGEXMATCH(S259, ""Ponte Jornalismo|pontejornalismo""), ""Ponte Jornalismo"",
IF(REGEXMATCH(S259, ""letras\.mus\.br|Letras,""), ""Letras"",
IF(REGEXMATCH(S259, ""YouTube|youtube""), 
   ""YouTube "&amp;"(""&amp;
   IF(REGEXMATCH(S259, ""Itaú Cultural""), ""Itaú Cultural"",
   IF(REGEXMATCH(S259, ""Rede TVT""), ""Rede TVT"",
   IF(REGEXMATCH(S259, ""Frente pelo Desencarceramento SP""), ""Frente Pelo Desencarceramento SP"",
   IF(REGEXMATCH(S259, ""TV ABA""), "&amp;"""TV ABA"",
   IF(REGEXMATCH(S259, ""TV SENADO""), ""TV Senado"",
   IF(REGEXMATCH(S259, ""Canal USP""), ""Canal USP"",
   IF(REGEXMATCH(S259, ""Douer, Zack|Zack Douer""), ""Douer Zack"",
   IF(REGEXMATCH(S259, ""PRISIONEIRO 84\.901|PRISIONEIRO 84""), ""P"&amp;"risioneiro 84.901"",
   IF(REGEXMATCH(S259, ""^[^,]*, ""), 
        PROPER(REGEXREPLACE(REGEXEXTRACT(S259, ""^([^.]*)\.""), ""^([^,]*), (.*)"", ""$2 $1"")),
        PROPER(REGEXEXTRACT(S259, ""^([^.]*)\.""))
   )))))))))&amp;"")"",
IF(REGEXMATCH(S259, ""Spot"&amp;"ify|spotify""), 
   ""Spotify (""&amp;
   IF(REGEXMATCH(S259, ""ESTRANHO SORRISO""), ""Estranho Sorriso"",
   PROPER(REGEXEXTRACT(S259, ""^([^.]*)\.""))
   )&amp;"")"",
IF(REGEXMATCH(S259, ""Vimeo|vimeo""), 
   ""Vimeo (""&amp;
   IF(REGEXMATCH(S259, ""Passa Palavra"&amp;"""), ""Passa Palavra"",
   PROPER(REGEXEXTRACT(S259, ""^([^.]*)\.""))
   )&amp;"")"",
IF(REGEXMATCH(S259, ""Blogspot""), 
   ""Blogspot (""&amp;
   IF(REGEXMATCH(S259, ""rede2deoutubro""), ""Rede 02 de Outubro"",
   PROPER(REGEXEXTRACT(S259, ""^([^.]*)\.""))
   "&amp;")&amp;"")"",
IF(REGEXMATCH(S259, ""Facebook""), 
   ""Facebook (""&amp;
   IF(REGEXMATCH(S259, ""Mídia Ninja""), ""Mídia Ninja"",
   PROPER(REGEXEXTRACT(S259, ""^([^.]*)\.""))
   )&amp;"")"",
IF(REGEXMATCH(S259, ""Instagram""), 
   ""Instagram (""&amp;
   IF(REGEXMATCH"&amp;"(S259, ""Memórias Carandiru""), ""Memórias Carandiru"",
   PROPER(REGEXEXTRACT(S259, ""^([^.]*)\.""))
   )&amp;"")"",
IF(REGEXMATCH(S259, ""Folha de S\. Paulo|FOLHA DE S\. PAULO""), ""Folha de S. Paulo"",
IF(REGEXMATCH(S259, ""O Estado de S\. Paulo|ESTADAO"""&amp;"), ""O Estado de S. Paulo"",
IF(REGEXMATCH(S259, ""salasecreta""), ""Wordpress (Sala Secreta)"",
IF(REGEXMATCH(S259, ""Wikipedia|Wikipédia|WIKIPÉDIA""), ""Wikipedia"",
IF(REGEXMATCH(S259, ""VEJA|Veja""), ""Veja Abril"",
IF(REGEXMATCH(S532, ""Rede Globo|RE"&amp;"DE GLOBO""), ""Rede Globo"",
IF(REGEXMATCH(S532, ""G1|globo\.com""), ""G1"",
IF(REGEXMATCH(S259, ""Deutsche Welle|DW\.com""), ""Deutsche Welle"",
IF(REGEXMATCH(S259, ""CIDH|Comissão Interamericana""), ""Comissão Interamericana de Direitos Humanos (CIDH)"""&amp;",
IF(REGEXMATCH(S259, ""Pastoral Carcerária""), ""Pastoral Carcerária"",
IF(REGEXMATCH(S259, ""Esquerda Web""), ""Esquerda Web"",
IF(REGEXMATCH(S259, ""ONU|Organização das Nações Unidas""), ""ONU Brasil"",
IF(REGEXMATCH(S259, ""Quilombo Invisível""), ""Qu"&amp;"ilombo Invisível"",
IF(REGEXMATCH(S259, ""ALESP|Assembleia Legislativa""), ""ALESP"",
IF(REGEXMATCH(S259, ""Revista Opera""), ""Revista Opera"",
IF(REGEXMATCH(S259, ""SP Escola de Teatro""), ""SP Escola de Teatro"",
IF(REGEXMATCH(S259, ""EMC|Espaço Memóri"&amp;"a Carandiru""), ""EMC Espaço Memória Carandiru"",
IF(REGEXMATCH(S259, ""^RAMOS, Nuno|Nuno Ramos""), ""Nuno Ramos"",
IF(REGEXMATCH(S259, ""^VELOSO, Caetano|Caetano Veloso""), ""YouTube (Caetano Veloso)"",
IF(REGEXMATCH(S259, ""^FATOS REAIS""), ""YouTube ("&amp;"Fatos Reais - Topic)"",
IF(REGEXMATCH(S259, ""^SALA SECRETA""), ""Wordpress (Sala Secreta)"",
PROPER(REGEXEXTRACT(S259, ""^([^.]*)\.""))
))))))))))))))))))))))))))))))))))))))))))))))))))))))))"),"Instituto Sou Da Paz")</f>
        <v>Instituto Sou Da Paz</v>
      </c>
      <c r="N259" s="11" t="s">
        <v>47</v>
      </c>
      <c r="O259" s="14" t="s">
        <v>1059</v>
      </c>
      <c r="P259" s="171">
        <v>45947.0</v>
      </c>
      <c r="Q259" s="11" t="s">
        <v>154</v>
      </c>
      <c r="R259" s="70" t="str">
        <f t="shared" si="8"/>
        <v>Aqui</v>
      </c>
      <c r="S259" s="172" t="s">
        <v>1064</v>
      </c>
    </row>
    <row r="260">
      <c r="A260" s="11">
        <v>258.0</v>
      </c>
      <c r="B260" s="11" t="s">
        <v>485</v>
      </c>
      <c r="C260" s="12" t="str">
        <f>IFERROR(__xludf.DUMMYFUNCTION("IF(B260="""","""",IF(OR(
  REGEXMATCH(B260,""Performance|Instalação|Álbum|Música|Poema|Livro|Filme|Documentário|Recitação|Espetáculo|Peça|Intervenção|Desfile|Fotografia|Exposição|Charge|Grafite|Leitura pública|Fabricação de cachaça artesanal""),
  REGEXMA"&amp;"TCH(B260,""dança|teatral|artístico|musical|artística"")
),""Manifestação artístico-cultural"",
IF(OR(
  REGEXMATCH(B260,""Crônica|Série|Reportagem|Podcast|Audiotour|Entrevista|Vídeo|Rádio""),
  REGEXMATCH(B260,""midiática"")
),""Produção midiática"","""")"&amp;"))
"),"Manifestação artístico-cultural")</f>
        <v>Manifestação artístico-cultural</v>
      </c>
      <c r="D260" s="13" t="str">
        <f>IFERROR(__xludf.DUMMYFUNCTION("IF(B260="""","""",IF(OR(
  REGEXMATCH(B260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REGEXMATCH(B260,""público|Imediato|artística|teatral|memória"")
),""Público Imediato"",
IF(REGEXMATCH(B260,""Música|Álbum|Filme|Documentário|Série|Podc"&amp;"ast|Rádio|Audiotour|Entrevista|Reportagem|Crônica|Relatório|Abaixo-assinado|Manifesto|Petição|Poema|Livro|Fotografia|Curta|Live|Webinário|Charge|Leitura pública|Vídeo""),
""Público Mediado"","""")))
"),"Público Imediato")</f>
        <v>Público Imediato</v>
      </c>
      <c r="E260" s="13" t="str">
        <f>IFERROR(__xludf.DUMMYFUNCTION("IF(B260="""","""",IF(OR(
  REGEXMATCH(B260,""Live|Webinário|Virtual""),
  REGEXMATCH(B260,""online"")
),""Virtual"",
IF(REGEXMATCH(B260,""Música|Álbum|Filme|Documentário|Série|Podcast|Rádio|Audiotour|Episódio|Reportagem|Curta|Charge|Livro|Vídeo|Entrevista"&amp;"""),
""Midiático"",
IF(REGEXMATCH(B260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60" s="183">
        <v>46039.0</v>
      </c>
      <c r="G260" s="15">
        <f t="shared" si="1"/>
        <v>2026</v>
      </c>
      <c r="H260" s="11" t="s">
        <v>23</v>
      </c>
      <c r="I260" s="16" t="s">
        <v>1065</v>
      </c>
      <c r="J260" s="17" t="s">
        <v>1066</v>
      </c>
      <c r="K260" s="16" t="s">
        <v>736</v>
      </c>
      <c r="L260" s="18" t="s">
        <v>489</v>
      </c>
      <c r="M260" s="15" t="str">
        <f>IFERROR(__xludf.DUMMYFUNCTION("IF(REGEXMATCH(S260, ""Companhia das Letras""), ""Companhia das Letras"",
IF(REGEXMATCH(S260, ""Labortexto Editorial""), ""Labortexto Editorial"",
IF(REGEXMATCH(S260, ""Geração Editorial""), ""Geração Editorial"",
IF(REGEXMATCH(S260, ""Editora Imprensa Ofi"&amp;"cial|Imprensa Oficial""), ""Editora Imprensa Oficial"",
IF(REGEXMATCH(S260, ""Folha Online""), ""Folha Online"",
IF(REGEXMATCH(S260, ""FGV DIREITO SP|FGV Direito SP""), ""FGV DIREITO SP"",
IF(REGEXMATCH(S260, ""massacrecarandiru\.org\.br""), ""Memória Mas"&amp;"sacre Carandiru"",
IF(REGEXMATCH(S260, ""Itaú Cultural""), ""YouTube (Itaú Cultural)"",
IF(REGEXMATCH(S260, ""Passa Palavra""), ""Vimeo (Passa Palavra)"",
IF(REGEXMATCH(S260, ""rede2deoutubro\.blogspot""), ""Blogspot (Rede 02 de Outubro)"",
IF(REGEXMATCH("&amp;"S260, ""Rede TVT""), ""YouTube (Rede TVT)"",
IF(REGEXMATCH(S260, ""Esquerda Diário""), ""Esquerda Diário"",
IF(REGEXMATCH(S260, ""GZH""), ""GZH"",
IF(REGEXMATCH(S260, ""TVPUC""), ""TVPUC"",
IF(REGEXMATCH(S260, ""Mídia Ninja.*Facebook""), ""Facebook (Mídia"&amp;" Ninja)"",
IF(REGEXMATCH(S260, ""Memórias Carandiru.*Instagram""), ""Instagram (Memórias Carandiru)"",
IF(REGEXMATCH(S260, ""Frente pelo Desencarceramento SP""), ""YouTube (Frente Pelo Desencarceramento SP)"",
IF(REGEXMATCH(S260, ""TV ABA""), ""YouTube (T"&amp;"V ABA)"",
IF(REGEXMATCH(S260, ""TV SENADO""), ""YouTube (TV Senado)"",
IF(REGEXMATCH(S260, ""Google Arts &amp; Culture""), ""Google Arts &amp; Culture (Memória Massacre Carandiru)"",
IF(REGEXMATCH(S260, ""Anistia Internacional|ANISTIA INTERNACIONAL""), ""Anistia "&amp;"Internacional"",
IF(REGEXMATCH(S260, ""47\.mostra|47a Mostra""), ""47a Mostra Internacional de Cinema em São Paulo"",
IF(REGEXMATCH(S260, ""Canal USP""), ""YouTube (Canal USP)"",
IF(AND(
  REGEXMATCH(S260, ""(?i)(teses?\.usp\.br|dissertacoes?\.usp\.br|rep"&amp;"ositorio\.usp\.br)""),
  NOT(REGEXMATCH(S260, ""Canal USP""))
), ""Biblioteca Digital de Teses e Dissertações da USP"",
IF(REGEXMATCH(S260, ""SINTRAJUSC""), ""SINTRAJUSC"",
IF(REGEXMATCH(S260, ""Agência Brasil|Agencia Brasil""), ""Agência Brasil"",
IF(REG"&amp;"EXMATCH(S260, ""Brasil de Fato""), ""Brasil de Fato"",
IF(REGEXMATCH(S260, ""Ponte Jornalismo|pontejornalismo""), ""Ponte Jornalismo"",
IF(REGEXMATCH(S260, ""letras\.mus\.br|Letras,""), ""Letras"",
IF(REGEXMATCH(S260, ""YouTube|youtube""), 
   ""YouTube "&amp;"(""&amp;
   IF(REGEXMATCH(S260, ""Itaú Cultural""), ""Itaú Cultural"",
   IF(REGEXMATCH(S260, ""Rede TVT""), ""Rede TVT"",
   IF(REGEXMATCH(S260, ""Frente pelo Desencarceramento SP""), ""Frente Pelo Desencarceramento SP"",
   IF(REGEXMATCH(S260, ""TV ABA""), "&amp;"""TV ABA"",
   IF(REGEXMATCH(S260, ""TV SENADO""), ""TV Senado"",
   IF(REGEXMATCH(S260, ""Canal USP""), ""Canal USP"",
   IF(REGEXMATCH(S260, ""Douer, Zack|Zack Douer""), ""Douer Zack"",
   IF(REGEXMATCH(S260, ""PRISIONEIRO 84\.901|PRISIONEIRO 84""), ""P"&amp;"risioneiro 84.901"",
   IF(REGEXMATCH(S260, ""^[^,]*, ""), 
        PROPER(REGEXREPLACE(REGEXEXTRACT(S260, ""^([^.]*)\.""), ""^([^,]*), (.*)"", ""$2 $1"")),
        PROPER(REGEXEXTRACT(S260, ""^([^.]*)\.""))
   )))))))))&amp;"")"",
IF(REGEXMATCH(S260, ""Spot"&amp;"ify|spotify""), 
   ""Spotify (""&amp;
   IF(REGEXMATCH(S260, ""ESTRANHO SORRISO""), ""Estranho Sorriso"",
   PROPER(REGEXEXTRACT(S260, ""^([^.]*)\.""))
   )&amp;"")"",
IF(REGEXMATCH(S260, ""Vimeo|vimeo""), 
   ""Vimeo (""&amp;
   IF(REGEXMATCH(S260, ""Passa Palavra"&amp;"""), ""Passa Palavra"",
   PROPER(REGEXEXTRACT(S260, ""^([^.]*)\.""))
   )&amp;"")"",
IF(REGEXMATCH(S260, ""Blogspot""), 
   ""Blogspot (""&amp;
   IF(REGEXMATCH(S260, ""rede2deoutubro""), ""Rede 02 de Outubro"",
   PROPER(REGEXEXTRACT(S260, ""^([^.]*)\.""))
   "&amp;")&amp;"")"",
IF(REGEXMATCH(S260, ""Facebook""), 
   ""Facebook (""&amp;
   IF(REGEXMATCH(S260, ""Mídia Ninja""), ""Mídia Ninja"",
   PROPER(REGEXEXTRACT(S260, ""^([^.]*)\.""))
   )&amp;"")"",
IF(REGEXMATCH(S260, ""Instagram""), 
   ""Instagram (""&amp;
   IF(REGEXMATCH"&amp;"(S260, ""Memórias Carandiru""), ""Memórias Carandiru"",
   PROPER(REGEXEXTRACT(S260, ""^([^.]*)\.""))
   )&amp;"")"",
IF(REGEXMATCH(S260, ""Folha de S\. Paulo|FOLHA DE S\. PAULO""), ""Folha de S. Paulo"",
IF(REGEXMATCH(S260, ""O Estado de S\. Paulo|ESTADAO"""&amp;"), ""O Estado de S. Paulo"",
IF(REGEXMATCH(S260, ""salasecreta""), ""Wordpress (Sala Secreta)"",
IF(REGEXMATCH(S260, ""Wikipedia|Wikipédia|WIKIPÉDIA""), ""Wikipedia"",
IF(REGEXMATCH(S260, ""VEJA|Veja""), ""Veja Abril"",
IF(REGEXMATCH(S245, ""Rede Globo|RE"&amp;"DE GLOBO""), ""Rede Globo"",
IF(REGEXMATCH(S245, ""G1|globo\.com""), ""G1"",
IF(REGEXMATCH(S260, ""Deutsche Welle|DW\.com""), ""Deutsche Welle"",
IF(REGEXMATCH(S260, ""CIDH|Comissão Interamericana""), ""Comissão Interamericana de Direitos Humanos (CIDH)"""&amp;",
IF(REGEXMATCH(S260, ""Pastoral Carcerária""), ""Pastoral Carcerária"",
IF(REGEXMATCH(S260, ""Esquerda Web""), ""Esquerda Web"",
IF(REGEXMATCH(S260, ""ONU|Organização das Nações Unidas""), ""ONU Brasil"",
IF(REGEXMATCH(S260, ""Quilombo Invisível""), ""Qu"&amp;"ilombo Invisível"",
IF(REGEXMATCH(S260, ""ALESP|Assembleia Legislativa""), ""ALESP"",
IF(REGEXMATCH(S260, ""Revista Opera""), ""Revista Opera"",
IF(REGEXMATCH(S260, ""SP Escola de Teatro""), ""SP Escola de Teatro"",
IF(REGEXMATCH(S260, ""EMC|Espaço Memóri"&amp;"a Carandiru""), ""EMC Espaço Memória Carandiru"",
IF(REGEXMATCH(S260, ""^RAMOS, Nuno|Nuno Ramos""), ""Nuno Ramos"",
IF(REGEXMATCH(S260, ""^VELOSO, Caetano|Caetano Veloso""), ""YouTube (Caetano Veloso)"",
IF(REGEXMATCH(S260, ""^FATOS REAIS""), ""YouTube ("&amp;"Fatos Reais - Topic)"",
IF(REGEXMATCH(S260, ""^SALA SECRETA""), ""Wordpress (Sala Secreta)"",
PROPER(REGEXEXTRACT(S260, ""^([^.]*)\.""))
))))))))))))))))))))))))))))))))))))))))))))))))))))))))"),"Pereira, Fabiane")</f>
        <v>Pereira, Fabiane</v>
      </c>
      <c r="N260" s="11" t="s">
        <v>47</v>
      </c>
      <c r="O260" s="14" t="s">
        <v>1059</v>
      </c>
      <c r="P260" s="183">
        <v>46276.0</v>
      </c>
      <c r="Q260" s="11" t="s">
        <v>154</v>
      </c>
      <c r="R260" s="70" t="str">
        <f t="shared" si="8"/>
        <v>Aqui</v>
      </c>
      <c r="S260" s="172" t="s">
        <v>1067</v>
      </c>
    </row>
    <row r="261">
      <c r="A261" s="11">
        <v>259.0</v>
      </c>
      <c r="B261" s="11" t="s">
        <v>729</v>
      </c>
      <c r="C261" s="122" t="s">
        <v>165</v>
      </c>
      <c r="D261" s="13" t="str">
        <f>IFERROR(__xludf.DUMMYFUNCTION("IF(B261="""","""",IF(OR(
  REGEXMATCH(B261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REGEXMATCH(B261,""público|Imediato|artística|teatral|memória"")
),""Público Imediato"",
IF(REGEXMATCH(B261,""Música|Álbum|Filme|Documentário|Série|Podc"&amp;"ast|Rádio|Audiotour|Entrevista|Reportagem|Crônica|Relatório|Abaixo-assinado|Manifesto|Petição|Poema|Livro|Fotografia|Curta|Live|Webinário|Charge|Leitura pública|Vídeo""),
""Público Mediado"","""")))
"),"Público Imediato")</f>
        <v>Público Imediato</v>
      </c>
      <c r="E261" s="13" t="str">
        <f>IFERROR(__xludf.DUMMYFUNCTION("IF(B261="""","""",IF(OR(
  REGEXMATCH(B261,""Live|Webinário|Virtual""),
  REGEXMATCH(B261,""online"")
),""Virtual"",
IF(REGEXMATCH(B261,""Música|Álbum|Filme|Documentário|Série|Podcast|Rádio|Audiotour|Episódio|Reportagem|Curta|Charge|Livro|Vídeo|Entrevista"&amp;"""),
""Midiático"",
IF(REGEXMATCH(B261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61" s="183">
        <v>45932.0</v>
      </c>
      <c r="G261" s="15">
        <f t="shared" si="1"/>
        <v>2025</v>
      </c>
      <c r="H261" s="11" t="s">
        <v>23</v>
      </c>
      <c r="I261" s="16" t="s">
        <v>1068</v>
      </c>
      <c r="J261" s="17" t="s">
        <v>1069</v>
      </c>
      <c r="K261" s="16" t="s">
        <v>736</v>
      </c>
      <c r="L261" s="18" t="s">
        <v>489</v>
      </c>
      <c r="M261" s="15" t="str">
        <f>IFERROR(__xludf.DUMMYFUNCTION("IF(REGEXMATCH(S261, ""Companhia das Letras""), ""Companhia das Letras"",
IF(REGEXMATCH(S261, ""Labortexto Editorial""), ""Labortexto Editorial"",
IF(REGEXMATCH(S261, ""Geração Editorial""), ""Geração Editorial"",
IF(REGEXMATCH(S261, ""Editora Imprensa Ofi"&amp;"cial|Imprensa Oficial""), ""Editora Imprensa Oficial"",
IF(REGEXMATCH(S261, ""Folha Online""), ""Folha Online"",
IF(REGEXMATCH(S261, ""FGV DIREITO SP|FGV Direito SP""), ""FGV DIREITO SP"",
IF(REGEXMATCH(S261, ""massacrecarandiru\.org\.br""), ""Memória Mas"&amp;"sacre Carandiru"",
IF(REGEXMATCH(S261, ""Itaú Cultural""), ""YouTube (Itaú Cultural)"",
IF(REGEXMATCH(S261, ""Passa Palavra""), ""Vimeo (Passa Palavra)"",
IF(REGEXMATCH(S261, ""rede2deoutubro\.blogspot""), ""Blogspot (Rede 02 de Outubro)"",
IF(REGEXMATCH("&amp;"S261, ""Rede TVT""), ""YouTube (Rede TVT)"",
IF(REGEXMATCH(S261, ""Esquerda Diário""), ""Esquerda Diário"",
IF(REGEXMATCH(S261, ""GZH""), ""GZH"",
IF(REGEXMATCH(S261, ""TVPUC""), ""TVPUC"",
IF(REGEXMATCH(S261, ""Mídia Ninja.*Facebook""), ""Facebook (Mídia"&amp;" Ninja)"",
IF(REGEXMATCH(S261, ""Memórias Carandiru.*Instagram""), ""Instagram (Memórias Carandiru)"",
IF(REGEXMATCH(S261, ""Frente pelo Desencarceramento SP""), ""YouTube (Frente Pelo Desencarceramento SP)"",
IF(REGEXMATCH(S261, ""TV ABA""), ""YouTube (T"&amp;"V ABA)"",
IF(REGEXMATCH(S261, ""TV SENADO""), ""YouTube (TV Senado)"",
IF(REGEXMATCH(S261, ""Google Arts &amp; Culture""), ""Google Arts &amp; Culture (Memória Massacre Carandiru)"",
IF(REGEXMATCH(S261, ""Anistia Internacional|ANISTIA INTERNACIONAL""), ""Anistia "&amp;"Internacional"",
IF(REGEXMATCH(S261, ""47\.mostra|47a Mostra""), ""47a Mostra Internacional de Cinema em São Paulo"",
IF(REGEXMATCH(S261, ""Canal USP""), ""YouTube (Canal USP)"",
IF(AND(
  REGEXMATCH(S261, ""(?i)(teses?\.usp\.br|dissertacoes?\.usp\.br|rep"&amp;"ositorio\.usp\.br)""),
  NOT(REGEXMATCH(S261, ""Canal USP""))
), ""Biblioteca Digital de Teses e Dissertações da USP"",
IF(REGEXMATCH(S261, ""SINTRAJUSC""), ""SINTRAJUSC"",
IF(REGEXMATCH(S261, ""Agência Brasil|Agencia Brasil""), ""Agência Brasil"",
IF(REG"&amp;"EXMATCH(S261, ""Brasil de Fato""), ""Brasil de Fato"",
IF(REGEXMATCH(S261, ""Ponte Jornalismo|pontejornalismo""), ""Ponte Jornalismo"",
IF(REGEXMATCH(S261, ""letras\.mus\.br|Letras,""), ""Letras"",
IF(REGEXMATCH(S261, ""YouTube|youtube""), 
   ""YouTube "&amp;"(""&amp;
   IF(REGEXMATCH(S261, ""Itaú Cultural""), ""Itaú Cultural"",
   IF(REGEXMATCH(S261, ""Rede TVT""), ""Rede TVT"",
   IF(REGEXMATCH(S261, ""Frente pelo Desencarceramento SP""), ""Frente Pelo Desencarceramento SP"",
   IF(REGEXMATCH(S261, ""TV ABA""), "&amp;"""TV ABA"",
   IF(REGEXMATCH(S261, ""TV SENADO""), ""TV Senado"",
   IF(REGEXMATCH(S261, ""Canal USP""), ""Canal USP"",
   IF(REGEXMATCH(S261, ""Douer, Zack|Zack Douer""), ""Douer Zack"",
   IF(REGEXMATCH(S261, ""PRISIONEIRO 84\.901|PRISIONEIRO 84""), ""P"&amp;"risioneiro 84.901"",
   IF(REGEXMATCH(S261, ""^[^,]*, ""), 
        PROPER(REGEXREPLACE(REGEXEXTRACT(S261, ""^([^.]*)\.""), ""^([^,]*), (.*)"", ""$2 $1"")),
        PROPER(REGEXEXTRACT(S261, ""^([^.]*)\.""))
   )))))))))&amp;"")"",
IF(REGEXMATCH(S261, ""Spot"&amp;"ify|spotify""), 
   ""Spotify (""&amp;
   IF(REGEXMATCH(S261, ""ESTRANHO SORRISO""), ""Estranho Sorriso"",
   PROPER(REGEXEXTRACT(S261, ""^([^.]*)\.""))
   )&amp;"")"",
IF(REGEXMATCH(S261, ""Vimeo|vimeo""), 
   ""Vimeo (""&amp;
   IF(REGEXMATCH(S261, ""Passa Palavra"&amp;"""), ""Passa Palavra"",
   PROPER(REGEXEXTRACT(S261, ""^([^.]*)\.""))
   )&amp;"")"",
IF(REGEXMATCH(S261, ""Blogspot""), 
   ""Blogspot (""&amp;
   IF(REGEXMATCH(S261, ""rede2deoutubro""), ""Rede 02 de Outubro"",
   PROPER(REGEXEXTRACT(S261, ""^([^.]*)\.""))
   "&amp;")&amp;"")"",
IF(REGEXMATCH(S261, ""Facebook""), 
   ""Facebook (""&amp;
   IF(REGEXMATCH(S261, ""Mídia Ninja""), ""Mídia Ninja"",
   PROPER(REGEXEXTRACT(S261, ""^([^.]*)\.""))
   )&amp;"")"",
IF(REGEXMATCH(S261, ""Instagram""), 
   ""Instagram (""&amp;
   IF(REGEXMATCH"&amp;"(S261, ""Memórias Carandiru""), ""Memórias Carandiru"",
   PROPER(REGEXEXTRACT(S261, ""^([^.]*)\.""))
   )&amp;"")"",
IF(REGEXMATCH(S261, ""Folha de S\. Paulo|FOLHA DE S\. PAULO""), ""Folha de S. Paulo"",
IF(REGEXMATCH(S261, ""O Estado de S\. Paulo|ESTADAO"""&amp;"), ""O Estado de S. Paulo"",
IF(REGEXMATCH(S261, ""salasecreta""), ""Wordpress (Sala Secreta)"",
IF(REGEXMATCH(S261, ""Wikipedia|Wikipédia|WIKIPÉDIA""), ""Wikipedia"",
IF(REGEXMATCH(S261, ""VEJA|Veja""), ""Veja Abril"",
IF(REGEXMATCH(S246, ""Rede Globo|RE"&amp;"DE GLOBO""), ""Rede Globo"",
IF(REGEXMATCH(S246, ""G1|globo\.com""), ""G1"",
IF(REGEXMATCH(S261, ""Deutsche Welle|DW\.com""), ""Deutsche Welle"",
IF(REGEXMATCH(S261, ""CIDH|Comissão Interamericana""), ""Comissão Interamericana de Direitos Humanos (CIDH)"""&amp;",
IF(REGEXMATCH(S261, ""Pastoral Carcerária""), ""Pastoral Carcerária"",
IF(REGEXMATCH(S261, ""Esquerda Web""), ""Esquerda Web"",
IF(REGEXMATCH(S261, ""ONU|Organização das Nações Unidas""), ""ONU Brasil"",
IF(REGEXMATCH(S261, ""Quilombo Invisível""), ""Qu"&amp;"ilombo Invisível"",
IF(REGEXMATCH(S261, ""ALESP|Assembleia Legislativa""), ""ALESP"",
IF(REGEXMATCH(S261, ""Revista Opera""), ""Revista Opera"",
IF(REGEXMATCH(S261, ""SP Escola de Teatro""), ""SP Escola de Teatro"",
IF(REGEXMATCH(S261, ""EMC|Espaço Memóri"&amp;"a Carandiru""), ""EMC Espaço Memória Carandiru"",
IF(REGEXMATCH(S261, ""^RAMOS, Nuno|Nuno Ramos""), ""Nuno Ramos"",
IF(REGEXMATCH(S261, ""^VELOSO, Caetano|Caetano Veloso""), ""YouTube (Caetano Veloso)"",
IF(REGEXMATCH(S261, ""^FATOS REAIS""), ""YouTube ("&amp;"Fatos Reais - Topic)"",
IF(REGEXMATCH(S261, ""^SALA SECRETA""), ""Wordpress (Sala Secreta)"",
PROPER(REGEXEXTRACT(S261, ""^([^.]*)\.""))
))))))))))))))))))))))))))))))))))))))))))))))))))))))))"),"Cid, Daniela; Palmeira, Maria Clara")</f>
        <v>Cid, Daniela; Palmeira, Maria Clara</v>
      </c>
      <c r="N261" s="11" t="s">
        <v>47</v>
      </c>
      <c r="O261" s="14" t="s">
        <v>1059</v>
      </c>
      <c r="P261" s="183">
        <v>46276.0</v>
      </c>
      <c r="Q261" s="11" t="s">
        <v>154</v>
      </c>
      <c r="R261" s="70" t="str">
        <f t="shared" si="8"/>
        <v>Aqui</v>
      </c>
      <c r="S261" s="172" t="s">
        <v>1070</v>
      </c>
    </row>
    <row r="262">
      <c r="A262" s="11">
        <v>260.0</v>
      </c>
      <c r="B262" s="11" t="s">
        <v>622</v>
      </c>
      <c r="C262" s="12" t="str">
        <f>IFERROR(__xludf.DUMMYFUNCTION("IF(B262="""","""",IF(OR(
  REGEXMATCH(B262,""Performance|Instalação|Álbum|Música|Poema|Livro|Filme|Documentário|Recitação|Espetáculo|Peça|Intervenção|Desfile|Fotografia|Exposição|Charge|Grafite|Leitura pública|Fabricação de cachaça artesanal""),
  REGEXMA"&amp;"TCH(B262,""dança|teatral|artístico|musical|artística"")
),""Manifestação artístico-cultural"",
IF(OR(
  REGEXMATCH(B262,""Crônica|Série|Reportagem|Podcast|Audiotour|Entrevista|Vídeo|Rádio""),
  REGEXMATCH(B262,""midiática"")
),""Produção midiática"","""")"&amp;"))
"),"Manifestação artístico-cultural")</f>
        <v>Manifestação artístico-cultural</v>
      </c>
      <c r="D262" s="13" t="str">
        <f>IFERROR(__xludf.DUMMYFUNCTION("IF(B262="""","""",IF(OR(
  REGEXMATCH(B262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REGEXMATCH(B262,""público|Imediato|artística|teatral|memória"")
),""Público Imediato"",
IF(REGEXMATCH(B262,""Música|Álbum|Filme|Documentário|Série|Podc"&amp;"ast|Rádio|Audiotour|Entrevista|Reportagem|Crônica|Relatório|Abaixo-assinado|Manifesto|Petição|Poema|Livro|Fotografia|Curta|Live|Webinário|Charge|Leitura pública|Vídeo""),
""Público Mediado"","""")))
"),"Público Mediado")</f>
        <v>Público Mediado</v>
      </c>
      <c r="E262" s="13" t="str">
        <f>IFERROR(__xludf.DUMMYFUNCTION("IF(B262="""","""",IF(OR(
  REGEXMATCH(B262,""Live|Webinário|Virtual""),
  REGEXMATCH(B262,""online"")
),""Virtual"",
IF(REGEXMATCH(B262,""Música|Álbum|Filme|Documentário|Série|Podcast|Rádio|Audiotour|Episódio|Reportagem|Curta|Charge|Livro|Vídeo|Entrevista"&amp;"""),
""Midiático"",
IF(REGEXMATCH(B262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62" s="183">
        <v>42644.0</v>
      </c>
      <c r="G262" s="15">
        <f t="shared" si="1"/>
        <v>2016</v>
      </c>
      <c r="H262" s="11" t="s">
        <v>23</v>
      </c>
      <c r="I262" s="16" t="s">
        <v>87</v>
      </c>
      <c r="J262" s="17" t="s">
        <v>1071</v>
      </c>
      <c r="K262" s="16" t="s">
        <v>736</v>
      </c>
      <c r="L262" s="18" t="s">
        <v>489</v>
      </c>
      <c r="M262" s="15" t="str">
        <f>IFERROR(__xludf.DUMMYFUNCTION("IF(REGEXMATCH(S262, ""Companhia das Letras""), ""Companhia das Letras"",
IF(REGEXMATCH(S262, ""Labortexto Editorial""), ""Labortexto Editorial"",
IF(REGEXMATCH(S262, ""Geração Editorial""), ""Geração Editorial"",
IF(REGEXMATCH(S262, ""Editora Imprensa Ofi"&amp;"cial|Imprensa Oficial""), ""Editora Imprensa Oficial"",
IF(REGEXMATCH(S262, ""Folha Online""), ""Folha Online"",
IF(REGEXMATCH(S262, ""FGV DIREITO SP|FGV Direito SP""), ""FGV DIREITO SP"",
IF(REGEXMATCH(S262, ""massacrecarandiru\.org\.br""), ""Memória Mas"&amp;"sacre Carandiru"",
IF(REGEXMATCH(S262, ""Itaú Cultural""), ""YouTube (Itaú Cultural)"",
IF(REGEXMATCH(S262, ""Passa Palavra""), ""Vimeo (Passa Palavra)"",
IF(REGEXMATCH(S262, ""rede2deoutubro\.blogspot""), ""Blogspot (Rede 02 de Outubro)"",
IF(REGEXMATCH("&amp;"S262, ""Rede TVT""), ""YouTube (Rede TVT)"",
IF(REGEXMATCH(S262, ""Esquerda Diário""), ""Esquerda Diário"",
IF(REGEXMATCH(S262, ""GZH""), ""GZH"",
IF(REGEXMATCH(S262, ""TVPUC""), ""TVPUC"",
IF(REGEXMATCH(S262, ""Mídia Ninja.*Facebook""), ""Facebook (Mídia"&amp;" Ninja)"",
IF(REGEXMATCH(S262, ""Memórias Carandiru.*Instagram""), ""Instagram (Memórias Carandiru)"",
IF(REGEXMATCH(S262, ""Frente pelo Desencarceramento SP""), ""YouTube (Frente Pelo Desencarceramento SP)"",
IF(REGEXMATCH(S262, ""TV ABA""), ""YouTube (T"&amp;"V ABA)"",
IF(REGEXMATCH(S262, ""TV SENADO""), ""YouTube (TV Senado)"",
IF(REGEXMATCH(S262, ""Google Arts &amp; Culture""), ""Google Arts &amp; Culture (Memória Massacre Carandiru)"",
IF(REGEXMATCH(S262, ""Anistia Internacional|ANISTIA INTERNACIONAL""), ""Anistia "&amp;"Internacional"",
IF(REGEXMATCH(S262, ""47\.mostra|47a Mostra""), ""47a Mostra Internacional de Cinema em São Paulo"",
IF(REGEXMATCH(S262, ""Canal USP""), ""YouTube (Canal USP)"",
IF(AND(
  REGEXMATCH(S262, ""(?i)(teses?\.usp\.br|dissertacoes?\.usp\.br|rep"&amp;"ositorio\.usp\.br)""),
  NOT(REGEXMATCH(S262, ""Canal USP""))
), ""Biblioteca Digital de Teses e Dissertações da USP"",
IF(REGEXMATCH(S262, ""SINTRAJUSC""), ""SINTRAJUSC"",
IF(REGEXMATCH(S262, ""Agência Brasil|Agencia Brasil""), ""Agência Brasil"",
IF(REG"&amp;"EXMATCH(S262, ""Brasil de Fato""), ""Brasil de Fato"",
IF(REGEXMATCH(S262, ""Ponte Jornalismo|pontejornalismo""), ""Ponte Jornalismo"",
IF(REGEXMATCH(S262, ""letras\.mus\.br|Letras,""), ""Letras"",
IF(REGEXMATCH(S262, ""YouTube|youtube""), 
   ""YouTube "&amp;"(""&amp;
   IF(REGEXMATCH(S262, ""Itaú Cultural""), ""Itaú Cultural"",
   IF(REGEXMATCH(S262, ""Rede TVT""), ""Rede TVT"",
   IF(REGEXMATCH(S262, ""Frente pelo Desencarceramento SP""), ""Frente Pelo Desencarceramento SP"",
   IF(REGEXMATCH(S262, ""TV ABA""), "&amp;"""TV ABA"",
   IF(REGEXMATCH(S262, ""TV SENADO""), ""TV Senado"",
   IF(REGEXMATCH(S262, ""Canal USP""), ""Canal USP"",
   IF(REGEXMATCH(S262, ""Douer, Zack|Zack Douer""), ""Douer Zack"",
   IF(REGEXMATCH(S262, ""PRISIONEIRO 84\.901|PRISIONEIRO 84""), ""P"&amp;"risioneiro 84.901"",
   IF(REGEXMATCH(S262, ""^[^,]*, ""), 
        PROPER(REGEXREPLACE(REGEXEXTRACT(S262, ""^([^.]*)\.""), ""^([^,]*), (.*)"", ""$2 $1"")),
        PROPER(REGEXEXTRACT(S262, ""^([^.]*)\.""))
   )))))))))&amp;"")"",
IF(REGEXMATCH(S262, ""Spot"&amp;"ify|spotify""), 
   ""Spotify (""&amp;
   IF(REGEXMATCH(S262, ""ESTRANHO SORRISO""), ""Estranho Sorriso"",
   PROPER(REGEXEXTRACT(S262, ""^([^.]*)\.""))
   )&amp;"")"",
IF(REGEXMATCH(S262, ""Vimeo|vimeo""), 
   ""Vimeo (""&amp;
   IF(REGEXMATCH(S262, ""Passa Palavra"&amp;"""), ""Passa Palavra"",
   PROPER(REGEXEXTRACT(S262, ""^([^.]*)\.""))
   )&amp;"")"",
IF(REGEXMATCH(S262, ""Blogspot""), 
   ""Blogspot (""&amp;
   IF(REGEXMATCH(S262, ""rede2deoutubro""), ""Rede 02 de Outubro"",
   PROPER(REGEXEXTRACT(S262, ""^([^.]*)\.""))
   "&amp;")&amp;"")"",
IF(REGEXMATCH(S262, ""Facebook""), 
   ""Facebook (""&amp;
   IF(REGEXMATCH(S262, ""Mídia Ninja""), ""Mídia Ninja"",
   PROPER(REGEXEXTRACT(S262, ""^([^.]*)\.""))
   )&amp;"")"",
IF(REGEXMATCH(S262, ""Instagram""), 
   ""Instagram (""&amp;
   IF(REGEXMATCH"&amp;"(S262, ""Memórias Carandiru""), ""Memórias Carandiru"",
   PROPER(REGEXEXTRACT(S262, ""^([^.]*)\.""))
   )&amp;"")"",
IF(REGEXMATCH(S262, ""Folha de S\. Paulo|FOLHA DE S\. PAULO""), ""Folha de S. Paulo"",
IF(REGEXMATCH(S262, ""O Estado de S\. Paulo|ESTADAO"""&amp;"), ""O Estado de S. Paulo"",
IF(REGEXMATCH(S262, ""salasecreta""), ""Wordpress (Sala Secreta)"",
IF(REGEXMATCH(S262, ""Wikipedia|Wikipédia|WIKIPÉDIA""), ""Wikipedia"",
IF(REGEXMATCH(S262, ""VEJA|Veja""), ""Veja Abril"",
IF(REGEXMATCH(S247, ""Rede Globo|RE"&amp;"DE GLOBO""), ""Rede Globo"",
IF(REGEXMATCH(S247, ""G1|globo\.com""), ""G1"",
IF(REGEXMATCH(S262, ""Deutsche Welle|DW\.com""), ""Deutsche Welle"",
IF(REGEXMATCH(S262, ""CIDH|Comissão Interamericana""), ""Comissão Interamericana de Direitos Humanos (CIDH)"""&amp;",
IF(REGEXMATCH(S262, ""Pastoral Carcerária""), ""Pastoral Carcerária"",
IF(REGEXMATCH(S262, ""Esquerda Web""), ""Esquerda Web"",
IF(REGEXMATCH(S262, ""ONU|Organização das Nações Unidas""), ""ONU Brasil"",
IF(REGEXMATCH(S262, ""Quilombo Invisível""), ""Qu"&amp;"ilombo Invisível"",
IF(REGEXMATCH(S262, ""ALESP|Assembleia Legislativa""), ""ALESP"",
IF(REGEXMATCH(S262, ""Revista Opera""), ""Revista Opera"",
IF(REGEXMATCH(S262, ""SP Escola de Teatro""), ""SP Escola de Teatro"",
IF(REGEXMATCH(S262, ""EMC|Espaço Memóri"&amp;"a Carandiru""), ""EMC Espaço Memória Carandiru"",
IF(REGEXMATCH(S262, ""^RAMOS, Nuno|Nuno Ramos""), ""Nuno Ramos"",
IF(REGEXMATCH(S262, ""^VELOSO, Caetano|Caetano Veloso""), ""YouTube (Caetano Veloso)"",
IF(REGEXMATCH(S262, ""^FATOS REAIS""), ""YouTube ("&amp;"Fatos Reais - Topic)"",
IF(REGEXMATCH(S262, ""^SALA SECRETA""), ""Wordpress (Sala Secreta)"",
PROPER(REGEXEXTRACT(S262, ""^([^.]*)\.""))
))))))))))))))))))))))))))))))))))))))))))))))))))))))))"),"Agência Brasil")</f>
        <v>Agência Brasil</v>
      </c>
      <c r="N262" s="11" t="s">
        <v>47</v>
      </c>
      <c r="O262" s="14" t="s">
        <v>149</v>
      </c>
      <c r="P262" s="183">
        <v>46276.0</v>
      </c>
      <c r="Q262" s="11" t="s">
        <v>154</v>
      </c>
      <c r="R262" s="70" t="str">
        <f t="shared" si="8"/>
        <v>Aqui</v>
      </c>
      <c r="S262" s="172" t="s">
        <v>1072</v>
      </c>
    </row>
    <row r="263" hidden="1">
      <c r="A263" s="11">
        <v>261.0</v>
      </c>
      <c r="B263" s="11"/>
      <c r="C263" s="12" t="str">
        <f>IFERROR(__xludf.DUMMYFUNCTION("IF(B263="""","""",IF(OR(
  REGEXMATCH(B263,""Performance|Instalação|Álbum|Música|Poema|Livro|Filme|Documentário|Recitação|Espetáculo|Peça|Intervenção|Desfile|Fotografia|Exposição|Charge|Grafite|Leitura pública|Fabricação de cachaça artesanal""),
  REGEXMA"&amp;"TCH(B263,""dança|teatral|artístico|musical|artística"")
),""Manifestação artístico-cultural"",
IF(OR(
  REGEXMATCH(B263,""Crônica|Série|Reportagem|Podcast|Audiotour|Entrevista|Vídeo|Rádio""),
  REGEXMATCH(B263,""midiática"")
),""Produção midiática"","""")"&amp;"))
"),"")</f>
        <v/>
      </c>
      <c r="D263" s="13" t="str">
        <f>IFERROR(__xludf.DUMMYFUNCTION("IF(B263="""","""",IF(OR(
  REGEXMATCH(B263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REGEXMATCH(B263,""público|Imediato|artística|teatral|memória"")
),""Público Imediato"",
IF(REGEXMATCH(B263,""Música|Álbum|Filme|Documentário|Série|Podc"&amp;"ast|Rádio|Audiotour|Entrevista|Reportagem|Crônica|Relatório|Abaixo-assinado|Manifesto|Petição|Poema|Livro|Fotografia|Curta|Live|Webinário|Charge|Leitura pública|Vídeo""),
""Público Mediado"","""")))
"),"")</f>
        <v/>
      </c>
      <c r="E263" s="13" t="str">
        <f>IFERROR(__xludf.DUMMYFUNCTION("IF(B263="""","""",IF(OR(
  REGEXMATCH(B263,""Live|Webinário|Virtual""),
  REGEXMATCH(B263,""online"")
),""Virtual"",
IF(REGEXMATCH(B263,""Música|Álbum|Filme|Documentário|Série|Podcast|Rádio|Audiotour|Episódio|Reportagem|Curta|Charge|Livro|Vídeo|Entrevista"&amp;"""),
""Midiático"",
IF(REGEXMATCH(B263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3" s="183">
        <v>42279.0</v>
      </c>
      <c r="G263" s="15">
        <f t="shared" si="1"/>
        <v>2015</v>
      </c>
      <c r="H263" s="11" t="s">
        <v>648</v>
      </c>
      <c r="I263" s="16" t="s">
        <v>1073</v>
      </c>
      <c r="J263" s="17" t="s">
        <v>1074</v>
      </c>
      <c r="K263" s="16"/>
      <c r="L263" s="18"/>
      <c r="M263" s="15" t="str">
        <f>IFERROR(__xludf.DUMMYFUNCTION("IF(REGEXMATCH(S263, ""Companhia das Letras""), ""Companhia das Letras"",
IF(REGEXMATCH(S263, ""Labortexto Editorial""), ""Labortexto Editorial"",
IF(REGEXMATCH(S263, ""Geração Editorial""), ""Geração Editorial"",
IF(REGEXMATCH(S263, ""Editora Imprensa Ofi"&amp;"cial|Imprensa Oficial""), ""Editora Imprensa Oficial"",
IF(REGEXMATCH(S263, ""Folha Online""), ""Folha Online"",
IF(REGEXMATCH(S263, ""FGV DIREITO SP|FGV Direito SP""), ""FGV DIREITO SP"",
IF(REGEXMATCH(S263, ""massacrecarandiru\.org\.br""), ""Memória Mas"&amp;"sacre Carandiru"",
IF(REGEXMATCH(S263, ""Itaú Cultural""), ""YouTube (Itaú Cultural)"",
IF(REGEXMATCH(S263, ""Passa Palavra""), ""Vimeo (Passa Palavra)"",
IF(REGEXMATCH(S263, ""rede2deoutubro\.blogspot""), ""Blogspot (Rede 02 de Outubro)"",
IF(REGEXMATCH("&amp;"S263, ""Rede TVT""), ""YouTube (Rede TVT)"",
IF(REGEXMATCH(S263, ""Esquerda Diário""), ""Esquerda Diário"",
IF(REGEXMATCH(S263, ""GZH""), ""GZH"",
IF(REGEXMATCH(S263, ""TVPUC""), ""TVPUC"",
IF(REGEXMATCH(S263, ""Mídia Ninja.*Facebook""), ""Facebook (Mídia"&amp;" Ninja)"",
IF(REGEXMATCH(S263, ""Memórias Carandiru.*Instagram""), ""Instagram (Memórias Carandiru)"",
IF(REGEXMATCH(S263, ""Frente pelo Desencarceramento SP""), ""YouTube (Frente Pelo Desencarceramento SP)"",
IF(REGEXMATCH(S263, ""TV ABA""), ""YouTube (T"&amp;"V ABA)"",
IF(REGEXMATCH(S263, ""TV SENADO""), ""YouTube (TV Senado)"",
IF(REGEXMATCH(S263, ""Google Arts &amp; Culture""), ""Google Arts &amp; Culture (Memória Massacre Carandiru)"",
IF(REGEXMATCH(S263, ""Anistia Internacional|ANISTIA INTERNACIONAL""), ""Anistia "&amp;"Internacional"",
IF(REGEXMATCH(S263, ""47\.mostra|47a Mostra""), ""47a Mostra Internacional de Cinema em São Paulo"",
IF(REGEXMATCH(S263, ""Canal USP""), ""YouTube (Canal USP)"",
IF(AND(
  REGEXMATCH(S263, ""(?i)(teses?\.usp\.br|dissertacoes?\.usp\.br|rep"&amp;"ositorio\.usp\.br)""),
  NOT(REGEXMATCH(S263, ""Canal USP""))
), ""Biblioteca Digital de Teses e Dissertações da USP"",
IF(REGEXMATCH(S263, ""SINTRAJUSC""), ""SINTRAJUSC"",
IF(REGEXMATCH(S263, ""Agência Brasil|Agencia Brasil""), ""Agência Brasil"",
IF(REG"&amp;"EXMATCH(S263, ""Brasil de Fato""), ""Brasil de Fato"",
IF(REGEXMATCH(S263, ""Ponte Jornalismo|pontejornalismo""), ""Ponte Jornalismo"",
IF(REGEXMATCH(S263, ""letras\.mus\.br|Letras,""), ""Letras"",
IF(REGEXMATCH(S263, ""YouTube|youtube""), 
   ""YouTube "&amp;"(""&amp;
   IF(REGEXMATCH(S263, ""Itaú Cultural""), ""Itaú Cultural"",
   IF(REGEXMATCH(S263, ""Rede TVT""), ""Rede TVT"",
   IF(REGEXMATCH(S263, ""Frente pelo Desencarceramento SP""), ""Frente Pelo Desencarceramento SP"",
   IF(REGEXMATCH(S263, ""TV ABA""), "&amp;"""TV ABA"",
   IF(REGEXMATCH(S263, ""TV SENADO""), ""TV Senado"",
   IF(REGEXMATCH(S263, ""Canal USP""), ""Canal USP"",
   IF(REGEXMATCH(S263, ""Douer, Zack|Zack Douer""), ""Douer Zack"",
   IF(REGEXMATCH(S263, ""PRISIONEIRO 84\.901|PRISIONEIRO 84""), ""P"&amp;"risioneiro 84.901"",
   IF(REGEXMATCH(S263, ""^[^,]*, ""), 
        PROPER(REGEXREPLACE(REGEXEXTRACT(S263, ""^([^.]*)\.""), ""^([^,]*), (.*)"", ""$2 $1"")),
        PROPER(REGEXEXTRACT(S263, ""^([^.]*)\.""))
   )))))))))&amp;"")"",
IF(REGEXMATCH(S263, ""Spot"&amp;"ify|spotify""), 
   ""Spotify (""&amp;
   IF(REGEXMATCH(S263, ""ESTRANHO SORRISO""), ""Estranho Sorriso"",
   PROPER(REGEXEXTRACT(S263, ""^([^.]*)\.""))
   )&amp;"")"",
IF(REGEXMATCH(S263, ""Vimeo|vimeo""), 
   ""Vimeo (""&amp;
   IF(REGEXMATCH(S263, ""Passa Palavra"&amp;"""), ""Passa Palavra"",
   PROPER(REGEXEXTRACT(S263, ""^([^.]*)\.""))
   )&amp;"")"",
IF(REGEXMATCH(S263, ""Blogspot""), 
   ""Blogspot (""&amp;
   IF(REGEXMATCH(S263, ""rede2deoutubro""), ""Rede 02 de Outubro"",
   PROPER(REGEXEXTRACT(S263, ""^([^.]*)\.""))
   "&amp;")&amp;"")"",
IF(REGEXMATCH(S263, ""Facebook""), 
   ""Facebook (""&amp;
   IF(REGEXMATCH(S263, ""Mídia Ninja""), ""Mídia Ninja"",
   PROPER(REGEXEXTRACT(S263, ""^([^.]*)\.""))
   )&amp;"")"",
IF(REGEXMATCH(S263, ""Instagram""), 
   ""Instagram (""&amp;
   IF(REGEXMATCH"&amp;"(S263, ""Memórias Carandiru""), ""Memórias Carandiru"",
   PROPER(REGEXEXTRACT(S263, ""^([^.]*)\.""))
   )&amp;"")"",
IF(REGEXMATCH(S263, ""Folha de S\. Paulo|FOLHA DE S\. PAULO""), ""Folha de S. Paulo"",
IF(REGEXMATCH(S263, ""O Estado de S\. Paulo|ESTADAO"""&amp;"), ""O Estado de S. Paulo"",
IF(REGEXMATCH(S263, ""salasecreta""), ""Wordpress (Sala Secreta)"",
IF(REGEXMATCH(S263, ""Wikipedia|Wikipédia|WIKIPÉDIA""), ""Wikipedia"",
IF(REGEXMATCH(S263, ""VEJA|Veja""), ""Veja Abril"",
IF(REGEXMATCH(S248, ""Rede Globo|RE"&amp;"DE GLOBO""), ""Rede Globo"",
IF(REGEXMATCH(S248, ""G1|globo\.com""), ""G1"",
IF(REGEXMATCH(S263, ""Deutsche Welle|DW\.com""), ""Deutsche Welle"",
IF(REGEXMATCH(S263, ""CIDH|Comissão Interamericana""), ""Comissão Interamericana de Direitos Humanos (CIDH)"""&amp;",
IF(REGEXMATCH(S263, ""Pastoral Carcerária""), ""Pastoral Carcerária"",
IF(REGEXMATCH(S263, ""Esquerda Web""), ""Esquerda Web"",
IF(REGEXMATCH(S263, ""ONU|Organização das Nações Unidas""), ""ONU Brasil"",
IF(REGEXMATCH(S263, ""Quilombo Invisível""), ""Qu"&amp;"ilombo Invisível"",
IF(REGEXMATCH(S263, ""ALESP|Assembleia Legislativa""), ""ALESP"",
IF(REGEXMATCH(S263, ""Revista Opera""), ""Revista Opera"",
IF(REGEXMATCH(S263, ""SP Escola de Teatro""), ""SP Escola de Teatro"",
IF(REGEXMATCH(S263, ""EMC|Espaço Memóri"&amp;"a Carandiru""), ""EMC Espaço Memória Carandiru"",
IF(REGEXMATCH(S263, ""^RAMOS, Nuno|Nuno Ramos""), ""Nuno Ramos"",
IF(REGEXMATCH(S263, ""^VELOSO, Caetano|Caetano Veloso""), ""YouTube (Caetano Veloso)"",
IF(REGEXMATCH(S263, ""^FATOS REAIS""), ""YouTube ("&amp;"Fatos Reais - Topic)"",
IF(REGEXMATCH(S263, ""^SALA SECRETA""), ""Wordpress (Sala Secreta)"",
PROPER(REGEXEXTRACT(S263, ""^([^.]*)\.""))
))))))))))))))))))))))))))))))))))))))))))))))))))))))))"),"#N/A")</f>
        <v>#N/A</v>
      </c>
      <c r="N263" s="11" t="s">
        <v>47</v>
      </c>
      <c r="O263" s="11" t="s">
        <v>1075</v>
      </c>
      <c r="P263" s="51">
        <v>45854.0</v>
      </c>
      <c r="Q263" s="11" t="s">
        <v>1076</v>
      </c>
      <c r="R263" s="194" t="str">
        <f t="shared" si="8"/>
        <v>#VALUE!</v>
      </c>
      <c r="S263" s="75"/>
    </row>
    <row r="264">
      <c r="A264" s="11">
        <v>262.0</v>
      </c>
      <c r="B264" s="11"/>
      <c r="C264" s="12" t="str">
        <f>IFERROR(__xludf.DUMMYFUNCTION("IF(B264="""","""",IF(OR(
  REGEXMATCH(B264,""Performance|Instalação|Álbum|Música|Poema|Livro|Filme|Documentário|Recitação|Espetáculo|Peça|Intervenção|Desfile|Fotografia|Exposição|Charge|Grafite|Leitura pública|Fabricação de cachaça artesanal""),
  REGEXMA"&amp;"TCH(B264,""dança|teatral|artístico|musical|artística"")
),""Manifestação artístico-cultural"",
IF(OR(
  REGEXMATCH(B264,""Crônica|Série|Reportagem|Podcast|Audiotour|Entrevista|Vídeo|Rádio""),
  REGEXMATCH(B264,""midiática"")
),""Produção midiática"","""")"&amp;"))
"),"")</f>
        <v/>
      </c>
      <c r="D264" s="13" t="str">
        <f>IFERROR(__xludf.DUMMYFUNCTION("IF(B264="""","""",IF(OR(
  REGEXMATCH(B264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REGEXMATCH(B264,""público|Imediato|artística|teatral|memória"")
),""Público Imediato"",
IF(REGEXMATCH(B264,""Música|Álbum|Filme|Documentário|Série|Podc"&amp;"ast|Rádio|Audiotour|Entrevista|Reportagem|Crônica|Relatório|Abaixo-assinado|Manifesto|Petição|Poema|Livro|Fotografia|Curta|Live|Webinário|Charge|Leitura pública|Vídeo""),
""Público Mediado"","""")))
"),"")</f>
        <v/>
      </c>
      <c r="E264" s="13" t="str">
        <f>IFERROR(__xludf.DUMMYFUNCTION("IF(B264="""","""",IF(OR(
  REGEXMATCH(B264,""Live|Webinário|Virtual""),
  REGEXMATCH(B264,""online"")
),""Virtual"",
IF(REGEXMATCH(B264,""Música|Álbum|Filme|Documentário|Série|Podcast|Rádio|Audiotour|Episódio|Reportagem|Curta|Charge|Livro|Vídeo|Entrevista"&amp;"""),
""Midiático"",
IF(REGEXMATCH(B264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4" s="11"/>
      <c r="G264" s="15">
        <f t="shared" si="1"/>
        <v>0</v>
      </c>
      <c r="H264" s="11"/>
      <c r="I264" s="210"/>
      <c r="J264" s="169" t="str">
        <f>IFERROR(__xludf.DUMMYFUNCTION("REGEXEXTRACT(S264, ""\.\s(.*?)\s*YouTube"")"),"#N/A")</f>
        <v>#N/A</v>
      </c>
      <c r="K264" s="16"/>
      <c r="L264" s="18"/>
      <c r="M264" s="15" t="str">
        <f>IFERROR(__xludf.DUMMYFUNCTION("IF(REGEXMATCH(S264, ""Companhia das Letras""), ""Companhia das Letras"",
IF(REGEXMATCH(S264, ""Labortexto Editorial""), ""Labortexto Editorial"",
IF(REGEXMATCH(S264, ""Geração Editorial""), ""Geração Editorial"",
IF(REGEXMATCH(S264, ""Editora Imprensa Ofi"&amp;"cial|Imprensa Oficial""), ""Editora Imprensa Oficial"",
IF(REGEXMATCH(S264, ""Folha Online""), ""Folha Online"",
IF(REGEXMATCH(S264, ""FGV DIREITO SP|FGV Direito SP""), ""FGV DIREITO SP"",
IF(REGEXMATCH(S264, ""massacrecarandiru\.org\.br""), ""Memória Mas"&amp;"sacre Carandiru"",
IF(REGEXMATCH(S264, ""Itaú Cultural""), ""YouTube (Itaú Cultural)"",
IF(REGEXMATCH(S264, ""Passa Palavra""), ""Vimeo (Passa Palavra)"",
IF(REGEXMATCH(S264, ""rede2deoutubro\.blogspot""), ""Blogspot (Rede 02 de Outubro)"",
IF(REGEXMATCH("&amp;"S264, ""Rede TVT""), ""YouTube (Rede TVT)"",
IF(REGEXMATCH(S264, ""Esquerda Diário""), ""Esquerda Diário"",
IF(REGEXMATCH(S264, ""GZH""), ""GZH"",
IF(REGEXMATCH(S264, ""TVPUC""), ""TVPUC"",
IF(REGEXMATCH(S264, ""Mídia Ninja.*Facebook""), ""Facebook (Mídia"&amp;" Ninja)"",
IF(REGEXMATCH(S264, ""Memórias Carandiru.*Instagram""), ""Instagram (Memórias Carandiru)"",
IF(REGEXMATCH(S264, ""Frente pelo Desencarceramento SP""), ""YouTube (Frente Pelo Desencarceramento SP)"",
IF(REGEXMATCH(S264, ""TV ABA""), ""YouTube (T"&amp;"V ABA)"",
IF(REGEXMATCH(S264, ""TV SENADO""), ""YouTube (TV Senado)"",
IF(REGEXMATCH(S264, ""Google Arts &amp; Culture""), ""Google Arts &amp; Culture (Memória Massacre Carandiru)"",
IF(REGEXMATCH(S264, ""Anistia Internacional|ANISTIA INTERNACIONAL""), ""Anistia "&amp;"Internacional"",
IF(REGEXMATCH(S264, ""47\.mostra|47a Mostra""), ""47a Mostra Internacional de Cinema em São Paulo"",
IF(REGEXMATCH(S264, ""Canal USP""), ""YouTube (Canal USP)"",
IF(AND(
  REGEXMATCH(S264, ""(?i)(teses?\.usp\.br|dissertacoes?\.usp\.br|rep"&amp;"ositorio\.usp\.br)""),
  NOT(REGEXMATCH(S264, ""Canal USP""))
), ""Biblioteca Digital de Teses e Dissertações da USP"",
IF(REGEXMATCH(S264, ""SINTRAJUSC""), ""SINTRAJUSC"",
IF(REGEXMATCH(S264, ""Agência Brasil|Agencia Brasil""), ""Agência Brasil"",
IF(REG"&amp;"EXMATCH(S264, ""Brasil de Fato""), ""Brasil de Fato"",
IF(REGEXMATCH(S264, ""Ponte Jornalismo|pontejornalismo""), ""Ponte Jornalismo"",
IF(REGEXMATCH(S264, ""letras\.mus\.br|Letras,""), ""Letras"",
IF(REGEXMATCH(S264, ""YouTube|youtube""), 
   ""YouTube "&amp;"(""&amp;
   IF(REGEXMATCH(S264, ""Itaú Cultural""), ""Itaú Cultural"",
   IF(REGEXMATCH(S264, ""Rede TVT""), ""Rede TVT"",
   IF(REGEXMATCH(S264, ""Frente pelo Desencarceramento SP""), ""Frente Pelo Desencarceramento SP"",
   IF(REGEXMATCH(S264, ""TV ABA""), "&amp;"""TV ABA"",
   IF(REGEXMATCH(S264, ""TV SENADO""), ""TV Senado"",
   IF(REGEXMATCH(S264, ""Canal USP""), ""Canal USP"",
   IF(REGEXMATCH(S264, ""Douer, Zack|Zack Douer""), ""Douer Zack"",
   IF(REGEXMATCH(S264, ""PRISIONEIRO 84\.901|PRISIONEIRO 84""), ""P"&amp;"risioneiro 84.901"",
   IF(REGEXMATCH(S264, ""^[^,]*, ""), 
        PROPER(REGEXREPLACE(REGEXEXTRACT(S264, ""^([^.]*)\.""), ""^([^,]*), (.*)"", ""$2 $1"")),
        PROPER(REGEXEXTRACT(S264, ""^([^.]*)\.""))
   )))))))))&amp;"")"",
IF(REGEXMATCH(S264, ""Spot"&amp;"ify|spotify""), 
   ""Spotify (""&amp;
   IF(REGEXMATCH(S264, ""ESTRANHO SORRISO""), ""Estranho Sorriso"",
   PROPER(REGEXEXTRACT(S264, ""^([^.]*)\.""))
   )&amp;"")"",
IF(REGEXMATCH(S264, ""Vimeo|vimeo""), 
   ""Vimeo (""&amp;
   IF(REGEXMATCH(S264, ""Passa Palavra"&amp;"""), ""Passa Palavra"",
   PROPER(REGEXEXTRACT(S264, ""^([^.]*)\.""))
   )&amp;"")"",
IF(REGEXMATCH(S264, ""Blogspot""), 
   ""Blogspot (""&amp;
   IF(REGEXMATCH(S264, ""rede2deoutubro""), ""Rede 02 de Outubro"",
   PROPER(REGEXEXTRACT(S264, ""^([^.]*)\.""))
   "&amp;")&amp;"")"",
IF(REGEXMATCH(S264, ""Facebook""), 
   ""Facebook (""&amp;
   IF(REGEXMATCH(S264, ""Mídia Ninja""), ""Mídia Ninja"",
   PROPER(REGEXEXTRACT(S264, ""^([^.]*)\.""))
   )&amp;"")"",
IF(REGEXMATCH(S264, ""Instagram""), 
   ""Instagram (""&amp;
   IF(REGEXMATCH"&amp;"(S264, ""Memórias Carandiru""), ""Memórias Carandiru"",
   PROPER(REGEXEXTRACT(S264, ""^([^.]*)\.""))
   )&amp;"")"",
IF(REGEXMATCH(S264, ""Folha de S\. Paulo|FOLHA DE S\. PAULO""), ""Folha de S. Paulo"",
IF(REGEXMATCH(S264, ""O Estado de S\. Paulo|ESTADAO"""&amp;"), ""O Estado de S. Paulo"",
IF(REGEXMATCH(S264, ""salasecreta""), ""Wordpress (Sala Secreta)"",
IF(REGEXMATCH(S264, ""Wikipedia|Wikipédia|WIKIPÉDIA""), ""Wikipedia"",
IF(REGEXMATCH(S264, ""VEJA|Veja""), ""Veja Abril"",
IF(REGEXMATCH(S249, ""Rede Globo|RE"&amp;"DE GLOBO""), ""Rede Globo"",
IF(REGEXMATCH(S249, ""G1|globo\.com""), ""G1"",
IF(REGEXMATCH(S264, ""Deutsche Welle|DW\.com""), ""Deutsche Welle"",
IF(REGEXMATCH(S264, ""CIDH|Comissão Interamericana""), ""Comissão Interamericana de Direitos Humanos (CIDH)"""&amp;",
IF(REGEXMATCH(S264, ""Pastoral Carcerária""), ""Pastoral Carcerária"",
IF(REGEXMATCH(S264, ""Esquerda Web""), ""Esquerda Web"",
IF(REGEXMATCH(S264, ""ONU|Organização das Nações Unidas""), ""ONU Brasil"",
IF(REGEXMATCH(S264, ""Quilombo Invisível""), ""Qu"&amp;"ilombo Invisível"",
IF(REGEXMATCH(S264, ""ALESP|Assembleia Legislativa""), ""ALESP"",
IF(REGEXMATCH(S264, ""Revista Opera""), ""Revista Opera"",
IF(REGEXMATCH(S264, ""SP Escola de Teatro""), ""SP Escola de Teatro"",
IF(REGEXMATCH(S264, ""EMC|Espaço Memóri"&amp;"a Carandiru""), ""EMC Espaço Memória Carandiru"",
IF(REGEXMATCH(S264, ""^RAMOS, Nuno|Nuno Ramos""), ""Nuno Ramos"",
IF(REGEXMATCH(S264, ""^VELOSO, Caetano|Caetano Veloso""), ""YouTube (Caetano Veloso)"",
IF(REGEXMATCH(S264, ""^FATOS REAIS""), ""YouTube ("&amp;"Fatos Reais - Topic)"",
IF(REGEXMATCH(S264, ""^SALA SECRETA""), ""Wordpress (Sala Secreta)"",
PROPER(REGEXEXTRACT(S264, ""^([^.]*)\.""))
))))))))))))))))))))))))))))))))))))))))))))))))))))))))"),"#N/A")</f>
        <v>#N/A</v>
      </c>
      <c r="N264" s="11"/>
      <c r="O264" s="14"/>
      <c r="P264" s="197"/>
      <c r="Q264" s="197"/>
      <c r="R264" s="194" t="str">
        <f t="shared" si="8"/>
        <v>#VALUE!</v>
      </c>
      <c r="S264" s="172"/>
    </row>
    <row r="265">
      <c r="A265" s="11">
        <v>263.0</v>
      </c>
      <c r="B265" s="11"/>
      <c r="C265" s="12" t="str">
        <f>IFERROR(__xludf.DUMMYFUNCTION("IF(B265="""","""",IF(OR(
  REGEXMATCH(B265,""Performance|Instalação|Álbum|Música|Poema|Livro|Filme|Documentário|Recitação|Espetáculo|Peça|Intervenção|Desfile|Fotografia|Exposição|Charge|Grafite|Leitura pública|Fabricação de cachaça artesanal""),
  REGEXMA"&amp;"TCH(B265,""dança|teatral|artístico|musical|artística"")
),""Manifestação artístico-cultural"",
IF(OR(
  REGEXMATCH(B265,""Crônica|Série|Reportagem|Podcast|Audiotour|Entrevista|Vídeo|Rádio""),
  REGEXMATCH(B265,""midiática"")
),""Produção midiática"","""")"&amp;"))
"),"")</f>
        <v/>
      </c>
      <c r="D265" s="13" t="str">
        <f>IFERROR(__xludf.DUMMYFUNCTION("IF(B265="""","""",IF(OR(
  REGEXMATCH(B265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REGEXMATCH(B265,""público|Imediato|artística|teatral|memória"")
),""Público Imediato"",
IF(REGEXMATCH(B265,""Música|Álbum|Filme|Documentário|Série|Podc"&amp;"ast|Rádio|Audiotour|Entrevista|Reportagem|Crônica|Relatório|Abaixo-assinado|Manifesto|Petição|Poema|Livro|Fotografia|Curta|Live|Webinário|Charge|Leitura pública|Vídeo""),
""Público Mediado"","""")))
"),"")</f>
        <v/>
      </c>
      <c r="E265" s="13" t="str">
        <f>IFERROR(__xludf.DUMMYFUNCTION("IF(B265="""","""",IF(OR(
  REGEXMATCH(B265,""Live|Webinário|Virtual""),
  REGEXMATCH(B265,""online"")
),""Virtual"",
IF(REGEXMATCH(B265,""Música|Álbum|Filme|Documentário|Série|Podcast|Rádio|Audiotour|Episódio|Reportagem|Curta|Charge|Livro|Vídeo|Entrevista"&amp;"""),
""Midiático"",
IF(REGEXMATCH(B265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5" s="11"/>
      <c r="G265" s="15">
        <f t="shared" si="1"/>
        <v>0</v>
      </c>
      <c r="H265" s="11"/>
      <c r="I265" s="210"/>
      <c r="J265" s="169" t="str">
        <f>IFERROR(__xludf.DUMMYFUNCTION("REGEXEXTRACT(S265, ""\.\s(.*?)\s*YouTube"")"),"#N/A")</f>
        <v>#N/A</v>
      </c>
      <c r="K265" s="16"/>
      <c r="L265" s="18"/>
      <c r="M265" s="15" t="str">
        <f>IFERROR(__xludf.DUMMYFUNCTION("IF(REGEXMATCH(S265, ""Companhia das Letras""), ""Companhia das Letras"",
IF(REGEXMATCH(S265, ""Labortexto Editorial""), ""Labortexto Editorial"",
IF(REGEXMATCH(S265, ""Geração Editorial""), ""Geração Editorial"",
IF(REGEXMATCH(S265, ""Editora Imprensa Ofi"&amp;"cial|Imprensa Oficial""), ""Editora Imprensa Oficial"",
IF(REGEXMATCH(S265, ""Folha Online""), ""Folha Online"",
IF(REGEXMATCH(S265, ""FGV DIREITO SP|FGV Direito SP""), ""FGV DIREITO SP"",
IF(REGEXMATCH(S265, ""massacrecarandiru\.org\.br""), ""Memória Mas"&amp;"sacre Carandiru"",
IF(REGEXMATCH(S265, ""Itaú Cultural""), ""YouTube (Itaú Cultural)"",
IF(REGEXMATCH(S265, ""Passa Palavra""), ""Vimeo (Passa Palavra)"",
IF(REGEXMATCH(S265, ""rede2deoutubro\.blogspot""), ""Blogspot (Rede 02 de Outubro)"",
IF(REGEXMATCH("&amp;"S265, ""Rede TVT""), ""YouTube (Rede TVT)"",
IF(REGEXMATCH(S265, ""Esquerda Diário""), ""Esquerda Diário"",
IF(REGEXMATCH(S265, ""GZH""), ""GZH"",
IF(REGEXMATCH(S265, ""TVPUC""), ""TVPUC"",
IF(REGEXMATCH(S265, ""Mídia Ninja.*Facebook""), ""Facebook (Mídia"&amp;" Ninja)"",
IF(REGEXMATCH(S265, ""Memórias Carandiru.*Instagram""), ""Instagram (Memórias Carandiru)"",
IF(REGEXMATCH(S265, ""Frente pelo Desencarceramento SP""), ""YouTube (Frente Pelo Desencarceramento SP)"",
IF(REGEXMATCH(S265, ""TV ABA""), ""YouTube (T"&amp;"V ABA)"",
IF(REGEXMATCH(S265, ""TV SENADO""), ""YouTube (TV Senado)"",
IF(REGEXMATCH(S265, ""Google Arts &amp; Culture""), ""Google Arts &amp; Culture (Memória Massacre Carandiru)"",
IF(REGEXMATCH(S265, ""Anistia Internacional|ANISTIA INTERNACIONAL""), ""Anistia "&amp;"Internacional"",
IF(REGEXMATCH(S265, ""47\.mostra|47a Mostra""), ""47a Mostra Internacional de Cinema em São Paulo"",
IF(REGEXMATCH(S265, ""Canal USP""), ""YouTube (Canal USP)"",
IF(AND(
  REGEXMATCH(S265, ""(?i)(teses?\.usp\.br|dissertacoes?\.usp\.br|rep"&amp;"ositorio\.usp\.br)""),
  NOT(REGEXMATCH(S265, ""Canal USP""))
), ""Biblioteca Digital de Teses e Dissertações da USP"",
IF(REGEXMATCH(S265, ""SINTRAJUSC""), ""SINTRAJUSC"",
IF(REGEXMATCH(S265, ""Agência Brasil|Agencia Brasil""), ""Agência Brasil"",
IF(REG"&amp;"EXMATCH(S265, ""Brasil de Fato""), ""Brasil de Fato"",
IF(REGEXMATCH(S265, ""Ponte Jornalismo|pontejornalismo""), ""Ponte Jornalismo"",
IF(REGEXMATCH(S265, ""letras\.mus\.br|Letras,""), ""Letras"",
IF(REGEXMATCH(S265, ""YouTube|youtube""), 
   ""YouTube "&amp;"(""&amp;
   IF(REGEXMATCH(S265, ""Itaú Cultural""), ""Itaú Cultural"",
   IF(REGEXMATCH(S265, ""Rede TVT""), ""Rede TVT"",
   IF(REGEXMATCH(S265, ""Frente pelo Desencarceramento SP""), ""Frente Pelo Desencarceramento SP"",
   IF(REGEXMATCH(S265, ""TV ABA""), "&amp;"""TV ABA"",
   IF(REGEXMATCH(S265, ""TV SENADO""), ""TV Senado"",
   IF(REGEXMATCH(S265, ""Canal USP""), ""Canal USP"",
   IF(REGEXMATCH(S265, ""Douer, Zack|Zack Douer""), ""Douer Zack"",
   IF(REGEXMATCH(S265, ""PRISIONEIRO 84\.901|PRISIONEIRO 84""), ""P"&amp;"risioneiro 84.901"",
   IF(REGEXMATCH(S265, ""^[^,]*, ""), 
        PROPER(REGEXREPLACE(REGEXEXTRACT(S265, ""^([^.]*)\.""), ""^([^,]*), (.*)"", ""$2 $1"")),
        PROPER(REGEXEXTRACT(S265, ""^([^.]*)\.""))
   )))))))))&amp;"")"",
IF(REGEXMATCH(S265, ""Spot"&amp;"ify|spotify""), 
   ""Spotify (""&amp;
   IF(REGEXMATCH(S265, ""ESTRANHO SORRISO""), ""Estranho Sorriso"",
   PROPER(REGEXEXTRACT(S265, ""^([^.]*)\.""))
   )&amp;"")"",
IF(REGEXMATCH(S265, ""Vimeo|vimeo""), 
   ""Vimeo (""&amp;
   IF(REGEXMATCH(S265, ""Passa Palavra"&amp;"""), ""Passa Palavra"",
   PROPER(REGEXEXTRACT(S265, ""^([^.]*)\.""))
   )&amp;"")"",
IF(REGEXMATCH(S265, ""Blogspot""), 
   ""Blogspot (""&amp;
   IF(REGEXMATCH(S265, ""rede2deoutubro""), ""Rede 02 de Outubro"",
   PROPER(REGEXEXTRACT(S265, ""^([^.]*)\.""))
   "&amp;")&amp;"")"",
IF(REGEXMATCH(S265, ""Facebook""), 
   ""Facebook (""&amp;
   IF(REGEXMATCH(S265, ""Mídia Ninja""), ""Mídia Ninja"",
   PROPER(REGEXEXTRACT(S265, ""^([^.]*)\.""))
   )&amp;"")"",
IF(REGEXMATCH(S265, ""Instagram""), 
   ""Instagram (""&amp;
   IF(REGEXMATCH"&amp;"(S265, ""Memórias Carandiru""), ""Memórias Carandiru"",
   PROPER(REGEXEXTRACT(S265, ""^([^.]*)\.""))
   )&amp;"")"",
IF(REGEXMATCH(S265, ""Folha de S\. Paulo|FOLHA DE S\. PAULO""), ""Folha de S. Paulo"",
IF(REGEXMATCH(S265, ""O Estado de S\. Paulo|ESTADAO"""&amp;"), ""O Estado de S. Paulo"",
IF(REGEXMATCH(S265, ""salasecreta""), ""Wordpress (Sala Secreta)"",
IF(REGEXMATCH(S265, ""Wikipedia|Wikipédia|WIKIPÉDIA""), ""Wikipedia"",
IF(REGEXMATCH(S265, ""VEJA|Veja""), ""Veja Abril"",
IF(REGEXMATCH(S250, ""Rede Globo|RE"&amp;"DE GLOBO""), ""Rede Globo"",
IF(REGEXMATCH(S250, ""G1|globo\.com""), ""G1"",
IF(REGEXMATCH(S265, ""Deutsche Welle|DW\.com""), ""Deutsche Welle"",
IF(REGEXMATCH(S265, ""CIDH|Comissão Interamericana""), ""Comissão Interamericana de Direitos Humanos (CIDH)"""&amp;",
IF(REGEXMATCH(S265, ""Pastoral Carcerária""), ""Pastoral Carcerária"",
IF(REGEXMATCH(S265, ""Esquerda Web""), ""Esquerda Web"",
IF(REGEXMATCH(S265, ""ONU|Organização das Nações Unidas""), ""ONU Brasil"",
IF(REGEXMATCH(S265, ""Quilombo Invisível""), ""Qu"&amp;"ilombo Invisível"",
IF(REGEXMATCH(S265, ""ALESP|Assembleia Legislativa""), ""ALESP"",
IF(REGEXMATCH(S265, ""Revista Opera""), ""Revista Opera"",
IF(REGEXMATCH(S265, ""SP Escola de Teatro""), ""SP Escola de Teatro"",
IF(REGEXMATCH(S265, ""EMC|Espaço Memóri"&amp;"a Carandiru""), ""EMC Espaço Memória Carandiru"",
IF(REGEXMATCH(S265, ""^RAMOS, Nuno|Nuno Ramos""), ""Nuno Ramos"",
IF(REGEXMATCH(S265, ""^VELOSO, Caetano|Caetano Veloso""), ""YouTube (Caetano Veloso)"",
IF(REGEXMATCH(S265, ""^FATOS REAIS""), ""YouTube ("&amp;"Fatos Reais - Topic)"",
IF(REGEXMATCH(S265, ""^SALA SECRETA""), ""Wordpress (Sala Secreta)"",
PROPER(REGEXEXTRACT(S265, ""^([^.]*)\.""))
))))))))))))))))))))))))))))))))))))))))))))))))))))))))"),"#N/A")</f>
        <v>#N/A</v>
      </c>
      <c r="N265" s="11"/>
      <c r="O265" s="14"/>
      <c r="P265" s="197"/>
      <c r="Q265" s="197"/>
      <c r="R265" s="194" t="str">
        <f t="shared" si="8"/>
        <v>#VALUE!</v>
      </c>
      <c r="S265" s="172"/>
    </row>
    <row r="266">
      <c r="A266" s="11">
        <v>264.0</v>
      </c>
      <c r="B266" s="11"/>
      <c r="C266" s="12" t="str">
        <f>IFERROR(__xludf.DUMMYFUNCTION("IF(B266="""","""",IF(OR(
  REGEXMATCH(B266,""Performance|Instalação|Álbum|Música|Poema|Livro|Filme|Documentário|Recitação|Espetáculo|Peça|Intervenção|Desfile|Fotografia|Exposição|Charge|Grafite|Leitura pública|Fabricação de cachaça artesanal""),
  REGEXMA"&amp;"TCH(B266,""dança|teatral|artístico|musical|artística"")
),""Manifestação artístico-cultural"",
IF(OR(
  REGEXMATCH(B266,""Crônica|Série|Reportagem|Podcast|Audiotour|Entrevista|Vídeo|Rádio""),
  REGEXMATCH(B266,""midiática"")
),""Produção midiática"","""")"&amp;"))
"),"")</f>
        <v/>
      </c>
      <c r="D266" s="13" t="str">
        <f>IFERROR(__xludf.DUMMYFUNCTION("IF(B266="""","""",IF(OR(
  REGEXMATCH(B266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REGEXMATCH(B266,""público|Imediato|artística|teatral|memória"")
),""Público Imediato"",
IF(REGEXMATCH(B266,""Música|Álbum|Filme|Documentário|Série|Podc"&amp;"ast|Rádio|Audiotour|Entrevista|Reportagem|Crônica|Relatório|Abaixo-assinado|Manifesto|Petição|Poema|Livro|Fotografia|Curta|Live|Webinário|Charge|Leitura pública|Vídeo""),
""Público Mediado"","""")))
"),"")</f>
        <v/>
      </c>
      <c r="E266" s="13" t="str">
        <f>IFERROR(__xludf.DUMMYFUNCTION("IF(B266="""","""",IF(OR(
  REGEXMATCH(B266,""Live|Webinário|Virtual""),
  REGEXMATCH(B266,""online"")
),""Virtual"",
IF(REGEXMATCH(B266,""Música|Álbum|Filme|Documentário|Série|Podcast|Rádio|Audiotour|Episódio|Reportagem|Curta|Charge|Livro|Vídeo|Entrevista"&amp;"""),
""Midiático"",
IF(REGEXMATCH(B266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6" s="11"/>
      <c r="G266" s="15">
        <f t="shared" si="1"/>
        <v>0</v>
      </c>
      <c r="H266" s="11"/>
      <c r="I266" s="210"/>
      <c r="J266" s="169" t="str">
        <f>IFERROR(__xludf.DUMMYFUNCTION("REGEXEXTRACT(S266, ""\.\s(.*?)\s*YouTube"")"),"#N/A")</f>
        <v>#N/A</v>
      </c>
      <c r="K266" s="16"/>
      <c r="L266" s="18"/>
      <c r="M266" s="15" t="str">
        <f>IFERROR(__xludf.DUMMYFUNCTION("IF(REGEXMATCH(S266, ""Companhia das Letras""), ""Companhia das Letras"",
IF(REGEXMATCH(S266, ""Labortexto Editorial""), ""Labortexto Editorial"",
IF(REGEXMATCH(S266, ""Geração Editorial""), ""Geração Editorial"",
IF(REGEXMATCH(S266, ""Editora Imprensa Ofi"&amp;"cial|Imprensa Oficial""), ""Editora Imprensa Oficial"",
IF(REGEXMATCH(S266, ""Folha Online""), ""Folha Online"",
IF(REGEXMATCH(S266, ""FGV DIREITO SP|FGV Direito SP""), ""FGV DIREITO SP"",
IF(REGEXMATCH(S266, ""massacrecarandiru\.org\.br""), ""Memória Mas"&amp;"sacre Carandiru"",
IF(REGEXMATCH(S266, ""Itaú Cultural""), ""YouTube (Itaú Cultural)"",
IF(REGEXMATCH(S266, ""Passa Palavra""), ""Vimeo (Passa Palavra)"",
IF(REGEXMATCH(S266, ""rede2deoutubro\.blogspot""), ""Blogspot (Rede 02 de Outubro)"",
IF(REGEXMATCH("&amp;"S266, ""Rede TVT""), ""YouTube (Rede TVT)"",
IF(REGEXMATCH(S266, ""Esquerda Diário""), ""Esquerda Diário"",
IF(REGEXMATCH(S266, ""GZH""), ""GZH"",
IF(REGEXMATCH(S266, ""TVPUC""), ""TVPUC"",
IF(REGEXMATCH(S266, ""Mídia Ninja.*Facebook""), ""Facebook (Mídia"&amp;" Ninja)"",
IF(REGEXMATCH(S266, ""Memórias Carandiru.*Instagram""), ""Instagram (Memórias Carandiru)"",
IF(REGEXMATCH(S266, ""Frente pelo Desencarceramento SP""), ""YouTube (Frente Pelo Desencarceramento SP)"",
IF(REGEXMATCH(S266, ""TV ABA""), ""YouTube (T"&amp;"V ABA)"",
IF(REGEXMATCH(S266, ""TV SENADO""), ""YouTube (TV Senado)"",
IF(REGEXMATCH(S266, ""Google Arts &amp; Culture""), ""Google Arts &amp; Culture (Memória Massacre Carandiru)"",
IF(REGEXMATCH(S266, ""Anistia Internacional|ANISTIA INTERNACIONAL""), ""Anistia "&amp;"Internacional"",
IF(REGEXMATCH(S266, ""47\.mostra|47a Mostra""), ""47a Mostra Internacional de Cinema em São Paulo"",
IF(REGEXMATCH(S266, ""Canal USP""), ""YouTube (Canal USP)"",
IF(AND(
  REGEXMATCH(S266, ""(?i)(teses?\.usp\.br|dissertacoes?\.usp\.br|rep"&amp;"ositorio\.usp\.br)""),
  NOT(REGEXMATCH(S266, ""Canal USP""))
), ""Biblioteca Digital de Teses e Dissertações da USP"",
IF(REGEXMATCH(S266, ""SINTRAJUSC""), ""SINTRAJUSC"",
IF(REGEXMATCH(S266, ""Agência Brasil|Agencia Brasil""), ""Agência Brasil"",
IF(REG"&amp;"EXMATCH(S266, ""Brasil de Fato""), ""Brasil de Fato"",
IF(REGEXMATCH(S266, ""Ponte Jornalismo|pontejornalismo""), ""Ponte Jornalismo"",
IF(REGEXMATCH(S266, ""letras\.mus\.br|Letras,""), ""Letras"",
IF(REGEXMATCH(S266, ""YouTube|youtube""), 
   ""YouTube "&amp;"(""&amp;
   IF(REGEXMATCH(S266, ""Itaú Cultural""), ""Itaú Cultural"",
   IF(REGEXMATCH(S266, ""Rede TVT""), ""Rede TVT"",
   IF(REGEXMATCH(S266, ""Frente pelo Desencarceramento SP""), ""Frente Pelo Desencarceramento SP"",
   IF(REGEXMATCH(S266, ""TV ABA""), "&amp;"""TV ABA"",
   IF(REGEXMATCH(S266, ""TV SENADO""), ""TV Senado"",
   IF(REGEXMATCH(S266, ""Canal USP""), ""Canal USP"",
   IF(REGEXMATCH(S266, ""Douer, Zack|Zack Douer""), ""Douer Zack"",
   IF(REGEXMATCH(S266, ""PRISIONEIRO 84\.901|PRISIONEIRO 84""), ""P"&amp;"risioneiro 84.901"",
   IF(REGEXMATCH(S266, ""^[^,]*, ""), 
        PROPER(REGEXREPLACE(REGEXEXTRACT(S266, ""^([^.]*)\.""), ""^([^,]*), (.*)"", ""$2 $1"")),
        PROPER(REGEXEXTRACT(S266, ""^([^.]*)\.""))
   )))))))))&amp;"")"",
IF(REGEXMATCH(S266, ""Spot"&amp;"ify|spotify""), 
   ""Spotify (""&amp;
   IF(REGEXMATCH(S266, ""ESTRANHO SORRISO""), ""Estranho Sorriso"",
   PROPER(REGEXEXTRACT(S266, ""^([^.]*)\.""))
   )&amp;"")"",
IF(REGEXMATCH(S266, ""Vimeo|vimeo""), 
   ""Vimeo (""&amp;
   IF(REGEXMATCH(S266, ""Passa Palavra"&amp;"""), ""Passa Palavra"",
   PROPER(REGEXEXTRACT(S266, ""^([^.]*)\.""))
   )&amp;"")"",
IF(REGEXMATCH(S266, ""Blogspot""), 
   ""Blogspot (""&amp;
   IF(REGEXMATCH(S266, ""rede2deoutubro""), ""Rede 02 de Outubro"",
   PROPER(REGEXEXTRACT(S266, ""^([^.]*)\.""))
   "&amp;")&amp;"")"",
IF(REGEXMATCH(S266, ""Facebook""), 
   ""Facebook (""&amp;
   IF(REGEXMATCH(S266, ""Mídia Ninja""), ""Mídia Ninja"",
   PROPER(REGEXEXTRACT(S266, ""^([^.]*)\.""))
   )&amp;"")"",
IF(REGEXMATCH(S266, ""Instagram""), 
   ""Instagram (""&amp;
   IF(REGEXMATCH"&amp;"(S266, ""Memórias Carandiru""), ""Memórias Carandiru"",
   PROPER(REGEXEXTRACT(S266, ""^([^.]*)\.""))
   )&amp;"")"",
IF(REGEXMATCH(S266, ""Folha de S\. Paulo|FOLHA DE S\. PAULO""), ""Folha de S. Paulo"",
IF(REGEXMATCH(S266, ""O Estado de S\. Paulo|ESTADAO"""&amp;"), ""O Estado de S. Paulo"",
IF(REGEXMATCH(S266, ""salasecreta""), ""Wordpress (Sala Secreta)"",
IF(REGEXMATCH(S266, ""Wikipedia|Wikipédia|WIKIPÉDIA""), ""Wikipedia"",
IF(REGEXMATCH(S266, ""VEJA|Veja""), ""Veja Abril"",
IF(REGEXMATCH(S251, ""Rede Globo|RE"&amp;"DE GLOBO""), ""Rede Globo"",
IF(REGEXMATCH(S251, ""G1|globo\.com""), ""G1"",
IF(REGEXMATCH(S266, ""Deutsche Welle|DW\.com""), ""Deutsche Welle"",
IF(REGEXMATCH(S266, ""CIDH|Comissão Interamericana""), ""Comissão Interamericana de Direitos Humanos (CIDH)"""&amp;",
IF(REGEXMATCH(S266, ""Pastoral Carcerária""), ""Pastoral Carcerária"",
IF(REGEXMATCH(S266, ""Esquerda Web""), ""Esquerda Web"",
IF(REGEXMATCH(S266, ""ONU|Organização das Nações Unidas""), ""ONU Brasil"",
IF(REGEXMATCH(S266, ""Quilombo Invisível""), ""Qu"&amp;"ilombo Invisível"",
IF(REGEXMATCH(S266, ""ALESP|Assembleia Legislativa""), ""ALESP"",
IF(REGEXMATCH(S266, ""Revista Opera""), ""Revista Opera"",
IF(REGEXMATCH(S266, ""SP Escola de Teatro""), ""SP Escola de Teatro"",
IF(REGEXMATCH(S266, ""EMC|Espaço Memóri"&amp;"a Carandiru""), ""EMC Espaço Memória Carandiru"",
IF(REGEXMATCH(S266, ""^RAMOS, Nuno|Nuno Ramos""), ""Nuno Ramos"",
IF(REGEXMATCH(S266, ""^VELOSO, Caetano|Caetano Veloso""), ""YouTube (Caetano Veloso)"",
IF(REGEXMATCH(S266, ""^FATOS REAIS""), ""YouTube ("&amp;"Fatos Reais - Topic)"",
IF(REGEXMATCH(S266, ""^SALA SECRETA""), ""Wordpress (Sala Secreta)"",
PROPER(REGEXEXTRACT(S266, ""^([^.]*)\.""))
))))))))))))))))))))))))))))))))))))))))))))))))))))))))"),"#N/A")</f>
        <v>#N/A</v>
      </c>
      <c r="N266" s="11"/>
      <c r="O266" s="14"/>
      <c r="P266" s="197"/>
      <c r="Q266" s="197"/>
      <c r="R266" s="194" t="str">
        <f t="shared" si="8"/>
        <v>#VALUE!</v>
      </c>
      <c r="S266" s="172"/>
    </row>
    <row r="267">
      <c r="A267" s="11">
        <v>265.0</v>
      </c>
      <c r="B267" s="11"/>
      <c r="C267" s="12" t="str">
        <f>IFERROR(__xludf.DUMMYFUNCTION("IF(B267="""","""",IF(OR(
  REGEXMATCH(B267,""Performance|Instalação|Álbum|Música|Poema|Livro|Filme|Documentário|Recitação|Espetáculo|Peça|Intervenção|Desfile|Fotografia|Exposição|Charge|Grafite|Leitura pública|Fabricação de cachaça artesanal""),
  REGEXMA"&amp;"TCH(B267,""dança|teatral|artístico|musical|artística"")
),""Manifestação artístico-cultural"",
IF(OR(
  REGEXMATCH(B267,""Crônica|Série|Reportagem|Podcast|Audiotour|Entrevista|Vídeo|Rádio""),
  REGEXMATCH(B267,""midiática"")
),""Produção midiática"","""")"&amp;"))
"),"")</f>
        <v/>
      </c>
      <c r="D267" s="13" t="str">
        <f>IFERROR(__xludf.DUMMYFUNCTION("IF(B267="""","""",IF(OR(
  REGEXMATCH(B267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REGEXMATCH(B267,""público|Imediato|artística|teatral|memória"")
),""Público Imediato"",
IF(REGEXMATCH(B267,""Música|Álbum|Filme|Documentário|Série|Podc"&amp;"ast|Rádio|Audiotour|Entrevista|Reportagem|Crônica|Relatório|Abaixo-assinado|Manifesto|Petição|Poema|Livro|Fotografia|Curta|Live|Webinário|Charge|Leitura pública|Vídeo""),
""Público Mediado"","""")))
"),"")</f>
        <v/>
      </c>
      <c r="E267" s="13" t="str">
        <f>IFERROR(__xludf.DUMMYFUNCTION("IF(B267="""","""",IF(OR(
  REGEXMATCH(B267,""Live|Webinário|Virtual""),
  REGEXMATCH(B267,""online"")
),""Virtual"",
IF(REGEXMATCH(B267,""Música|Álbum|Filme|Documentário|Série|Podcast|Rádio|Audiotour|Episódio|Reportagem|Curta|Charge|Livro|Vídeo|Entrevista"&amp;"""),
""Midiático"",
IF(REGEXMATCH(B267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7" s="11"/>
      <c r="G267" s="15">
        <f t="shared" si="1"/>
        <v>0</v>
      </c>
      <c r="H267" s="11"/>
      <c r="I267" s="210"/>
      <c r="J267" s="169" t="str">
        <f>IFERROR(__xludf.DUMMYFUNCTION("REGEXEXTRACT(S267, ""\.\s(.*?)\s*YouTube"")"),"#N/A")</f>
        <v>#N/A</v>
      </c>
      <c r="K267" s="16"/>
      <c r="L267" s="18"/>
      <c r="M267" s="15" t="str">
        <f>IFERROR(__xludf.DUMMYFUNCTION("IF(REGEXMATCH(S267, ""Companhia das Letras""), ""Companhia das Letras"",
IF(REGEXMATCH(S267, ""Labortexto Editorial""), ""Labortexto Editorial"",
IF(REGEXMATCH(S267, ""Geração Editorial""), ""Geração Editorial"",
IF(REGEXMATCH(S267, ""Editora Imprensa Ofi"&amp;"cial|Imprensa Oficial""), ""Editora Imprensa Oficial"",
IF(REGEXMATCH(S267, ""Folha Online""), ""Folha Online"",
IF(REGEXMATCH(S267, ""FGV DIREITO SP|FGV Direito SP""), ""FGV DIREITO SP"",
IF(REGEXMATCH(S267, ""massacrecarandiru\.org\.br""), ""Memória Mas"&amp;"sacre Carandiru"",
IF(REGEXMATCH(S267, ""Itaú Cultural""), ""YouTube (Itaú Cultural)"",
IF(REGEXMATCH(S267, ""Passa Palavra""), ""Vimeo (Passa Palavra)"",
IF(REGEXMATCH(S267, ""rede2deoutubro\.blogspot""), ""Blogspot (Rede 02 de Outubro)"",
IF(REGEXMATCH("&amp;"S267, ""Rede TVT""), ""YouTube (Rede TVT)"",
IF(REGEXMATCH(S267, ""Esquerda Diário""), ""Esquerda Diário"",
IF(REGEXMATCH(S267, ""GZH""), ""GZH"",
IF(REGEXMATCH(S267, ""TVPUC""), ""TVPUC"",
IF(REGEXMATCH(S267, ""Mídia Ninja.*Facebook""), ""Facebook (Mídia"&amp;" Ninja)"",
IF(REGEXMATCH(S267, ""Memórias Carandiru.*Instagram""), ""Instagram (Memórias Carandiru)"",
IF(REGEXMATCH(S267, ""Frente pelo Desencarceramento SP""), ""YouTube (Frente Pelo Desencarceramento SP)"",
IF(REGEXMATCH(S267, ""TV ABA""), ""YouTube (T"&amp;"V ABA)"",
IF(REGEXMATCH(S267, ""TV SENADO""), ""YouTube (TV Senado)"",
IF(REGEXMATCH(S267, ""Google Arts &amp; Culture""), ""Google Arts &amp; Culture (Memória Massacre Carandiru)"",
IF(REGEXMATCH(S267, ""Anistia Internacional|ANISTIA INTERNACIONAL""), ""Anistia "&amp;"Internacional"",
IF(REGEXMATCH(S267, ""47\.mostra|47a Mostra""), ""47a Mostra Internacional de Cinema em São Paulo"",
IF(REGEXMATCH(S267, ""Canal USP""), ""YouTube (Canal USP)"",
IF(AND(
  REGEXMATCH(S267, ""(?i)(teses?\.usp\.br|dissertacoes?\.usp\.br|rep"&amp;"ositorio\.usp\.br)""),
  NOT(REGEXMATCH(S267, ""Canal USP""))
), ""Biblioteca Digital de Teses e Dissertações da USP"",
IF(REGEXMATCH(S267, ""SINTRAJUSC""), ""SINTRAJUSC"",
IF(REGEXMATCH(S267, ""Agência Brasil|Agencia Brasil""), ""Agência Brasil"",
IF(REG"&amp;"EXMATCH(S267, ""Brasil de Fato""), ""Brasil de Fato"",
IF(REGEXMATCH(S267, ""Ponte Jornalismo|pontejornalismo""), ""Ponte Jornalismo"",
IF(REGEXMATCH(S267, ""letras\.mus\.br|Letras,""), ""Letras"",
IF(REGEXMATCH(S267, ""YouTube|youtube""), 
   ""YouTube "&amp;"(""&amp;
   IF(REGEXMATCH(S267, ""Itaú Cultural""), ""Itaú Cultural"",
   IF(REGEXMATCH(S267, ""Rede TVT""), ""Rede TVT"",
   IF(REGEXMATCH(S267, ""Frente pelo Desencarceramento SP""), ""Frente Pelo Desencarceramento SP"",
   IF(REGEXMATCH(S267, ""TV ABA""), "&amp;"""TV ABA"",
   IF(REGEXMATCH(S267, ""TV SENADO""), ""TV Senado"",
   IF(REGEXMATCH(S267, ""Canal USP""), ""Canal USP"",
   IF(REGEXMATCH(S267, ""Douer, Zack|Zack Douer""), ""Douer Zack"",
   IF(REGEXMATCH(S267, ""PRISIONEIRO 84\.901|PRISIONEIRO 84""), ""P"&amp;"risioneiro 84.901"",
   IF(REGEXMATCH(S267, ""^[^,]*, ""), 
        PROPER(REGEXREPLACE(REGEXEXTRACT(S267, ""^([^.]*)\.""), ""^([^,]*), (.*)"", ""$2 $1"")),
        PROPER(REGEXEXTRACT(S267, ""^([^.]*)\.""))
   )))))))))&amp;"")"",
IF(REGEXMATCH(S267, ""Spot"&amp;"ify|spotify""), 
   ""Spotify (""&amp;
   IF(REGEXMATCH(S267, ""ESTRANHO SORRISO""), ""Estranho Sorriso"",
   PROPER(REGEXEXTRACT(S267, ""^([^.]*)\.""))
   )&amp;"")"",
IF(REGEXMATCH(S267, ""Vimeo|vimeo""), 
   ""Vimeo (""&amp;
   IF(REGEXMATCH(S267, ""Passa Palavra"&amp;"""), ""Passa Palavra"",
   PROPER(REGEXEXTRACT(S267, ""^([^.]*)\.""))
   )&amp;"")"",
IF(REGEXMATCH(S267, ""Blogspot""), 
   ""Blogspot (""&amp;
   IF(REGEXMATCH(S267, ""rede2deoutubro""), ""Rede 02 de Outubro"",
   PROPER(REGEXEXTRACT(S267, ""^([^.]*)\.""))
   "&amp;")&amp;"")"",
IF(REGEXMATCH(S267, ""Facebook""), 
   ""Facebook (""&amp;
   IF(REGEXMATCH(S267, ""Mídia Ninja""), ""Mídia Ninja"",
   PROPER(REGEXEXTRACT(S267, ""^([^.]*)\.""))
   )&amp;"")"",
IF(REGEXMATCH(S267, ""Instagram""), 
   ""Instagram (""&amp;
   IF(REGEXMATCH"&amp;"(S267, ""Memórias Carandiru""), ""Memórias Carandiru"",
   PROPER(REGEXEXTRACT(S267, ""^([^.]*)\.""))
   )&amp;"")"",
IF(REGEXMATCH(S267, ""Folha de S\. Paulo|FOLHA DE S\. PAULO""), ""Folha de S. Paulo"",
IF(REGEXMATCH(S267, ""O Estado de S\. Paulo|ESTADAO"""&amp;"), ""O Estado de S. Paulo"",
IF(REGEXMATCH(S267, ""salasecreta""), ""Wordpress (Sala Secreta)"",
IF(REGEXMATCH(S267, ""Wikipedia|Wikipédia|WIKIPÉDIA""), ""Wikipedia"",
IF(REGEXMATCH(S267, ""VEJA|Veja""), ""Veja Abril"",
IF(REGEXMATCH(S252, ""Rede Globo|RE"&amp;"DE GLOBO""), ""Rede Globo"",
IF(REGEXMATCH(S252, ""G1|globo\.com""), ""G1"",
IF(REGEXMATCH(S267, ""Deutsche Welle|DW\.com""), ""Deutsche Welle"",
IF(REGEXMATCH(S267, ""CIDH|Comissão Interamericana""), ""Comissão Interamericana de Direitos Humanos (CIDH)"""&amp;",
IF(REGEXMATCH(S267, ""Pastoral Carcerária""), ""Pastoral Carcerária"",
IF(REGEXMATCH(S267, ""Esquerda Web""), ""Esquerda Web"",
IF(REGEXMATCH(S267, ""ONU|Organização das Nações Unidas""), ""ONU Brasil"",
IF(REGEXMATCH(S267, ""Quilombo Invisível""), ""Qu"&amp;"ilombo Invisível"",
IF(REGEXMATCH(S267, ""ALESP|Assembleia Legislativa""), ""ALESP"",
IF(REGEXMATCH(S267, ""Revista Opera""), ""Revista Opera"",
IF(REGEXMATCH(S267, ""SP Escola de Teatro""), ""SP Escola de Teatro"",
IF(REGEXMATCH(S267, ""EMC|Espaço Memóri"&amp;"a Carandiru""), ""EMC Espaço Memória Carandiru"",
IF(REGEXMATCH(S267, ""^RAMOS, Nuno|Nuno Ramos""), ""Nuno Ramos"",
IF(REGEXMATCH(S267, ""^VELOSO, Caetano|Caetano Veloso""), ""YouTube (Caetano Veloso)"",
IF(REGEXMATCH(S267, ""^FATOS REAIS""), ""YouTube ("&amp;"Fatos Reais - Topic)"",
IF(REGEXMATCH(S267, ""^SALA SECRETA""), ""Wordpress (Sala Secreta)"",
PROPER(REGEXEXTRACT(S267, ""^([^.]*)\.""))
))))))))))))))))))))))))))))))))))))))))))))))))))))))))"),"#N/A")</f>
        <v>#N/A</v>
      </c>
      <c r="N267" s="11"/>
      <c r="O267" s="14"/>
      <c r="P267" s="197"/>
      <c r="Q267" s="197"/>
      <c r="R267" s="194" t="str">
        <f t="shared" si="8"/>
        <v>#VALUE!</v>
      </c>
      <c r="S267" s="172"/>
    </row>
    <row r="268">
      <c r="A268" s="11">
        <v>266.0</v>
      </c>
      <c r="B268" s="11"/>
      <c r="C268" s="12" t="str">
        <f>IFERROR(__xludf.DUMMYFUNCTION("IF(B268="""","""",IF(OR(
  REGEXMATCH(B268,""Performance|Instalação|Álbum|Música|Poema|Livro|Filme|Documentário|Recitação|Espetáculo|Peça|Intervenção|Desfile|Fotografia|Exposição|Charge|Grafite|Leitura pública|Fabricação de cachaça artesanal""),
  REGEXMA"&amp;"TCH(B268,""dança|teatral|artístico|musical|artística"")
),""Manifestação artístico-cultural"",
IF(OR(
  REGEXMATCH(B268,""Crônica|Série|Reportagem|Podcast|Audiotour|Entrevista|Vídeo|Rádio""),
  REGEXMATCH(B268,""midiática"")
),""Produção midiática"","""")"&amp;"))
"),"")</f>
        <v/>
      </c>
      <c r="D268" s="13" t="str">
        <f>IFERROR(__xludf.DUMMYFUNCTION("IF(B268="""","""",IF(OR(
  REGEXMATCH(B268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REGEXMATCH(B268,""público|Imediato|artística|teatral|memória"")
),""Público Imediato"",
IF(REGEXMATCH(B268,""Música|Álbum|Filme|Documentário|Série|Podc"&amp;"ast|Rádio|Audiotour|Entrevista|Reportagem|Crônica|Relatório|Abaixo-assinado|Manifesto|Petição|Poema|Livro|Fotografia|Curta|Live|Webinário|Charge|Leitura pública|Vídeo""),
""Público Mediado"","""")))
"),"")</f>
        <v/>
      </c>
      <c r="E268" s="13" t="str">
        <f>IFERROR(__xludf.DUMMYFUNCTION("IF(B268="""","""",IF(OR(
  REGEXMATCH(B268,""Live|Webinário|Virtual""),
  REGEXMATCH(B268,""online"")
),""Virtual"",
IF(REGEXMATCH(B268,""Música|Álbum|Filme|Documentário|Série|Podcast|Rádio|Audiotour|Episódio|Reportagem|Curta|Charge|Livro|Vídeo|Entrevista"&amp;"""),
""Midiático"",
IF(REGEXMATCH(B268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8" s="11"/>
      <c r="G268" s="15">
        <f t="shared" si="1"/>
        <v>0</v>
      </c>
      <c r="H268" s="11"/>
      <c r="I268" s="210"/>
      <c r="J268" s="169" t="str">
        <f>IFERROR(__xludf.DUMMYFUNCTION("REGEXEXTRACT(S268, ""\.\s(.*?)\s*YouTube"")"),"#N/A")</f>
        <v>#N/A</v>
      </c>
      <c r="K268" s="16"/>
      <c r="L268" s="18"/>
      <c r="M268" s="15" t="str">
        <f>IFERROR(__xludf.DUMMYFUNCTION("IF(REGEXMATCH(S268, ""Companhia das Letras""), ""Companhia das Letras"",
IF(REGEXMATCH(S268, ""Labortexto Editorial""), ""Labortexto Editorial"",
IF(REGEXMATCH(S268, ""Geração Editorial""), ""Geração Editorial"",
IF(REGEXMATCH(S268, ""Editora Imprensa Ofi"&amp;"cial|Imprensa Oficial""), ""Editora Imprensa Oficial"",
IF(REGEXMATCH(S268, ""Folha Online""), ""Folha Online"",
IF(REGEXMATCH(S268, ""FGV DIREITO SP|FGV Direito SP""), ""FGV DIREITO SP"",
IF(REGEXMATCH(S268, ""massacrecarandiru\.org\.br""), ""Memória Mas"&amp;"sacre Carandiru"",
IF(REGEXMATCH(S268, ""Itaú Cultural""), ""YouTube (Itaú Cultural)"",
IF(REGEXMATCH(S268, ""Passa Palavra""), ""Vimeo (Passa Palavra)"",
IF(REGEXMATCH(S268, ""rede2deoutubro\.blogspot""), ""Blogspot (Rede 02 de Outubro)"",
IF(REGEXMATCH("&amp;"S268, ""Rede TVT""), ""YouTube (Rede TVT)"",
IF(REGEXMATCH(S268, ""Esquerda Diário""), ""Esquerda Diário"",
IF(REGEXMATCH(S268, ""GZH""), ""GZH"",
IF(REGEXMATCH(S268, ""TVPUC""), ""TVPUC"",
IF(REGEXMATCH(S268, ""Mídia Ninja.*Facebook""), ""Facebook (Mídia"&amp;" Ninja)"",
IF(REGEXMATCH(S268, ""Memórias Carandiru.*Instagram""), ""Instagram (Memórias Carandiru)"",
IF(REGEXMATCH(S268, ""Frente pelo Desencarceramento SP""), ""YouTube (Frente Pelo Desencarceramento SP)"",
IF(REGEXMATCH(S268, ""TV ABA""), ""YouTube (T"&amp;"V ABA)"",
IF(REGEXMATCH(S268, ""TV SENADO""), ""YouTube (TV Senado)"",
IF(REGEXMATCH(S268, ""Google Arts &amp; Culture""), ""Google Arts &amp; Culture (Memória Massacre Carandiru)"",
IF(REGEXMATCH(S268, ""Anistia Internacional|ANISTIA INTERNACIONAL""), ""Anistia "&amp;"Internacional"",
IF(REGEXMATCH(S268, ""47\.mostra|47a Mostra""), ""47a Mostra Internacional de Cinema em São Paulo"",
IF(REGEXMATCH(S268, ""Canal USP""), ""YouTube (Canal USP)"",
IF(AND(
  REGEXMATCH(S268, ""(?i)(teses?\.usp\.br|dissertacoes?\.usp\.br|rep"&amp;"ositorio\.usp\.br)""),
  NOT(REGEXMATCH(S268, ""Canal USP""))
), ""Biblioteca Digital de Teses e Dissertações da USP"",
IF(REGEXMATCH(S268, ""SINTRAJUSC""), ""SINTRAJUSC"",
IF(REGEXMATCH(S268, ""Agência Brasil|Agencia Brasil""), ""Agência Brasil"",
IF(REG"&amp;"EXMATCH(S268, ""Brasil de Fato""), ""Brasil de Fato"",
IF(REGEXMATCH(S268, ""Ponte Jornalismo|pontejornalismo""), ""Ponte Jornalismo"",
IF(REGEXMATCH(S268, ""letras\.mus\.br|Letras,""), ""Letras"",
IF(REGEXMATCH(S268, ""YouTube|youtube""), 
   ""YouTube "&amp;"(""&amp;
   IF(REGEXMATCH(S268, ""Itaú Cultural""), ""Itaú Cultural"",
   IF(REGEXMATCH(S268, ""Rede TVT""), ""Rede TVT"",
   IF(REGEXMATCH(S268, ""Frente pelo Desencarceramento SP""), ""Frente Pelo Desencarceramento SP"",
   IF(REGEXMATCH(S268, ""TV ABA""), "&amp;"""TV ABA"",
   IF(REGEXMATCH(S268, ""TV SENADO""), ""TV Senado"",
   IF(REGEXMATCH(S268, ""Canal USP""), ""Canal USP"",
   IF(REGEXMATCH(S268, ""Douer, Zack|Zack Douer""), ""Douer Zack"",
   IF(REGEXMATCH(S268, ""PRISIONEIRO 84\.901|PRISIONEIRO 84""), ""P"&amp;"risioneiro 84.901"",
   IF(REGEXMATCH(S268, ""^[^,]*, ""), 
        PROPER(REGEXREPLACE(REGEXEXTRACT(S268, ""^([^.]*)\.""), ""^([^,]*), (.*)"", ""$2 $1"")),
        PROPER(REGEXEXTRACT(S268, ""^([^.]*)\.""))
   )))))))))&amp;"")"",
IF(REGEXMATCH(S268, ""Spot"&amp;"ify|spotify""), 
   ""Spotify (""&amp;
   IF(REGEXMATCH(S268, ""ESTRANHO SORRISO""), ""Estranho Sorriso"",
   PROPER(REGEXEXTRACT(S268, ""^([^.]*)\.""))
   )&amp;"")"",
IF(REGEXMATCH(S268, ""Vimeo|vimeo""), 
   ""Vimeo (""&amp;
   IF(REGEXMATCH(S268, ""Passa Palavra"&amp;"""), ""Passa Palavra"",
   PROPER(REGEXEXTRACT(S268, ""^([^.]*)\.""))
   )&amp;"")"",
IF(REGEXMATCH(S268, ""Blogspot""), 
   ""Blogspot (""&amp;
   IF(REGEXMATCH(S268, ""rede2deoutubro""), ""Rede 02 de Outubro"",
   PROPER(REGEXEXTRACT(S268, ""^([^.]*)\.""))
   "&amp;")&amp;"")"",
IF(REGEXMATCH(S268, ""Facebook""), 
   ""Facebook (""&amp;
   IF(REGEXMATCH(S268, ""Mídia Ninja""), ""Mídia Ninja"",
   PROPER(REGEXEXTRACT(S268, ""^([^.]*)\.""))
   )&amp;"")"",
IF(REGEXMATCH(S268, ""Instagram""), 
   ""Instagram (""&amp;
   IF(REGEXMATCH"&amp;"(S268, ""Memórias Carandiru""), ""Memórias Carandiru"",
   PROPER(REGEXEXTRACT(S268, ""^([^.]*)\.""))
   )&amp;"")"",
IF(REGEXMATCH(S268, ""Folha de S\. Paulo|FOLHA DE S\. PAULO""), ""Folha de S. Paulo"",
IF(REGEXMATCH(S268, ""O Estado de S\. Paulo|ESTADAO"""&amp;"), ""O Estado de S. Paulo"",
IF(REGEXMATCH(S268, ""salasecreta""), ""Wordpress (Sala Secreta)"",
IF(REGEXMATCH(S268, ""Wikipedia|Wikipédia|WIKIPÉDIA""), ""Wikipedia"",
IF(REGEXMATCH(S268, ""VEJA|Veja""), ""Veja Abril"",
IF(REGEXMATCH(S253, ""Rede Globo|RE"&amp;"DE GLOBO""), ""Rede Globo"",
IF(REGEXMATCH(S253, ""G1|globo\.com""), ""G1"",
IF(REGEXMATCH(S268, ""Deutsche Welle|DW\.com""), ""Deutsche Welle"",
IF(REGEXMATCH(S268, ""CIDH|Comissão Interamericana""), ""Comissão Interamericana de Direitos Humanos (CIDH)"""&amp;",
IF(REGEXMATCH(S268, ""Pastoral Carcerária""), ""Pastoral Carcerária"",
IF(REGEXMATCH(S268, ""Esquerda Web""), ""Esquerda Web"",
IF(REGEXMATCH(S268, ""ONU|Organização das Nações Unidas""), ""ONU Brasil"",
IF(REGEXMATCH(S268, ""Quilombo Invisível""), ""Qu"&amp;"ilombo Invisível"",
IF(REGEXMATCH(S268, ""ALESP|Assembleia Legislativa""), ""ALESP"",
IF(REGEXMATCH(S268, ""Revista Opera""), ""Revista Opera"",
IF(REGEXMATCH(S268, ""SP Escola de Teatro""), ""SP Escola de Teatro"",
IF(REGEXMATCH(S268, ""EMC|Espaço Memóri"&amp;"a Carandiru""), ""EMC Espaço Memória Carandiru"",
IF(REGEXMATCH(S268, ""^RAMOS, Nuno|Nuno Ramos""), ""Nuno Ramos"",
IF(REGEXMATCH(S268, ""^VELOSO, Caetano|Caetano Veloso""), ""YouTube (Caetano Veloso)"",
IF(REGEXMATCH(S268, ""^FATOS REAIS""), ""YouTube ("&amp;"Fatos Reais - Topic)"",
IF(REGEXMATCH(S268, ""^SALA SECRETA""), ""Wordpress (Sala Secreta)"",
PROPER(REGEXEXTRACT(S268, ""^([^.]*)\.""))
))))))))))))))))))))))))))))))))))))))))))))))))))))))))"),"#N/A")</f>
        <v>#N/A</v>
      </c>
      <c r="N268" s="11"/>
      <c r="O268" s="14"/>
      <c r="P268" s="197"/>
      <c r="Q268" s="197"/>
      <c r="R268" s="194" t="str">
        <f t="shared" si="8"/>
        <v>#VALUE!</v>
      </c>
      <c r="S268" s="172"/>
    </row>
    <row r="269">
      <c r="A269" s="11">
        <v>267.0</v>
      </c>
      <c r="B269" s="11"/>
      <c r="C269" s="12" t="str">
        <f>IFERROR(__xludf.DUMMYFUNCTION("IF(B269="""","""",IF(OR(
  REGEXMATCH(B269,""Performance|Instalação|Álbum|Música|Poema|Livro|Filme|Documentário|Recitação|Espetáculo|Peça|Intervenção|Desfile|Fotografia|Exposição|Charge|Grafite|Leitura pública|Fabricação de cachaça artesanal""),
  REGEXMA"&amp;"TCH(B269,""dança|teatral|artístico|musical|artística"")
),""Manifestação artístico-cultural"",
IF(OR(
  REGEXMATCH(B269,""Crônica|Série|Reportagem|Podcast|Audiotour|Entrevista|Vídeo|Rádio""),
  REGEXMATCH(B269,""midiática"")
),""Produção midiática"","""")"&amp;"))
"),"")</f>
        <v/>
      </c>
      <c r="D269" s="13" t="str">
        <f>IFERROR(__xludf.DUMMYFUNCTION("IF(B269="""","""",IF(OR(
  REGEXMATCH(B269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REGEXMATCH(B269,""público|Imediato|artística|teatral|memória"")
),""Público Imediato"",
IF(REGEXMATCH(B269,""Música|Álbum|Filme|Documentário|Série|Podc"&amp;"ast|Rádio|Audiotour|Entrevista|Reportagem|Crônica|Relatório|Abaixo-assinado|Manifesto|Petição|Poema|Livro|Fotografia|Curta|Live|Webinário|Charge|Leitura pública|Vídeo""),
""Público Mediado"","""")))
"),"")</f>
        <v/>
      </c>
      <c r="E269" s="13" t="str">
        <f>IFERROR(__xludf.DUMMYFUNCTION("IF(B269="""","""",IF(OR(
  REGEXMATCH(B269,""Live|Webinário|Virtual""),
  REGEXMATCH(B269,""online"")
),""Virtual"",
IF(REGEXMATCH(B269,""Música|Álbum|Filme|Documentário|Série|Podcast|Rádio|Audiotour|Episódio|Reportagem|Curta|Charge|Livro|Vídeo|Entrevista"&amp;"""),
""Midiático"",
IF(REGEXMATCH(B269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9" s="11"/>
      <c r="G269" s="15">
        <f t="shared" si="1"/>
        <v>0</v>
      </c>
      <c r="H269" s="11"/>
      <c r="I269" s="210"/>
      <c r="J269" s="169" t="str">
        <f>IFERROR(__xludf.DUMMYFUNCTION("REGEXEXTRACT(S269, ""\.\s(.*?)\s*YouTube"")"),"#N/A")</f>
        <v>#N/A</v>
      </c>
      <c r="K269" s="16"/>
      <c r="L269" s="18"/>
      <c r="M269" s="15" t="str">
        <f>IFERROR(__xludf.DUMMYFUNCTION("IF(REGEXMATCH(S269, ""Companhia das Letras""), ""Companhia das Letras"",
IF(REGEXMATCH(S269, ""Labortexto Editorial""), ""Labortexto Editorial"",
IF(REGEXMATCH(S269, ""Geração Editorial""), ""Geração Editorial"",
IF(REGEXMATCH(S269, ""Editora Imprensa Ofi"&amp;"cial|Imprensa Oficial""), ""Editora Imprensa Oficial"",
IF(REGEXMATCH(S269, ""Folha Online""), ""Folha Online"",
IF(REGEXMATCH(S269, ""FGV DIREITO SP|FGV Direito SP""), ""FGV DIREITO SP"",
IF(REGEXMATCH(S269, ""massacrecarandiru\.org\.br""), ""Memória Mas"&amp;"sacre Carandiru"",
IF(REGEXMATCH(S269, ""Itaú Cultural""), ""YouTube (Itaú Cultural)"",
IF(REGEXMATCH(S269, ""Passa Palavra""), ""Vimeo (Passa Palavra)"",
IF(REGEXMATCH(S269, ""rede2deoutubro\.blogspot""), ""Blogspot (Rede 02 de Outubro)"",
IF(REGEXMATCH("&amp;"S269, ""Rede TVT""), ""YouTube (Rede TVT)"",
IF(REGEXMATCH(S269, ""Esquerda Diário""), ""Esquerda Diário"",
IF(REGEXMATCH(S269, ""GZH""), ""GZH"",
IF(REGEXMATCH(S269, ""TVPUC""), ""TVPUC"",
IF(REGEXMATCH(S269, ""Mídia Ninja.*Facebook""), ""Facebook (Mídia"&amp;" Ninja)"",
IF(REGEXMATCH(S269, ""Memórias Carandiru.*Instagram""), ""Instagram (Memórias Carandiru)"",
IF(REGEXMATCH(S269, ""Frente pelo Desencarceramento SP""), ""YouTube (Frente Pelo Desencarceramento SP)"",
IF(REGEXMATCH(S269, ""TV ABA""), ""YouTube (T"&amp;"V ABA)"",
IF(REGEXMATCH(S269, ""TV SENADO""), ""YouTube (TV Senado)"",
IF(REGEXMATCH(S269, ""Google Arts &amp; Culture""), ""Google Arts &amp; Culture (Memória Massacre Carandiru)"",
IF(REGEXMATCH(S269, ""Anistia Internacional|ANISTIA INTERNACIONAL""), ""Anistia "&amp;"Internacional"",
IF(REGEXMATCH(S269, ""47\.mostra|47a Mostra""), ""47a Mostra Internacional de Cinema em São Paulo"",
IF(REGEXMATCH(S269, ""Canal USP""), ""YouTube (Canal USP)"",
IF(AND(
  REGEXMATCH(S269, ""(?i)(teses?\.usp\.br|dissertacoes?\.usp\.br|rep"&amp;"ositorio\.usp\.br)""),
  NOT(REGEXMATCH(S269, ""Canal USP""))
), ""Biblioteca Digital de Teses e Dissertações da USP"",
IF(REGEXMATCH(S269, ""SINTRAJUSC""), ""SINTRAJUSC"",
IF(REGEXMATCH(S269, ""Agência Brasil|Agencia Brasil""), ""Agência Brasil"",
IF(REG"&amp;"EXMATCH(S269, ""Brasil de Fato""), ""Brasil de Fato"",
IF(REGEXMATCH(S269, ""Ponte Jornalismo|pontejornalismo""), ""Ponte Jornalismo"",
IF(REGEXMATCH(S269, ""letras\.mus\.br|Letras,""), ""Letras"",
IF(REGEXMATCH(S269, ""YouTube|youtube""), 
   ""YouTube "&amp;"(""&amp;
   IF(REGEXMATCH(S269, ""Itaú Cultural""), ""Itaú Cultural"",
   IF(REGEXMATCH(S269, ""Rede TVT""), ""Rede TVT"",
   IF(REGEXMATCH(S269, ""Frente pelo Desencarceramento SP""), ""Frente Pelo Desencarceramento SP"",
   IF(REGEXMATCH(S269, ""TV ABA""), "&amp;"""TV ABA"",
   IF(REGEXMATCH(S269, ""TV SENADO""), ""TV Senado"",
   IF(REGEXMATCH(S269, ""Canal USP""), ""Canal USP"",
   IF(REGEXMATCH(S269, ""Douer, Zack|Zack Douer""), ""Douer Zack"",
   IF(REGEXMATCH(S269, ""PRISIONEIRO 84\.901|PRISIONEIRO 84""), ""P"&amp;"risioneiro 84.901"",
   IF(REGEXMATCH(S269, ""^[^,]*, ""), 
        PROPER(REGEXREPLACE(REGEXEXTRACT(S269, ""^([^.]*)\.""), ""^([^,]*), (.*)"", ""$2 $1"")),
        PROPER(REGEXEXTRACT(S269, ""^([^.]*)\.""))
   )))))))))&amp;"")"",
IF(REGEXMATCH(S269, ""Spot"&amp;"ify|spotify""), 
   ""Spotify (""&amp;
   IF(REGEXMATCH(S269, ""ESTRANHO SORRISO""), ""Estranho Sorriso"",
   PROPER(REGEXEXTRACT(S269, ""^([^.]*)\.""))
   )&amp;"")"",
IF(REGEXMATCH(S269, ""Vimeo|vimeo""), 
   ""Vimeo (""&amp;
   IF(REGEXMATCH(S269, ""Passa Palavra"&amp;"""), ""Passa Palavra"",
   PROPER(REGEXEXTRACT(S269, ""^([^.]*)\.""))
   )&amp;"")"",
IF(REGEXMATCH(S269, ""Blogspot""), 
   ""Blogspot (""&amp;
   IF(REGEXMATCH(S269, ""rede2deoutubro""), ""Rede 02 de Outubro"",
   PROPER(REGEXEXTRACT(S269, ""^([^.]*)\.""))
   "&amp;")&amp;"")"",
IF(REGEXMATCH(S269, ""Facebook""), 
   ""Facebook (""&amp;
   IF(REGEXMATCH(S269, ""Mídia Ninja""), ""Mídia Ninja"",
   PROPER(REGEXEXTRACT(S269, ""^([^.]*)\.""))
   )&amp;"")"",
IF(REGEXMATCH(S269, ""Instagram""), 
   ""Instagram (""&amp;
   IF(REGEXMATCH"&amp;"(S269, ""Memórias Carandiru""), ""Memórias Carandiru"",
   PROPER(REGEXEXTRACT(S269, ""^([^.]*)\.""))
   )&amp;"")"",
IF(REGEXMATCH(S269, ""Folha de S\. Paulo|FOLHA DE S\. PAULO""), ""Folha de S. Paulo"",
IF(REGEXMATCH(S269, ""O Estado de S\. Paulo|ESTADAO"""&amp;"), ""O Estado de S. Paulo"",
IF(REGEXMATCH(S269, ""salasecreta""), ""Wordpress (Sala Secreta)"",
IF(REGEXMATCH(S269, ""Wikipedia|Wikipédia|WIKIPÉDIA""), ""Wikipedia"",
IF(REGEXMATCH(S269, ""VEJA|Veja""), ""Veja Abril"",
IF(REGEXMATCH(S254, ""Rede Globo|RE"&amp;"DE GLOBO""), ""Rede Globo"",
IF(REGEXMATCH(S254, ""G1|globo\.com""), ""G1"",
IF(REGEXMATCH(S269, ""Deutsche Welle|DW\.com""), ""Deutsche Welle"",
IF(REGEXMATCH(S269, ""CIDH|Comissão Interamericana""), ""Comissão Interamericana de Direitos Humanos (CIDH)"""&amp;",
IF(REGEXMATCH(S269, ""Pastoral Carcerária""), ""Pastoral Carcerária"",
IF(REGEXMATCH(S269, ""Esquerda Web""), ""Esquerda Web"",
IF(REGEXMATCH(S269, ""ONU|Organização das Nações Unidas""), ""ONU Brasil"",
IF(REGEXMATCH(S269, ""Quilombo Invisível""), ""Qu"&amp;"ilombo Invisível"",
IF(REGEXMATCH(S269, ""ALESP|Assembleia Legislativa""), ""ALESP"",
IF(REGEXMATCH(S269, ""Revista Opera""), ""Revista Opera"",
IF(REGEXMATCH(S269, ""SP Escola de Teatro""), ""SP Escola de Teatro"",
IF(REGEXMATCH(S269, ""EMC|Espaço Memóri"&amp;"a Carandiru""), ""EMC Espaço Memória Carandiru"",
IF(REGEXMATCH(S269, ""^RAMOS, Nuno|Nuno Ramos""), ""Nuno Ramos"",
IF(REGEXMATCH(S269, ""^VELOSO, Caetano|Caetano Veloso""), ""YouTube (Caetano Veloso)"",
IF(REGEXMATCH(S269, ""^FATOS REAIS""), ""YouTube ("&amp;"Fatos Reais - Topic)"",
IF(REGEXMATCH(S269, ""^SALA SECRETA""), ""Wordpress (Sala Secreta)"",
PROPER(REGEXEXTRACT(S269, ""^([^.]*)\.""))
))))))))))))))))))))))))))))))))))))))))))))))))))))))))"),"#N/A")</f>
        <v>#N/A</v>
      </c>
      <c r="N269" s="11"/>
      <c r="O269" s="14"/>
      <c r="P269" s="197"/>
      <c r="Q269" s="197"/>
      <c r="R269" s="194" t="str">
        <f t="shared" si="8"/>
        <v>#VALUE!</v>
      </c>
      <c r="S269" s="172"/>
    </row>
    <row r="270">
      <c r="A270" s="11">
        <v>268.0</v>
      </c>
      <c r="B270" s="11"/>
      <c r="C270" s="12" t="str">
        <f>IFERROR(__xludf.DUMMYFUNCTION("IF(B270="""","""",IF(OR(
  REGEXMATCH(B270,""Performance|Instalação|Álbum|Música|Poema|Livro|Filme|Documentário|Recitação|Espetáculo|Peça|Intervenção|Desfile|Fotografia|Exposição|Charge|Grafite|Leitura pública|Fabricação de cachaça artesanal""),
  REGEXMA"&amp;"TCH(B270,""dança|teatral|artístico|musical|artística"")
),""Manifestação artístico-cultural"",
IF(OR(
  REGEXMATCH(B270,""Crônica|Série|Reportagem|Podcast|Audiotour|Entrevista|Vídeo|Rádio""),
  REGEXMATCH(B270,""midiática"")
),""Produção midiática"","""")"&amp;"))
"),"")</f>
        <v/>
      </c>
      <c r="D270" s="13" t="str">
        <f>IFERROR(__xludf.DUMMYFUNCTION("IF(B270="""","""",IF(OR(
  REGEXMATCH(B270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REGEXMATCH(B270,""público|Imediato|artística|teatral|memória"")
),""Público Imediato"",
IF(REGEXMATCH(B270,""Música|Álbum|Filme|Documentário|Série|Podc"&amp;"ast|Rádio|Audiotour|Entrevista|Reportagem|Crônica|Relatório|Abaixo-assinado|Manifesto|Petição|Poema|Livro|Fotografia|Curta|Live|Webinário|Charge|Leitura pública|Vídeo""),
""Público Mediado"","""")))
"),"")</f>
        <v/>
      </c>
      <c r="E270" s="13" t="str">
        <f>IFERROR(__xludf.DUMMYFUNCTION("IF(B270="""","""",IF(OR(
  REGEXMATCH(B270,""Live|Webinário|Virtual""),
  REGEXMATCH(B270,""online"")
),""Virtual"",
IF(REGEXMATCH(B270,""Música|Álbum|Filme|Documentário|Série|Podcast|Rádio|Audiotour|Episódio|Reportagem|Curta|Charge|Livro|Vídeo|Entrevista"&amp;"""),
""Midiático"",
IF(REGEXMATCH(B270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0" s="11"/>
      <c r="G270" s="15">
        <f t="shared" si="1"/>
        <v>0</v>
      </c>
      <c r="H270" s="11"/>
      <c r="I270" s="210"/>
      <c r="J270" s="169" t="str">
        <f>IFERROR(__xludf.DUMMYFUNCTION("REGEXEXTRACT(S270, ""\.\s(.*?)\s*YouTube"")"),"#N/A")</f>
        <v>#N/A</v>
      </c>
      <c r="K270" s="16"/>
      <c r="L270" s="18"/>
      <c r="M270" s="15" t="str">
        <f>IFERROR(__xludf.DUMMYFUNCTION("IF(REGEXMATCH(S270, ""Companhia das Letras""), ""Companhia das Letras"",
IF(REGEXMATCH(S270, ""Labortexto Editorial""), ""Labortexto Editorial"",
IF(REGEXMATCH(S270, ""Geração Editorial""), ""Geração Editorial"",
IF(REGEXMATCH(S270, ""Editora Imprensa Ofi"&amp;"cial|Imprensa Oficial""), ""Editora Imprensa Oficial"",
IF(REGEXMATCH(S270, ""Folha Online""), ""Folha Online"",
IF(REGEXMATCH(S270, ""FGV DIREITO SP|FGV Direito SP""), ""FGV DIREITO SP"",
IF(REGEXMATCH(S270, ""massacrecarandiru\.org\.br""), ""Memória Mas"&amp;"sacre Carandiru"",
IF(REGEXMATCH(S270, ""Itaú Cultural""), ""YouTube (Itaú Cultural)"",
IF(REGEXMATCH(S270, ""Passa Palavra""), ""Vimeo (Passa Palavra)"",
IF(REGEXMATCH(S270, ""rede2deoutubro\.blogspot""), ""Blogspot (Rede 02 de Outubro)"",
IF(REGEXMATCH("&amp;"S270, ""Rede TVT""), ""YouTube (Rede TVT)"",
IF(REGEXMATCH(S270, ""Esquerda Diário""), ""Esquerda Diário"",
IF(REGEXMATCH(S270, ""GZH""), ""GZH"",
IF(REGEXMATCH(S270, ""TVPUC""), ""TVPUC"",
IF(REGEXMATCH(S270, ""Mídia Ninja.*Facebook""), ""Facebook (Mídia"&amp;" Ninja)"",
IF(REGEXMATCH(S270, ""Memórias Carandiru.*Instagram""), ""Instagram (Memórias Carandiru)"",
IF(REGEXMATCH(S270, ""Frente pelo Desencarceramento SP""), ""YouTube (Frente Pelo Desencarceramento SP)"",
IF(REGEXMATCH(S270, ""TV ABA""), ""YouTube (T"&amp;"V ABA)"",
IF(REGEXMATCH(S270, ""TV SENADO""), ""YouTube (TV Senado)"",
IF(REGEXMATCH(S270, ""Google Arts &amp; Culture""), ""Google Arts &amp; Culture (Memória Massacre Carandiru)"",
IF(REGEXMATCH(S270, ""Anistia Internacional|ANISTIA INTERNACIONAL""), ""Anistia "&amp;"Internacional"",
IF(REGEXMATCH(S270, ""47\.mostra|47a Mostra""), ""47a Mostra Internacional de Cinema em São Paulo"",
IF(REGEXMATCH(S270, ""Canal USP""), ""YouTube (Canal USP)"",
IF(AND(
  REGEXMATCH(S270, ""(?i)(teses?\.usp\.br|dissertacoes?\.usp\.br|rep"&amp;"ositorio\.usp\.br)""),
  NOT(REGEXMATCH(S270, ""Canal USP""))
), ""Biblioteca Digital de Teses e Dissertações da USP"",
IF(REGEXMATCH(S270, ""SINTRAJUSC""), ""SINTRAJUSC"",
IF(REGEXMATCH(S270, ""Agência Brasil|Agencia Brasil""), ""Agência Brasil"",
IF(REG"&amp;"EXMATCH(S270, ""Brasil de Fato""), ""Brasil de Fato"",
IF(REGEXMATCH(S270, ""Ponte Jornalismo|pontejornalismo""), ""Ponte Jornalismo"",
IF(REGEXMATCH(S270, ""letras\.mus\.br|Letras,""), ""Letras"",
IF(REGEXMATCH(S270, ""YouTube|youtube""), 
   ""YouTube "&amp;"(""&amp;
   IF(REGEXMATCH(S270, ""Itaú Cultural""), ""Itaú Cultural"",
   IF(REGEXMATCH(S270, ""Rede TVT""), ""Rede TVT"",
   IF(REGEXMATCH(S270, ""Frente pelo Desencarceramento SP""), ""Frente Pelo Desencarceramento SP"",
   IF(REGEXMATCH(S270, ""TV ABA""), "&amp;"""TV ABA"",
   IF(REGEXMATCH(S270, ""TV SENADO""), ""TV Senado"",
   IF(REGEXMATCH(S270, ""Canal USP""), ""Canal USP"",
   IF(REGEXMATCH(S270, ""Douer, Zack|Zack Douer""), ""Douer Zack"",
   IF(REGEXMATCH(S270, ""PRISIONEIRO 84\.901|PRISIONEIRO 84""), ""P"&amp;"risioneiro 84.901"",
   IF(REGEXMATCH(S270, ""^[^,]*, ""), 
        PROPER(REGEXREPLACE(REGEXEXTRACT(S270, ""^([^.]*)\.""), ""^([^,]*), (.*)"", ""$2 $1"")),
        PROPER(REGEXEXTRACT(S270, ""^([^.]*)\.""))
   )))))))))&amp;"")"",
IF(REGEXMATCH(S270, ""Spot"&amp;"ify|spotify""), 
   ""Spotify (""&amp;
   IF(REGEXMATCH(S270, ""ESTRANHO SORRISO""), ""Estranho Sorriso"",
   PROPER(REGEXEXTRACT(S270, ""^([^.]*)\.""))
   )&amp;"")"",
IF(REGEXMATCH(S270, ""Vimeo|vimeo""), 
   ""Vimeo (""&amp;
   IF(REGEXMATCH(S270, ""Passa Palavra"&amp;"""), ""Passa Palavra"",
   PROPER(REGEXEXTRACT(S270, ""^([^.]*)\.""))
   )&amp;"")"",
IF(REGEXMATCH(S270, ""Blogspot""), 
   ""Blogspot (""&amp;
   IF(REGEXMATCH(S270, ""rede2deoutubro""), ""Rede 02 de Outubro"",
   PROPER(REGEXEXTRACT(S270, ""^([^.]*)\.""))
   "&amp;")&amp;"")"",
IF(REGEXMATCH(S270, ""Facebook""), 
   ""Facebook (""&amp;
   IF(REGEXMATCH(S270, ""Mídia Ninja""), ""Mídia Ninja"",
   PROPER(REGEXEXTRACT(S270, ""^([^.]*)\.""))
   )&amp;"")"",
IF(REGEXMATCH(S270, ""Instagram""), 
   ""Instagram (""&amp;
   IF(REGEXMATCH"&amp;"(S270, ""Memórias Carandiru""), ""Memórias Carandiru"",
   PROPER(REGEXEXTRACT(S270, ""^([^.]*)\.""))
   )&amp;"")"",
IF(REGEXMATCH(S270, ""Folha de S\. Paulo|FOLHA DE S\. PAULO""), ""Folha de S. Paulo"",
IF(REGEXMATCH(S270, ""O Estado de S\. Paulo|ESTADAO"""&amp;"), ""O Estado de S. Paulo"",
IF(REGEXMATCH(S270, ""salasecreta""), ""Wordpress (Sala Secreta)"",
IF(REGEXMATCH(S270, ""Wikipedia|Wikipédia|WIKIPÉDIA""), ""Wikipedia"",
IF(REGEXMATCH(S270, ""VEJA|Veja""), ""Veja Abril"",
IF(REGEXMATCH(S255, ""Rede Globo|RE"&amp;"DE GLOBO""), ""Rede Globo"",
IF(REGEXMATCH(S255, ""G1|globo\.com""), ""G1"",
IF(REGEXMATCH(S270, ""Deutsche Welle|DW\.com""), ""Deutsche Welle"",
IF(REGEXMATCH(S270, ""CIDH|Comissão Interamericana""), ""Comissão Interamericana de Direitos Humanos (CIDH)"""&amp;",
IF(REGEXMATCH(S270, ""Pastoral Carcerária""), ""Pastoral Carcerária"",
IF(REGEXMATCH(S270, ""Esquerda Web""), ""Esquerda Web"",
IF(REGEXMATCH(S270, ""ONU|Organização das Nações Unidas""), ""ONU Brasil"",
IF(REGEXMATCH(S270, ""Quilombo Invisível""), ""Qu"&amp;"ilombo Invisível"",
IF(REGEXMATCH(S270, ""ALESP|Assembleia Legislativa""), ""ALESP"",
IF(REGEXMATCH(S270, ""Revista Opera""), ""Revista Opera"",
IF(REGEXMATCH(S270, ""SP Escola de Teatro""), ""SP Escola de Teatro"",
IF(REGEXMATCH(S270, ""EMC|Espaço Memóri"&amp;"a Carandiru""), ""EMC Espaço Memória Carandiru"",
IF(REGEXMATCH(S270, ""^RAMOS, Nuno|Nuno Ramos""), ""Nuno Ramos"",
IF(REGEXMATCH(S270, ""^VELOSO, Caetano|Caetano Veloso""), ""YouTube (Caetano Veloso)"",
IF(REGEXMATCH(S270, ""^FATOS REAIS""), ""YouTube ("&amp;"Fatos Reais - Topic)"",
IF(REGEXMATCH(S270, ""^SALA SECRETA""), ""Wordpress (Sala Secreta)"",
PROPER(REGEXEXTRACT(S270, ""^([^.]*)\.""))
))))))))))))))))))))))))))))))))))))))))))))))))))))))))"),"#N/A")</f>
        <v>#N/A</v>
      </c>
      <c r="N270" s="11"/>
      <c r="O270" s="14"/>
      <c r="P270" s="197"/>
      <c r="Q270" s="197"/>
      <c r="R270" s="194" t="str">
        <f t="shared" si="8"/>
        <v>#VALUE!</v>
      </c>
      <c r="S270" s="172"/>
    </row>
    <row r="271">
      <c r="A271" s="11">
        <v>269.0</v>
      </c>
      <c r="B271" s="11"/>
      <c r="C271" s="12" t="str">
        <f>IFERROR(__xludf.DUMMYFUNCTION("IF(B271="""","""",IF(OR(
  REGEXMATCH(B271,""Performance|Instalação|Álbum|Música|Poema|Livro|Filme|Documentário|Recitação|Espetáculo|Peça|Intervenção|Desfile|Fotografia|Exposição|Charge|Grafite|Leitura pública|Fabricação de cachaça artesanal""),
  REGEXMA"&amp;"TCH(B271,""dança|teatral|artístico|musical|artística"")
),""Manifestação artístico-cultural"",
IF(OR(
  REGEXMATCH(B271,""Crônica|Série|Reportagem|Podcast|Audiotour|Entrevista|Vídeo|Rádio""),
  REGEXMATCH(B271,""midiática"")
),""Produção midiática"","""")"&amp;"))
"),"")</f>
        <v/>
      </c>
      <c r="D271" s="13" t="str">
        <f>IFERROR(__xludf.DUMMYFUNCTION("IF(B271="""","""",IF(OR(
  REGEXMATCH(B271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REGEXMATCH(B271,""público|Imediato|artística|teatral|memória"")
),""Público Imediato"",
IF(REGEXMATCH(B271,""Música|Álbum|Filme|Documentário|Série|Podc"&amp;"ast|Rádio|Audiotour|Entrevista|Reportagem|Crônica|Relatório|Abaixo-assinado|Manifesto|Petição|Poema|Livro|Fotografia|Curta|Live|Webinário|Charge|Leitura pública|Vídeo""),
""Público Mediado"","""")))
"),"")</f>
        <v/>
      </c>
      <c r="E271" s="13" t="str">
        <f>IFERROR(__xludf.DUMMYFUNCTION("IF(B271="""","""",IF(OR(
  REGEXMATCH(B271,""Live|Webinário|Virtual""),
  REGEXMATCH(B271,""online"")
),""Virtual"",
IF(REGEXMATCH(B271,""Música|Álbum|Filme|Documentário|Série|Podcast|Rádio|Audiotour|Episódio|Reportagem|Curta|Charge|Livro|Vídeo|Entrevista"&amp;"""),
""Midiático"",
IF(REGEXMATCH(B271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1" s="11"/>
      <c r="G271" s="15">
        <f t="shared" si="1"/>
        <v>0</v>
      </c>
      <c r="H271" s="11"/>
      <c r="I271" s="210"/>
      <c r="J271" s="169" t="str">
        <f>IFERROR(__xludf.DUMMYFUNCTION("REGEXEXTRACT(S271, ""\.\s(.*?)\s*YouTube"")"),"#N/A")</f>
        <v>#N/A</v>
      </c>
      <c r="K271" s="16"/>
      <c r="L271" s="18"/>
      <c r="M271" s="15" t="str">
        <f>IFERROR(__xludf.DUMMYFUNCTION("IF(REGEXMATCH(S271, ""Companhia das Letras""), ""Companhia das Letras"",
IF(REGEXMATCH(S271, ""Labortexto Editorial""), ""Labortexto Editorial"",
IF(REGEXMATCH(S271, ""Geração Editorial""), ""Geração Editorial"",
IF(REGEXMATCH(S271, ""Editora Imprensa Ofi"&amp;"cial|Imprensa Oficial""), ""Editora Imprensa Oficial"",
IF(REGEXMATCH(S271, ""Folha Online""), ""Folha Online"",
IF(REGEXMATCH(S271, ""FGV DIREITO SP|FGV Direito SP""), ""FGV DIREITO SP"",
IF(REGEXMATCH(S271, ""massacrecarandiru\.org\.br""), ""Memória Mas"&amp;"sacre Carandiru"",
IF(REGEXMATCH(S271, ""Itaú Cultural""), ""YouTube (Itaú Cultural)"",
IF(REGEXMATCH(S271, ""Passa Palavra""), ""Vimeo (Passa Palavra)"",
IF(REGEXMATCH(S271, ""rede2deoutubro\.blogspot""), ""Blogspot (Rede 02 de Outubro)"",
IF(REGEXMATCH("&amp;"S271, ""Rede TVT""), ""YouTube (Rede TVT)"",
IF(REGEXMATCH(S271, ""Esquerda Diário""), ""Esquerda Diário"",
IF(REGEXMATCH(S271, ""GZH""), ""GZH"",
IF(REGEXMATCH(S271, ""TVPUC""), ""TVPUC"",
IF(REGEXMATCH(S271, ""Mídia Ninja.*Facebook""), ""Facebook (Mídia"&amp;" Ninja)"",
IF(REGEXMATCH(S271, ""Memórias Carandiru.*Instagram""), ""Instagram (Memórias Carandiru)"",
IF(REGEXMATCH(S271, ""Frente pelo Desencarceramento SP""), ""YouTube (Frente Pelo Desencarceramento SP)"",
IF(REGEXMATCH(S271, ""TV ABA""), ""YouTube (T"&amp;"V ABA)"",
IF(REGEXMATCH(S271, ""TV SENADO""), ""YouTube (TV Senado)"",
IF(REGEXMATCH(S271, ""Google Arts &amp; Culture""), ""Google Arts &amp; Culture (Memória Massacre Carandiru)"",
IF(REGEXMATCH(S271, ""Anistia Internacional|ANISTIA INTERNACIONAL""), ""Anistia "&amp;"Internacional"",
IF(REGEXMATCH(S271, ""47\.mostra|47a Mostra""), ""47a Mostra Internacional de Cinema em São Paulo"",
IF(REGEXMATCH(S271, ""Canal USP""), ""YouTube (Canal USP)"",
IF(AND(
  REGEXMATCH(S271, ""(?i)(teses?\.usp\.br|dissertacoes?\.usp\.br|rep"&amp;"ositorio\.usp\.br)""),
  NOT(REGEXMATCH(S271, ""Canal USP""))
), ""Biblioteca Digital de Teses e Dissertações da USP"",
IF(REGEXMATCH(S271, ""SINTRAJUSC""), ""SINTRAJUSC"",
IF(REGEXMATCH(S271, ""Agência Brasil|Agencia Brasil""), ""Agência Brasil"",
IF(REG"&amp;"EXMATCH(S271, ""Brasil de Fato""), ""Brasil de Fato"",
IF(REGEXMATCH(S271, ""Ponte Jornalismo|pontejornalismo""), ""Ponte Jornalismo"",
IF(REGEXMATCH(S271, ""letras\.mus\.br|Letras,""), ""Letras"",
IF(REGEXMATCH(S271, ""YouTube|youtube""), 
   ""YouTube "&amp;"(""&amp;
   IF(REGEXMATCH(S271, ""Itaú Cultural""), ""Itaú Cultural"",
   IF(REGEXMATCH(S271, ""Rede TVT""), ""Rede TVT"",
   IF(REGEXMATCH(S271, ""Frente pelo Desencarceramento SP""), ""Frente Pelo Desencarceramento SP"",
   IF(REGEXMATCH(S271, ""TV ABA""), "&amp;"""TV ABA"",
   IF(REGEXMATCH(S271, ""TV SENADO""), ""TV Senado"",
   IF(REGEXMATCH(S271, ""Canal USP""), ""Canal USP"",
   IF(REGEXMATCH(S271, ""Douer, Zack|Zack Douer""), ""Douer Zack"",
   IF(REGEXMATCH(S271, ""PRISIONEIRO 84\.901|PRISIONEIRO 84""), ""P"&amp;"risioneiro 84.901"",
   IF(REGEXMATCH(S271, ""^[^,]*, ""), 
        PROPER(REGEXREPLACE(REGEXEXTRACT(S271, ""^([^.]*)\.""), ""^([^,]*), (.*)"", ""$2 $1"")),
        PROPER(REGEXEXTRACT(S271, ""^([^.]*)\.""))
   )))))))))&amp;"")"",
IF(REGEXMATCH(S271, ""Spot"&amp;"ify|spotify""), 
   ""Spotify (""&amp;
   IF(REGEXMATCH(S271, ""ESTRANHO SORRISO""), ""Estranho Sorriso"",
   PROPER(REGEXEXTRACT(S271, ""^([^.]*)\.""))
   )&amp;"")"",
IF(REGEXMATCH(S271, ""Vimeo|vimeo""), 
   ""Vimeo (""&amp;
   IF(REGEXMATCH(S271, ""Passa Palavra"&amp;"""), ""Passa Palavra"",
   PROPER(REGEXEXTRACT(S271, ""^([^.]*)\.""))
   )&amp;"")"",
IF(REGEXMATCH(S271, ""Blogspot""), 
   ""Blogspot (""&amp;
   IF(REGEXMATCH(S271, ""rede2deoutubro""), ""Rede 02 de Outubro"",
   PROPER(REGEXEXTRACT(S271, ""^([^.]*)\.""))
   "&amp;")&amp;"")"",
IF(REGEXMATCH(S271, ""Facebook""), 
   ""Facebook (""&amp;
   IF(REGEXMATCH(S271, ""Mídia Ninja""), ""Mídia Ninja"",
   PROPER(REGEXEXTRACT(S271, ""^([^.]*)\.""))
   )&amp;"")"",
IF(REGEXMATCH(S271, ""Instagram""), 
   ""Instagram (""&amp;
   IF(REGEXMATCH"&amp;"(S271, ""Memórias Carandiru""), ""Memórias Carandiru"",
   PROPER(REGEXEXTRACT(S271, ""^([^.]*)\.""))
   )&amp;"")"",
IF(REGEXMATCH(S271, ""Folha de S\. Paulo|FOLHA DE S\. PAULO""), ""Folha de S. Paulo"",
IF(REGEXMATCH(S271, ""O Estado de S\. Paulo|ESTADAO"""&amp;"), ""O Estado de S. Paulo"",
IF(REGEXMATCH(S271, ""salasecreta""), ""Wordpress (Sala Secreta)"",
IF(REGEXMATCH(S271, ""Wikipedia|Wikipédia|WIKIPÉDIA""), ""Wikipedia"",
IF(REGEXMATCH(S271, ""VEJA|Veja""), ""Veja Abril"",
IF(REGEXMATCH(S256, ""Rede Globo|RE"&amp;"DE GLOBO""), ""Rede Globo"",
IF(REGEXMATCH(S256, ""G1|globo\.com""), ""G1"",
IF(REGEXMATCH(S271, ""Deutsche Welle|DW\.com""), ""Deutsche Welle"",
IF(REGEXMATCH(S271, ""CIDH|Comissão Interamericana""), ""Comissão Interamericana de Direitos Humanos (CIDH)"""&amp;",
IF(REGEXMATCH(S271, ""Pastoral Carcerária""), ""Pastoral Carcerária"",
IF(REGEXMATCH(S271, ""Esquerda Web""), ""Esquerda Web"",
IF(REGEXMATCH(S271, ""ONU|Organização das Nações Unidas""), ""ONU Brasil"",
IF(REGEXMATCH(S271, ""Quilombo Invisível""), ""Qu"&amp;"ilombo Invisível"",
IF(REGEXMATCH(S271, ""ALESP|Assembleia Legislativa""), ""ALESP"",
IF(REGEXMATCH(S271, ""Revista Opera""), ""Revista Opera"",
IF(REGEXMATCH(S271, ""SP Escola de Teatro""), ""SP Escola de Teatro"",
IF(REGEXMATCH(S271, ""EMC|Espaço Memóri"&amp;"a Carandiru""), ""EMC Espaço Memória Carandiru"",
IF(REGEXMATCH(S271, ""^RAMOS, Nuno|Nuno Ramos""), ""Nuno Ramos"",
IF(REGEXMATCH(S271, ""^VELOSO, Caetano|Caetano Veloso""), ""YouTube (Caetano Veloso)"",
IF(REGEXMATCH(S271, ""^FATOS REAIS""), ""YouTube ("&amp;"Fatos Reais - Topic)"",
IF(REGEXMATCH(S271, ""^SALA SECRETA""), ""Wordpress (Sala Secreta)"",
PROPER(REGEXEXTRACT(S271, ""^([^.]*)\.""))
))))))))))))))))))))))))))))))))))))))))))))))))))))))))"),"#N/A")</f>
        <v>#N/A</v>
      </c>
      <c r="N271" s="11"/>
      <c r="O271" s="14"/>
      <c r="P271" s="197"/>
      <c r="Q271" s="197"/>
      <c r="R271" s="194" t="str">
        <f t="shared" si="8"/>
        <v>#VALUE!</v>
      </c>
      <c r="S271" s="172"/>
    </row>
    <row r="272">
      <c r="A272" s="11">
        <v>270.0</v>
      </c>
      <c r="B272" s="11"/>
      <c r="C272" s="12" t="str">
        <f>IFERROR(__xludf.DUMMYFUNCTION("IF(B272="""","""",IF(OR(
  REGEXMATCH(B272,""Performance|Instalação|Álbum|Música|Poema|Livro|Filme|Documentário|Recitação|Espetáculo|Peça|Intervenção|Desfile|Fotografia|Exposição|Charge|Grafite|Leitura pública|Fabricação de cachaça artesanal""),
  REGEXMA"&amp;"TCH(B272,""dança|teatral|artístico|musical|artística"")
),""Manifestação artístico-cultural"",
IF(OR(
  REGEXMATCH(B272,""Crônica|Série|Reportagem|Podcast|Audiotour|Entrevista|Vídeo|Rádio""),
  REGEXMATCH(B272,""midiática"")
),""Produção midiática"","""")"&amp;"))
"),"")</f>
        <v/>
      </c>
      <c r="D272" s="13" t="str">
        <f>IFERROR(__xludf.DUMMYFUNCTION("IF(B272="""","""",IF(OR(
  REGEXMATCH(B272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REGEXMATCH(B272,""público|Imediato|artística|teatral|memória"")
),""Público Imediato"",
IF(REGEXMATCH(B272,""Música|Álbum|Filme|Documentário|Série|Podc"&amp;"ast|Rádio|Audiotour|Entrevista|Reportagem|Crônica|Relatório|Abaixo-assinado|Manifesto|Petição|Poema|Livro|Fotografia|Curta|Live|Webinário|Charge|Leitura pública|Vídeo""),
""Público Mediado"","""")))
"),"")</f>
        <v/>
      </c>
      <c r="E272" s="13" t="str">
        <f>IFERROR(__xludf.DUMMYFUNCTION("IF(B272="""","""",IF(OR(
  REGEXMATCH(B272,""Live|Webinário|Virtual""),
  REGEXMATCH(B272,""online"")
),""Virtual"",
IF(REGEXMATCH(B272,""Música|Álbum|Filme|Documentário|Série|Podcast|Rádio|Audiotour|Episódio|Reportagem|Curta|Charge|Livro|Vídeo|Entrevista"&amp;"""),
""Midiático"",
IF(REGEXMATCH(B272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2" s="11"/>
      <c r="G272" s="15">
        <f t="shared" si="1"/>
        <v>0</v>
      </c>
      <c r="H272" s="11"/>
      <c r="I272" s="210"/>
      <c r="J272" s="169" t="str">
        <f>IFERROR(__xludf.DUMMYFUNCTION("REGEXEXTRACT(S272, ""\.\s(.*?)\s*YouTube"")"),"#N/A")</f>
        <v>#N/A</v>
      </c>
      <c r="K272" s="16"/>
      <c r="L272" s="18"/>
      <c r="M272" s="15" t="str">
        <f>IFERROR(__xludf.DUMMYFUNCTION("IF(REGEXMATCH(S272, ""Companhia das Letras""), ""Companhia das Letras"",
IF(REGEXMATCH(S272, ""Labortexto Editorial""), ""Labortexto Editorial"",
IF(REGEXMATCH(S272, ""Geração Editorial""), ""Geração Editorial"",
IF(REGEXMATCH(S272, ""Editora Imprensa Ofi"&amp;"cial|Imprensa Oficial""), ""Editora Imprensa Oficial"",
IF(REGEXMATCH(S272, ""Folha Online""), ""Folha Online"",
IF(REGEXMATCH(S272, ""FGV DIREITO SP|FGV Direito SP""), ""FGV DIREITO SP"",
IF(REGEXMATCH(S272, ""massacrecarandiru\.org\.br""), ""Memória Mas"&amp;"sacre Carandiru"",
IF(REGEXMATCH(S272, ""Itaú Cultural""), ""YouTube (Itaú Cultural)"",
IF(REGEXMATCH(S272, ""Passa Palavra""), ""Vimeo (Passa Palavra)"",
IF(REGEXMATCH(S272, ""rede2deoutubro\.blogspot""), ""Blogspot (Rede 02 de Outubro)"",
IF(REGEXMATCH("&amp;"S272, ""Rede TVT""), ""YouTube (Rede TVT)"",
IF(REGEXMATCH(S272, ""Esquerda Diário""), ""Esquerda Diário"",
IF(REGEXMATCH(S272, ""GZH""), ""GZH"",
IF(REGEXMATCH(S272, ""TVPUC""), ""TVPUC"",
IF(REGEXMATCH(S272, ""Mídia Ninja.*Facebook""), ""Facebook (Mídia"&amp;" Ninja)"",
IF(REGEXMATCH(S272, ""Memórias Carandiru.*Instagram""), ""Instagram (Memórias Carandiru)"",
IF(REGEXMATCH(S272, ""Frente pelo Desencarceramento SP""), ""YouTube (Frente Pelo Desencarceramento SP)"",
IF(REGEXMATCH(S272, ""TV ABA""), ""YouTube (T"&amp;"V ABA)"",
IF(REGEXMATCH(S272, ""TV SENADO""), ""YouTube (TV Senado)"",
IF(REGEXMATCH(S272, ""Google Arts &amp; Culture""), ""Google Arts &amp; Culture (Memória Massacre Carandiru)"",
IF(REGEXMATCH(S272, ""Anistia Internacional|ANISTIA INTERNACIONAL""), ""Anistia "&amp;"Internacional"",
IF(REGEXMATCH(S272, ""47\.mostra|47a Mostra""), ""47a Mostra Internacional de Cinema em São Paulo"",
IF(REGEXMATCH(S272, ""Canal USP""), ""YouTube (Canal USP)"",
IF(AND(
  REGEXMATCH(S272, ""(?i)(teses?\.usp\.br|dissertacoes?\.usp\.br|rep"&amp;"ositorio\.usp\.br)""),
  NOT(REGEXMATCH(S272, ""Canal USP""))
), ""Biblioteca Digital de Teses e Dissertações da USP"",
IF(REGEXMATCH(S272, ""SINTRAJUSC""), ""SINTRAJUSC"",
IF(REGEXMATCH(S272, ""Agência Brasil|Agencia Brasil""), ""Agência Brasil"",
IF(REG"&amp;"EXMATCH(S272, ""Brasil de Fato""), ""Brasil de Fato"",
IF(REGEXMATCH(S272, ""Ponte Jornalismo|pontejornalismo""), ""Ponte Jornalismo"",
IF(REGEXMATCH(S272, ""letras\.mus\.br|Letras,""), ""Letras"",
IF(REGEXMATCH(S272, ""YouTube|youtube""), 
   ""YouTube "&amp;"(""&amp;
   IF(REGEXMATCH(S272, ""Itaú Cultural""), ""Itaú Cultural"",
   IF(REGEXMATCH(S272, ""Rede TVT""), ""Rede TVT"",
   IF(REGEXMATCH(S272, ""Frente pelo Desencarceramento SP""), ""Frente Pelo Desencarceramento SP"",
   IF(REGEXMATCH(S272, ""TV ABA""), "&amp;"""TV ABA"",
   IF(REGEXMATCH(S272, ""TV SENADO""), ""TV Senado"",
   IF(REGEXMATCH(S272, ""Canal USP""), ""Canal USP"",
   IF(REGEXMATCH(S272, ""Douer, Zack|Zack Douer""), ""Douer Zack"",
   IF(REGEXMATCH(S272, ""PRISIONEIRO 84\.901|PRISIONEIRO 84""), ""P"&amp;"risioneiro 84.901"",
   IF(REGEXMATCH(S272, ""^[^,]*, ""), 
        PROPER(REGEXREPLACE(REGEXEXTRACT(S272, ""^([^.]*)\.""), ""^([^,]*), (.*)"", ""$2 $1"")),
        PROPER(REGEXEXTRACT(S272, ""^([^.]*)\.""))
   )))))))))&amp;"")"",
IF(REGEXMATCH(S272, ""Spot"&amp;"ify|spotify""), 
   ""Spotify (""&amp;
   IF(REGEXMATCH(S272, ""ESTRANHO SORRISO""), ""Estranho Sorriso"",
   PROPER(REGEXEXTRACT(S272, ""^([^.]*)\.""))
   )&amp;"")"",
IF(REGEXMATCH(S272, ""Vimeo|vimeo""), 
   ""Vimeo (""&amp;
   IF(REGEXMATCH(S272, ""Passa Palavra"&amp;"""), ""Passa Palavra"",
   PROPER(REGEXEXTRACT(S272, ""^([^.]*)\.""))
   )&amp;"")"",
IF(REGEXMATCH(S272, ""Blogspot""), 
   ""Blogspot (""&amp;
   IF(REGEXMATCH(S272, ""rede2deoutubro""), ""Rede 02 de Outubro"",
   PROPER(REGEXEXTRACT(S272, ""^([^.]*)\.""))
   "&amp;")&amp;"")"",
IF(REGEXMATCH(S272, ""Facebook""), 
   ""Facebook (""&amp;
   IF(REGEXMATCH(S272, ""Mídia Ninja""), ""Mídia Ninja"",
   PROPER(REGEXEXTRACT(S272, ""^([^.]*)\.""))
   )&amp;"")"",
IF(REGEXMATCH(S272, ""Instagram""), 
   ""Instagram (""&amp;
   IF(REGEXMATCH"&amp;"(S272, ""Memórias Carandiru""), ""Memórias Carandiru"",
   PROPER(REGEXEXTRACT(S272, ""^([^.]*)\.""))
   )&amp;"")"",
IF(REGEXMATCH(S272, ""Folha de S\. Paulo|FOLHA DE S\. PAULO""), ""Folha de S. Paulo"",
IF(REGEXMATCH(S272, ""O Estado de S\. Paulo|ESTADAO"""&amp;"), ""O Estado de S. Paulo"",
IF(REGEXMATCH(S272, ""salasecreta""), ""Wordpress (Sala Secreta)"",
IF(REGEXMATCH(S272, ""Wikipedia|Wikipédia|WIKIPÉDIA""), ""Wikipedia"",
IF(REGEXMATCH(S272, ""VEJA|Veja""), ""Veja Abril"",
IF(REGEXMATCH(S257, ""Rede Globo|RE"&amp;"DE GLOBO""), ""Rede Globo"",
IF(REGEXMATCH(S257, ""G1|globo\.com""), ""G1"",
IF(REGEXMATCH(S272, ""Deutsche Welle|DW\.com""), ""Deutsche Welle"",
IF(REGEXMATCH(S272, ""CIDH|Comissão Interamericana""), ""Comissão Interamericana de Direitos Humanos (CIDH)"""&amp;",
IF(REGEXMATCH(S272, ""Pastoral Carcerária""), ""Pastoral Carcerária"",
IF(REGEXMATCH(S272, ""Esquerda Web""), ""Esquerda Web"",
IF(REGEXMATCH(S272, ""ONU|Organização das Nações Unidas""), ""ONU Brasil"",
IF(REGEXMATCH(S272, ""Quilombo Invisível""), ""Qu"&amp;"ilombo Invisível"",
IF(REGEXMATCH(S272, ""ALESP|Assembleia Legislativa""), ""ALESP"",
IF(REGEXMATCH(S272, ""Revista Opera""), ""Revista Opera"",
IF(REGEXMATCH(S272, ""SP Escola de Teatro""), ""SP Escola de Teatro"",
IF(REGEXMATCH(S272, ""EMC|Espaço Memóri"&amp;"a Carandiru""), ""EMC Espaço Memória Carandiru"",
IF(REGEXMATCH(S272, ""^RAMOS, Nuno|Nuno Ramos""), ""Nuno Ramos"",
IF(REGEXMATCH(S272, ""^VELOSO, Caetano|Caetano Veloso""), ""YouTube (Caetano Veloso)"",
IF(REGEXMATCH(S272, ""^FATOS REAIS""), ""YouTube ("&amp;"Fatos Reais - Topic)"",
IF(REGEXMATCH(S272, ""^SALA SECRETA""), ""Wordpress (Sala Secreta)"",
PROPER(REGEXEXTRACT(S272, ""^([^.]*)\.""))
))))))))))))))))))))))))))))))))))))))))))))))))))))))))"),"#N/A")</f>
        <v>#N/A</v>
      </c>
      <c r="N272" s="11"/>
      <c r="O272" s="14"/>
      <c r="P272" s="197"/>
      <c r="Q272" s="197"/>
      <c r="R272" s="194" t="str">
        <f t="shared" si="8"/>
        <v>#VALUE!</v>
      </c>
      <c r="S272" s="172"/>
    </row>
    <row r="273">
      <c r="A273" s="11">
        <v>271.0</v>
      </c>
      <c r="B273" s="11"/>
      <c r="C273" s="12" t="str">
        <f>IFERROR(__xludf.DUMMYFUNCTION("IF(B273="""","""",IF(OR(
  REGEXMATCH(B273,""Performance|Instalação|Álbum|Música|Poema|Livro|Filme|Documentário|Recitação|Espetáculo|Peça|Intervenção|Desfile|Fotografia|Exposição|Charge|Grafite|Leitura pública|Fabricação de cachaça artesanal""),
  REGEXMA"&amp;"TCH(B273,""dança|teatral|artístico|musical|artística"")
),""Manifestação artístico-cultural"",
IF(OR(
  REGEXMATCH(B273,""Crônica|Série|Reportagem|Podcast|Audiotour|Entrevista|Vídeo|Rádio""),
  REGEXMATCH(B273,""midiática"")
),""Produção midiática"","""")"&amp;"))
"),"")</f>
        <v/>
      </c>
      <c r="D273" s="13" t="str">
        <f>IFERROR(__xludf.DUMMYFUNCTION("IF(B273="""","""",IF(OR(
  REGEXMATCH(B273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REGEXMATCH(B273,""público|Imediato|artística|teatral|memória"")
),""Público Imediato"",
IF(REGEXMATCH(B273,""Música|Álbum|Filme|Documentário|Série|Podc"&amp;"ast|Rádio|Audiotour|Entrevista|Reportagem|Crônica|Relatório|Abaixo-assinado|Manifesto|Petição|Poema|Livro|Fotografia|Curta|Live|Webinário|Charge|Leitura pública|Vídeo""),
""Público Mediado"","""")))
"),"")</f>
        <v/>
      </c>
      <c r="E273" s="13" t="str">
        <f>IFERROR(__xludf.DUMMYFUNCTION("IF(B273="""","""",IF(OR(
  REGEXMATCH(B273,""Live|Webinário|Virtual""),
  REGEXMATCH(B273,""online"")
),""Virtual"",
IF(REGEXMATCH(B273,""Música|Álbum|Filme|Documentário|Série|Podcast|Rádio|Audiotour|Episódio|Reportagem|Curta|Charge|Livro|Vídeo|Entrevista"&amp;"""),
""Midiático"",
IF(REGEXMATCH(B273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3" s="11"/>
      <c r="G273" s="15">
        <f t="shared" si="1"/>
        <v>0</v>
      </c>
      <c r="H273" s="11"/>
      <c r="I273" s="210"/>
      <c r="J273" s="169" t="str">
        <f>IFERROR(__xludf.DUMMYFUNCTION("REGEXEXTRACT(S273, ""\.\s(.*?)\s*YouTube"")"),"#N/A")</f>
        <v>#N/A</v>
      </c>
      <c r="K273" s="16"/>
      <c r="L273" s="18"/>
      <c r="M273" s="15" t="str">
        <f>IFERROR(__xludf.DUMMYFUNCTION("IF(REGEXMATCH(S273, ""Companhia das Letras""), ""Companhia das Letras"",
IF(REGEXMATCH(S273, ""Labortexto Editorial""), ""Labortexto Editorial"",
IF(REGEXMATCH(S273, ""Geração Editorial""), ""Geração Editorial"",
IF(REGEXMATCH(S273, ""Editora Imprensa Ofi"&amp;"cial|Imprensa Oficial""), ""Editora Imprensa Oficial"",
IF(REGEXMATCH(S273, ""Folha Online""), ""Folha Online"",
IF(REGEXMATCH(S273, ""FGV DIREITO SP|FGV Direito SP""), ""FGV DIREITO SP"",
IF(REGEXMATCH(S273, ""massacrecarandiru\.org\.br""), ""Memória Mas"&amp;"sacre Carandiru"",
IF(REGEXMATCH(S273, ""Itaú Cultural""), ""YouTube (Itaú Cultural)"",
IF(REGEXMATCH(S273, ""Passa Palavra""), ""Vimeo (Passa Palavra)"",
IF(REGEXMATCH(S273, ""rede2deoutubro\.blogspot""), ""Blogspot (Rede 02 de Outubro)"",
IF(REGEXMATCH("&amp;"S273, ""Rede TVT""), ""YouTube (Rede TVT)"",
IF(REGEXMATCH(S273, ""Esquerda Diário""), ""Esquerda Diário"",
IF(REGEXMATCH(S273, ""GZH""), ""GZH"",
IF(REGEXMATCH(S273, ""TVPUC""), ""TVPUC"",
IF(REGEXMATCH(S273, ""Mídia Ninja.*Facebook""), ""Facebook (Mídia"&amp;" Ninja)"",
IF(REGEXMATCH(S273, ""Memórias Carandiru.*Instagram""), ""Instagram (Memórias Carandiru)"",
IF(REGEXMATCH(S273, ""Frente pelo Desencarceramento SP""), ""YouTube (Frente Pelo Desencarceramento SP)"",
IF(REGEXMATCH(S273, ""TV ABA""), ""YouTube (T"&amp;"V ABA)"",
IF(REGEXMATCH(S273, ""TV SENADO""), ""YouTube (TV Senado)"",
IF(REGEXMATCH(S273, ""Google Arts &amp; Culture""), ""Google Arts &amp; Culture (Memória Massacre Carandiru)"",
IF(REGEXMATCH(S273, ""Anistia Internacional|ANISTIA INTERNACIONAL""), ""Anistia "&amp;"Internacional"",
IF(REGEXMATCH(S273, ""47\.mostra|47a Mostra""), ""47a Mostra Internacional de Cinema em São Paulo"",
IF(REGEXMATCH(S273, ""Canal USP""), ""YouTube (Canal USP)"",
IF(AND(
  REGEXMATCH(S273, ""(?i)(teses?\.usp\.br|dissertacoes?\.usp\.br|rep"&amp;"ositorio\.usp\.br)""),
  NOT(REGEXMATCH(S273, ""Canal USP""))
), ""Biblioteca Digital de Teses e Dissertações da USP"",
IF(REGEXMATCH(S273, ""SINTRAJUSC""), ""SINTRAJUSC"",
IF(REGEXMATCH(S273, ""Agência Brasil|Agencia Brasil""), ""Agência Brasil"",
IF(REG"&amp;"EXMATCH(S273, ""Brasil de Fato""), ""Brasil de Fato"",
IF(REGEXMATCH(S273, ""Ponte Jornalismo|pontejornalismo""), ""Ponte Jornalismo"",
IF(REGEXMATCH(S273, ""letras\.mus\.br|Letras,""), ""Letras"",
IF(REGEXMATCH(S273, ""YouTube|youtube""), 
   ""YouTube "&amp;"(""&amp;
   IF(REGEXMATCH(S273, ""Itaú Cultural""), ""Itaú Cultural"",
   IF(REGEXMATCH(S273, ""Rede TVT""), ""Rede TVT"",
   IF(REGEXMATCH(S273, ""Frente pelo Desencarceramento SP""), ""Frente Pelo Desencarceramento SP"",
   IF(REGEXMATCH(S273, ""TV ABA""), "&amp;"""TV ABA"",
   IF(REGEXMATCH(S273, ""TV SENADO""), ""TV Senado"",
   IF(REGEXMATCH(S273, ""Canal USP""), ""Canal USP"",
   IF(REGEXMATCH(S273, ""Douer, Zack|Zack Douer""), ""Douer Zack"",
   IF(REGEXMATCH(S273, ""PRISIONEIRO 84\.901|PRISIONEIRO 84""), ""P"&amp;"risioneiro 84.901"",
   IF(REGEXMATCH(S273, ""^[^,]*, ""), 
        PROPER(REGEXREPLACE(REGEXEXTRACT(S273, ""^([^.]*)\.""), ""^([^,]*), (.*)"", ""$2 $1"")),
        PROPER(REGEXEXTRACT(S273, ""^([^.]*)\.""))
   )))))))))&amp;"")"",
IF(REGEXMATCH(S273, ""Spot"&amp;"ify|spotify""), 
   ""Spotify (""&amp;
   IF(REGEXMATCH(S273, ""ESTRANHO SORRISO""), ""Estranho Sorriso"",
   PROPER(REGEXEXTRACT(S273, ""^([^.]*)\.""))
   )&amp;"")"",
IF(REGEXMATCH(S273, ""Vimeo|vimeo""), 
   ""Vimeo (""&amp;
   IF(REGEXMATCH(S273, ""Passa Palavra"&amp;"""), ""Passa Palavra"",
   PROPER(REGEXEXTRACT(S273, ""^([^.]*)\.""))
   )&amp;"")"",
IF(REGEXMATCH(S273, ""Blogspot""), 
   ""Blogspot (""&amp;
   IF(REGEXMATCH(S273, ""rede2deoutubro""), ""Rede 02 de Outubro"",
   PROPER(REGEXEXTRACT(S273, ""^([^.]*)\.""))
   "&amp;")&amp;"")"",
IF(REGEXMATCH(S273, ""Facebook""), 
   ""Facebook (""&amp;
   IF(REGEXMATCH(S273, ""Mídia Ninja""), ""Mídia Ninja"",
   PROPER(REGEXEXTRACT(S273, ""^([^.]*)\.""))
   )&amp;"")"",
IF(REGEXMATCH(S273, ""Instagram""), 
   ""Instagram (""&amp;
   IF(REGEXMATCH"&amp;"(S273, ""Memórias Carandiru""), ""Memórias Carandiru"",
   PROPER(REGEXEXTRACT(S273, ""^([^.]*)\.""))
   )&amp;"")"",
IF(REGEXMATCH(S273, ""Folha de S\. Paulo|FOLHA DE S\. PAULO""), ""Folha de S. Paulo"",
IF(REGEXMATCH(S273, ""O Estado de S\. Paulo|ESTADAO"""&amp;"), ""O Estado de S. Paulo"",
IF(REGEXMATCH(S273, ""salasecreta""), ""Wordpress (Sala Secreta)"",
IF(REGEXMATCH(S273, ""Wikipedia|Wikipédia|WIKIPÉDIA""), ""Wikipedia"",
IF(REGEXMATCH(S273, ""VEJA|Veja""), ""Veja Abril"",
IF(REGEXMATCH(S258, ""Rede Globo|RE"&amp;"DE GLOBO""), ""Rede Globo"",
IF(REGEXMATCH(S258, ""G1|globo\.com""), ""G1"",
IF(REGEXMATCH(S273, ""Deutsche Welle|DW\.com""), ""Deutsche Welle"",
IF(REGEXMATCH(S273, ""CIDH|Comissão Interamericana""), ""Comissão Interamericana de Direitos Humanos (CIDH)"""&amp;",
IF(REGEXMATCH(S273, ""Pastoral Carcerária""), ""Pastoral Carcerária"",
IF(REGEXMATCH(S273, ""Esquerda Web""), ""Esquerda Web"",
IF(REGEXMATCH(S273, ""ONU|Organização das Nações Unidas""), ""ONU Brasil"",
IF(REGEXMATCH(S273, ""Quilombo Invisível""), ""Qu"&amp;"ilombo Invisível"",
IF(REGEXMATCH(S273, ""ALESP|Assembleia Legislativa""), ""ALESP"",
IF(REGEXMATCH(S273, ""Revista Opera""), ""Revista Opera"",
IF(REGEXMATCH(S273, ""SP Escola de Teatro""), ""SP Escola de Teatro"",
IF(REGEXMATCH(S273, ""EMC|Espaço Memóri"&amp;"a Carandiru""), ""EMC Espaço Memória Carandiru"",
IF(REGEXMATCH(S273, ""^RAMOS, Nuno|Nuno Ramos""), ""Nuno Ramos"",
IF(REGEXMATCH(S273, ""^VELOSO, Caetano|Caetano Veloso""), ""YouTube (Caetano Veloso)"",
IF(REGEXMATCH(S273, ""^FATOS REAIS""), ""YouTube ("&amp;"Fatos Reais - Topic)"",
IF(REGEXMATCH(S273, ""^SALA SECRETA""), ""Wordpress (Sala Secreta)"",
PROPER(REGEXEXTRACT(S273, ""^([^.]*)\.""))
))))))))))))))))))))))))))))))))))))))))))))))))))))))))"),"#N/A")</f>
        <v>#N/A</v>
      </c>
      <c r="N273" s="11"/>
      <c r="O273" s="14"/>
      <c r="P273" s="197"/>
      <c r="Q273" s="197"/>
      <c r="R273" s="194" t="str">
        <f t="shared" si="8"/>
        <v>#VALUE!</v>
      </c>
      <c r="S273" s="172"/>
    </row>
    <row r="274">
      <c r="A274" s="11">
        <v>272.0</v>
      </c>
      <c r="B274" s="11"/>
      <c r="C274" s="12" t="str">
        <f>IFERROR(__xludf.DUMMYFUNCTION("IF(B274="""","""",IF(OR(
  REGEXMATCH(B274,""Performance|Instalação|Álbum|Música|Poema|Livro|Filme|Documentário|Recitação|Espetáculo|Peça|Intervenção|Desfile|Fotografia|Exposição|Charge|Grafite|Leitura pública|Fabricação de cachaça artesanal""),
  REGEXMA"&amp;"TCH(B274,""dança|teatral|artístico|musical|artística"")
),""Manifestação artístico-cultural"",
IF(OR(
  REGEXMATCH(B274,""Crônica|Série|Reportagem|Podcast|Audiotour|Entrevista|Vídeo|Rádio""),
  REGEXMATCH(B274,""midiática"")
),""Produção midiática"","""")"&amp;"))
"),"")</f>
        <v/>
      </c>
      <c r="D274" s="13" t="str">
        <f>IFERROR(__xludf.DUMMYFUNCTION("IF(B274="""","""",IF(OR(
  REGEXMATCH(B274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REGEXMATCH(B274,""público|Imediato|artística|teatral|memória"")
),""Público Imediato"",
IF(REGEXMATCH(B274,""Música|Álbum|Filme|Documentário|Série|Podc"&amp;"ast|Rádio|Audiotour|Entrevista|Reportagem|Crônica|Relatório|Abaixo-assinado|Manifesto|Petição|Poema|Livro|Fotografia|Curta|Live|Webinário|Charge|Leitura pública|Vídeo""),
""Público Mediado"","""")))
"),"")</f>
        <v/>
      </c>
      <c r="E274" s="13" t="str">
        <f>IFERROR(__xludf.DUMMYFUNCTION("IF(B274="""","""",IF(OR(
  REGEXMATCH(B274,""Live|Webinário|Virtual""),
  REGEXMATCH(B274,""online"")
),""Virtual"",
IF(REGEXMATCH(B274,""Música|Álbum|Filme|Documentário|Série|Podcast|Rádio|Audiotour|Episódio|Reportagem|Curta|Charge|Livro|Vídeo|Entrevista"&amp;"""),
""Midiático"",
IF(REGEXMATCH(B274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4" s="11"/>
      <c r="G274" s="15">
        <f t="shared" si="1"/>
        <v>0</v>
      </c>
      <c r="H274" s="11"/>
      <c r="I274" s="210"/>
      <c r="J274" s="169" t="str">
        <f>IFERROR(__xludf.DUMMYFUNCTION("REGEXEXTRACT(S274, ""\.\s(.*?)\s*YouTube"")"),"#N/A")</f>
        <v>#N/A</v>
      </c>
      <c r="K274" s="16"/>
      <c r="L274" s="18"/>
      <c r="M274" s="15" t="str">
        <f>IFERROR(__xludf.DUMMYFUNCTION("IF(REGEXMATCH(S274, ""Companhia das Letras""), ""Companhia das Letras"",
IF(REGEXMATCH(S274, ""Labortexto Editorial""), ""Labortexto Editorial"",
IF(REGEXMATCH(S274, ""Geração Editorial""), ""Geração Editorial"",
IF(REGEXMATCH(S274, ""Editora Imprensa Ofi"&amp;"cial|Imprensa Oficial""), ""Editora Imprensa Oficial"",
IF(REGEXMATCH(S274, ""Folha Online""), ""Folha Online"",
IF(REGEXMATCH(S274, ""FGV DIREITO SP|FGV Direito SP""), ""FGV DIREITO SP"",
IF(REGEXMATCH(S274, ""massacrecarandiru\.org\.br""), ""Memória Mas"&amp;"sacre Carandiru"",
IF(REGEXMATCH(S274, ""Itaú Cultural""), ""YouTube (Itaú Cultural)"",
IF(REGEXMATCH(S274, ""Passa Palavra""), ""Vimeo (Passa Palavra)"",
IF(REGEXMATCH(S274, ""rede2deoutubro\.blogspot""), ""Blogspot (Rede 02 de Outubro)"",
IF(REGEXMATCH("&amp;"S274, ""Rede TVT""), ""YouTube (Rede TVT)"",
IF(REGEXMATCH(S274, ""Esquerda Diário""), ""Esquerda Diário"",
IF(REGEXMATCH(S274, ""GZH""), ""GZH"",
IF(REGEXMATCH(S274, ""TVPUC""), ""TVPUC"",
IF(REGEXMATCH(S274, ""Mídia Ninja.*Facebook""), ""Facebook (Mídia"&amp;" Ninja)"",
IF(REGEXMATCH(S274, ""Memórias Carandiru.*Instagram""), ""Instagram (Memórias Carandiru)"",
IF(REGEXMATCH(S274, ""Frente pelo Desencarceramento SP""), ""YouTube (Frente Pelo Desencarceramento SP)"",
IF(REGEXMATCH(S274, ""TV ABA""), ""YouTube (T"&amp;"V ABA)"",
IF(REGEXMATCH(S274, ""TV SENADO""), ""YouTube (TV Senado)"",
IF(REGEXMATCH(S274, ""Google Arts &amp; Culture""), ""Google Arts &amp; Culture (Memória Massacre Carandiru)"",
IF(REGEXMATCH(S274, ""Anistia Internacional|ANISTIA INTERNACIONAL""), ""Anistia "&amp;"Internacional"",
IF(REGEXMATCH(S274, ""47\.mostra|47a Mostra""), ""47a Mostra Internacional de Cinema em São Paulo"",
IF(REGEXMATCH(S274, ""Canal USP""), ""YouTube (Canal USP)"",
IF(AND(
  REGEXMATCH(S274, ""(?i)(teses?\.usp\.br|dissertacoes?\.usp\.br|rep"&amp;"ositorio\.usp\.br)""),
  NOT(REGEXMATCH(S274, ""Canal USP""))
), ""Biblioteca Digital de Teses e Dissertações da USP"",
IF(REGEXMATCH(S274, ""SINTRAJUSC""), ""SINTRAJUSC"",
IF(REGEXMATCH(S274, ""Agência Brasil|Agencia Brasil""), ""Agência Brasil"",
IF(REG"&amp;"EXMATCH(S274, ""Brasil de Fato""), ""Brasil de Fato"",
IF(REGEXMATCH(S274, ""Ponte Jornalismo|pontejornalismo""), ""Ponte Jornalismo"",
IF(REGEXMATCH(S274, ""letras\.mus\.br|Letras,""), ""Letras"",
IF(REGEXMATCH(S274, ""YouTube|youtube""), 
   ""YouTube "&amp;"(""&amp;
   IF(REGEXMATCH(S274, ""Itaú Cultural""), ""Itaú Cultural"",
   IF(REGEXMATCH(S274, ""Rede TVT""), ""Rede TVT"",
   IF(REGEXMATCH(S274, ""Frente pelo Desencarceramento SP""), ""Frente Pelo Desencarceramento SP"",
   IF(REGEXMATCH(S274, ""TV ABA""), "&amp;"""TV ABA"",
   IF(REGEXMATCH(S274, ""TV SENADO""), ""TV Senado"",
   IF(REGEXMATCH(S274, ""Canal USP""), ""Canal USP"",
   IF(REGEXMATCH(S274, ""Douer, Zack|Zack Douer""), ""Douer Zack"",
   IF(REGEXMATCH(S274, ""PRISIONEIRO 84\.901|PRISIONEIRO 84""), ""P"&amp;"risioneiro 84.901"",
   IF(REGEXMATCH(S274, ""^[^,]*, ""), 
        PROPER(REGEXREPLACE(REGEXEXTRACT(S274, ""^([^.]*)\.""), ""^([^,]*), (.*)"", ""$2 $1"")),
        PROPER(REGEXEXTRACT(S274, ""^([^.]*)\.""))
   )))))))))&amp;"")"",
IF(REGEXMATCH(S274, ""Spot"&amp;"ify|spotify""), 
   ""Spotify (""&amp;
   IF(REGEXMATCH(S274, ""ESTRANHO SORRISO""), ""Estranho Sorriso"",
   PROPER(REGEXEXTRACT(S274, ""^([^.]*)\.""))
   )&amp;"")"",
IF(REGEXMATCH(S274, ""Vimeo|vimeo""), 
   ""Vimeo (""&amp;
   IF(REGEXMATCH(S274, ""Passa Palavra"&amp;"""), ""Passa Palavra"",
   PROPER(REGEXEXTRACT(S274, ""^([^.]*)\.""))
   )&amp;"")"",
IF(REGEXMATCH(S274, ""Blogspot""), 
   ""Blogspot (""&amp;
   IF(REGEXMATCH(S274, ""rede2deoutubro""), ""Rede 02 de Outubro"",
   PROPER(REGEXEXTRACT(S274, ""^([^.]*)\.""))
   "&amp;")&amp;"")"",
IF(REGEXMATCH(S274, ""Facebook""), 
   ""Facebook (""&amp;
   IF(REGEXMATCH(S274, ""Mídia Ninja""), ""Mídia Ninja"",
   PROPER(REGEXEXTRACT(S274, ""^([^.]*)\.""))
   )&amp;"")"",
IF(REGEXMATCH(S274, ""Instagram""), 
   ""Instagram (""&amp;
   IF(REGEXMATCH"&amp;"(S274, ""Memórias Carandiru""), ""Memórias Carandiru"",
   PROPER(REGEXEXTRACT(S274, ""^([^.]*)\.""))
   )&amp;"")"",
IF(REGEXMATCH(S274, ""Folha de S\. Paulo|FOLHA DE S\. PAULO""), ""Folha de S. Paulo"",
IF(REGEXMATCH(S274, ""O Estado de S\. Paulo|ESTADAO"""&amp;"), ""O Estado de S. Paulo"",
IF(REGEXMATCH(S274, ""salasecreta""), ""Wordpress (Sala Secreta)"",
IF(REGEXMATCH(S274, ""Wikipedia|Wikipédia|WIKIPÉDIA""), ""Wikipedia"",
IF(REGEXMATCH(S274, ""VEJA|Veja""), ""Veja Abril"",
IF(REGEXMATCH(S259, ""Rede Globo|RE"&amp;"DE GLOBO""), ""Rede Globo"",
IF(REGEXMATCH(S259, ""G1|globo\.com""), ""G1"",
IF(REGEXMATCH(S274, ""Deutsche Welle|DW\.com""), ""Deutsche Welle"",
IF(REGEXMATCH(S274, ""CIDH|Comissão Interamericana""), ""Comissão Interamericana de Direitos Humanos (CIDH)"""&amp;",
IF(REGEXMATCH(S274, ""Pastoral Carcerária""), ""Pastoral Carcerária"",
IF(REGEXMATCH(S274, ""Esquerda Web""), ""Esquerda Web"",
IF(REGEXMATCH(S274, ""ONU|Organização das Nações Unidas""), ""ONU Brasil"",
IF(REGEXMATCH(S274, ""Quilombo Invisível""), ""Qu"&amp;"ilombo Invisível"",
IF(REGEXMATCH(S274, ""ALESP|Assembleia Legislativa""), ""ALESP"",
IF(REGEXMATCH(S274, ""Revista Opera""), ""Revista Opera"",
IF(REGEXMATCH(S274, ""SP Escola de Teatro""), ""SP Escola de Teatro"",
IF(REGEXMATCH(S274, ""EMC|Espaço Memóri"&amp;"a Carandiru""), ""EMC Espaço Memória Carandiru"",
IF(REGEXMATCH(S274, ""^RAMOS, Nuno|Nuno Ramos""), ""Nuno Ramos"",
IF(REGEXMATCH(S274, ""^VELOSO, Caetano|Caetano Veloso""), ""YouTube (Caetano Veloso)"",
IF(REGEXMATCH(S274, ""^FATOS REAIS""), ""YouTube ("&amp;"Fatos Reais - Topic)"",
IF(REGEXMATCH(S274, ""^SALA SECRETA""), ""Wordpress (Sala Secreta)"",
PROPER(REGEXEXTRACT(S274, ""^([^.]*)\.""))
))))))))))))))))))))))))))))))))))))))))))))))))))))))))"),"#N/A")</f>
        <v>#N/A</v>
      </c>
      <c r="N274" s="11"/>
      <c r="O274" s="14"/>
      <c r="P274" s="197"/>
      <c r="Q274" s="197"/>
      <c r="R274" s="194" t="str">
        <f t="shared" si="8"/>
        <v>#VALUE!</v>
      </c>
      <c r="S274" s="172"/>
    </row>
  </sheetData>
  <autoFilter ref="$A$2:$S$259">
    <sortState ref="A2:S259">
      <sortCondition ref="G2:G259"/>
    </sortState>
  </autoFilter>
  <mergeCells count="3">
    <mergeCell ref="B1:I1"/>
    <mergeCell ref="J1:L1"/>
    <mergeCell ref="M1:R1"/>
  </mergeCells>
  <conditionalFormatting sqref="A3:S274">
    <cfRule type="expression" dxfId="0" priority="1">
      <formula>COUNTIFS($B$3:$B$274, $B3, $J$3:$J$274, $J3) &gt; 1</formula>
    </cfRule>
  </conditionalFormatting>
  <dataValidations>
    <dataValidation type="list" allowBlank="1" showErrorMessage="1" sqref="L3:L22 L24:L48 L50:L263">
      <formula1>"Ampliação (fotográfica),Apresentação (digital) ,Áudio (digital),Contato (fotográfico),Dados (digital) ,Datilografado,Desenho à mão,Digital,Digitalizado,Exposição fotográfica,Filmagem (analógico),Filmagem (convencional) ,Filmagem (geral) ,Fotografia (expos"&amp;"ição fotográfica) ,Gravação (analógico),Gravação (convencional) ,Gravação (geral) ,Imagem (digital) ,Imagem matricial (digital) ,Imagem vetorial (digital),Impresso ,Manuscrito ,Microfilmagem ,Nato-digital,Negativo (fotográfico) ,Técnica não determinada,Té"&amp;"cnica varia,Texto (digital),Vídeo (digital)"</formula1>
    </dataValidation>
    <dataValidation type="list" allowBlank="1" showErrorMessage="1" sqref="K3:K22 K24:K48 K50:K263">
      <formula1>"Arquitetônico,Audiovisual,Bibliográfico,Cartográfico,Cinematográfico,Eletrônico,Filmográfico,Fonográfico,Hemerográfico,Iconográfico,Sonoro,Táctil*,Textual,Tridimensional "</formula1>
    </dataValidation>
    <dataValidation type="list" allowBlank="1" showErrorMessage="1" sqref="Q3:Q22 Q24:Q48 Q50:Q263">
      <formula1>"Aberto,Indisponível,Acesso restrito"</formula1>
    </dataValidation>
  </dataValidations>
  <hyperlinks>
    <hyperlink r:id="rId4" ref="R18"/>
    <hyperlink r:id="rId5" ref="S37"/>
    <hyperlink r:id="rId6" ref="S57"/>
  </hyperlinks>
  <printOptions gridLines="1" horizontalCentered="1"/>
  <pageMargins bottom="0.75" footer="0.0" header="0.0" left="0.25" right="0.25" top="0.75"/>
  <pageSetup fitToHeight="0" paperSize="9" cellComments="atEnd" orientation="landscape" pageOrder="overThenDown"/>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s>
  <sheetData>
    <row r="1">
      <c r="A1" s="19" t="s">
        <v>28</v>
      </c>
      <c r="B1" s="21"/>
      <c r="C1" s="25"/>
      <c r="D1" s="37"/>
    </row>
    <row r="2">
      <c r="A2" s="44" t="s">
        <v>44</v>
      </c>
      <c r="B2" s="47"/>
      <c r="C2" s="50"/>
      <c r="D2" s="16"/>
    </row>
    <row r="4">
      <c r="A4" s="55" t="s">
        <v>50</v>
      </c>
      <c r="B4" s="57"/>
      <c r="C4" s="58"/>
      <c r="D4" s="37"/>
    </row>
    <row r="5">
      <c r="A5" s="62" t="s">
        <v>55</v>
      </c>
      <c r="B5" s="63"/>
      <c r="C5" s="65"/>
      <c r="D5" s="16"/>
    </row>
    <row r="6">
      <c r="A6" s="62" t="s">
        <v>65</v>
      </c>
      <c r="B6" s="63"/>
      <c r="C6" s="65"/>
      <c r="D6" s="16"/>
    </row>
    <row r="7">
      <c r="A7" s="69" t="s">
        <v>70</v>
      </c>
      <c r="B7" s="71"/>
      <c r="C7" s="73"/>
      <c r="D7" s="16"/>
    </row>
    <row r="8">
      <c r="A8" s="77" t="s">
        <v>74</v>
      </c>
      <c r="B8" s="78"/>
      <c r="C8" s="80"/>
      <c r="D8" s="16"/>
    </row>
  </sheetData>
  <mergeCells count="7">
    <mergeCell ref="A1:C1"/>
    <mergeCell ref="A2:C2"/>
    <mergeCell ref="A4:C4"/>
    <mergeCell ref="A5:C5"/>
    <mergeCell ref="A6:C6"/>
    <mergeCell ref="A7:C7"/>
    <mergeCell ref="A8:C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4.38"/>
    <col customWidth="1" min="3" max="3" width="82.13"/>
    <col customWidth="1" min="4" max="4" width="66.38"/>
  </cols>
  <sheetData>
    <row r="1">
      <c r="A1" s="20" t="s">
        <v>29</v>
      </c>
      <c r="B1" s="22"/>
      <c r="C1" s="22"/>
      <c r="D1" s="24"/>
      <c r="E1" s="26"/>
    </row>
    <row r="2">
      <c r="A2" s="28"/>
      <c r="B2" s="30" t="s">
        <v>32</v>
      </c>
      <c r="C2" s="30" t="s">
        <v>34</v>
      </c>
      <c r="D2" s="32" t="s">
        <v>35</v>
      </c>
      <c r="E2" s="26"/>
    </row>
    <row r="3">
      <c r="A3" s="34" t="s">
        <v>37</v>
      </c>
      <c r="B3" s="36" t="s">
        <v>39</v>
      </c>
      <c r="C3" s="39" t="s">
        <v>40</v>
      </c>
      <c r="D3" s="40" t="s">
        <v>42</v>
      </c>
      <c r="E3" s="26"/>
    </row>
    <row r="4">
      <c r="A4" s="42" t="s">
        <v>43</v>
      </c>
      <c r="B4" s="46" t="s">
        <v>45</v>
      </c>
      <c r="C4" s="49" t="s">
        <v>46</v>
      </c>
      <c r="D4" s="52" t="s">
        <v>49</v>
      </c>
      <c r="E4" s="26"/>
    </row>
    <row r="5">
      <c r="A5" s="53"/>
      <c r="B5" s="54" t="s">
        <v>51</v>
      </c>
      <c r="C5" s="56" t="s">
        <v>52</v>
      </c>
      <c r="D5" s="59" t="s">
        <v>54</v>
      </c>
      <c r="E5" s="26"/>
    </row>
    <row r="6">
      <c r="A6" s="61" t="s">
        <v>6</v>
      </c>
      <c r="B6" s="46" t="s">
        <v>56</v>
      </c>
      <c r="C6" s="49" t="s">
        <v>57</v>
      </c>
      <c r="D6" s="52" t="s">
        <v>58</v>
      </c>
      <c r="E6" s="26"/>
    </row>
    <row r="7">
      <c r="A7" s="53"/>
      <c r="B7" s="54" t="s">
        <v>59</v>
      </c>
      <c r="C7" s="56" t="s">
        <v>60</v>
      </c>
      <c r="D7" s="59" t="s">
        <v>62</v>
      </c>
      <c r="E7" s="26"/>
    </row>
    <row r="8">
      <c r="A8" s="42" t="s">
        <v>7</v>
      </c>
      <c r="B8" s="46" t="s">
        <v>63</v>
      </c>
      <c r="C8" s="49" t="s">
        <v>64</v>
      </c>
      <c r="D8" s="52" t="s">
        <v>66</v>
      </c>
      <c r="E8" s="26"/>
    </row>
    <row r="9">
      <c r="A9" s="66"/>
      <c r="B9" s="67" t="s">
        <v>67</v>
      </c>
      <c r="C9" s="68" t="s">
        <v>69</v>
      </c>
      <c r="D9" s="72" t="s">
        <v>71</v>
      </c>
      <c r="E9" s="26"/>
    </row>
    <row r="10">
      <c r="A10" s="74"/>
      <c r="B10" s="76" t="s">
        <v>73</v>
      </c>
      <c r="C10" s="79" t="s">
        <v>77</v>
      </c>
      <c r="D10" s="81" t="s">
        <v>78</v>
      </c>
      <c r="E10" s="26"/>
    </row>
    <row r="11">
      <c r="A11" s="26"/>
      <c r="B11" s="26"/>
      <c r="C11" s="26"/>
      <c r="D11" s="26"/>
      <c r="E11" s="26"/>
    </row>
  </sheetData>
  <mergeCells count="4">
    <mergeCell ref="A1:D1"/>
    <mergeCell ref="A4:A5"/>
    <mergeCell ref="A6:A7"/>
    <mergeCell ref="A8:A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22.0"/>
    <col customWidth="1" min="3" max="3" width="20.5"/>
    <col customWidth="1" min="4" max="4" width="26.5"/>
    <col customWidth="1" min="5" max="5" width="34.75"/>
    <col customWidth="1" min="6" max="6" width="21.25"/>
    <col customWidth="1" min="7" max="7" width="32.13"/>
    <col customWidth="1" min="8" max="8" width="53.5"/>
  </cols>
  <sheetData>
    <row r="1">
      <c r="A1" s="23" t="s">
        <v>30</v>
      </c>
      <c r="B1" s="27" t="s">
        <v>13</v>
      </c>
      <c r="C1" s="29" t="s">
        <v>31</v>
      </c>
      <c r="D1" s="31" t="s">
        <v>33</v>
      </c>
      <c r="E1" s="33" t="s">
        <v>36</v>
      </c>
      <c r="F1" s="35" t="s">
        <v>38</v>
      </c>
      <c r="G1" s="38"/>
      <c r="H1" s="41" t="s">
        <v>41</v>
      </c>
      <c r="I1" s="43"/>
      <c r="J1" s="43"/>
      <c r="K1" s="45"/>
      <c r="L1" s="38"/>
      <c r="M1" s="38"/>
      <c r="N1" s="48"/>
      <c r="O1" s="38"/>
      <c r="P1" s="38"/>
      <c r="Q1" s="38"/>
      <c r="R1" s="38"/>
      <c r="S1" s="38"/>
      <c r="T1" s="38"/>
      <c r="U1" s="38"/>
      <c r="V1" s="38"/>
      <c r="W1" s="38"/>
      <c r="X1" s="38"/>
    </row>
    <row r="2">
      <c r="A2" s="60" t="s">
        <v>45</v>
      </c>
      <c r="B2" s="64" t="s">
        <v>61</v>
      </c>
      <c r="C2" s="64" t="s">
        <v>68</v>
      </c>
      <c r="D2" s="64" t="s">
        <v>75</v>
      </c>
      <c r="E2" s="64" t="s">
        <v>79</v>
      </c>
      <c r="F2" s="82" t="s">
        <v>80</v>
      </c>
      <c r="G2" s="38"/>
      <c r="H2" s="83" t="s">
        <v>81</v>
      </c>
      <c r="I2" s="84">
        <v>66.0</v>
      </c>
      <c r="J2" s="85" t="b">
        <v>1</v>
      </c>
      <c r="K2" s="86" t="b">
        <v>1</v>
      </c>
      <c r="L2" s="87"/>
      <c r="M2" s="87"/>
      <c r="N2" s="88"/>
      <c r="O2" s="87"/>
      <c r="P2" s="38"/>
      <c r="Q2" s="38"/>
      <c r="R2" s="38"/>
      <c r="S2" s="38"/>
      <c r="T2" s="38"/>
      <c r="U2" s="38"/>
      <c r="V2" s="38"/>
      <c r="W2" s="38"/>
      <c r="X2" s="38"/>
    </row>
    <row r="3">
      <c r="A3" s="90" t="s">
        <v>82</v>
      </c>
      <c r="B3" s="91" t="s">
        <v>83</v>
      </c>
      <c r="C3" s="91" t="s">
        <v>86</v>
      </c>
      <c r="D3" s="91" t="s">
        <v>88</v>
      </c>
      <c r="E3" s="91" t="s">
        <v>89</v>
      </c>
      <c r="F3" s="94" t="s">
        <v>90</v>
      </c>
      <c r="G3" s="38"/>
      <c r="H3" s="83" t="s">
        <v>93</v>
      </c>
      <c r="I3" s="84">
        <v>14.0</v>
      </c>
      <c r="J3" s="85" t="b">
        <v>1</v>
      </c>
      <c r="K3" s="86" t="b">
        <v>1</v>
      </c>
      <c r="L3" s="38"/>
      <c r="M3" s="38"/>
      <c r="N3" s="38"/>
      <c r="O3" s="38"/>
      <c r="P3" s="38"/>
      <c r="Q3" s="38"/>
      <c r="R3" s="38"/>
      <c r="S3" s="38"/>
      <c r="T3" s="38"/>
      <c r="U3" s="38"/>
      <c r="V3" s="38"/>
      <c r="W3" s="38"/>
      <c r="X3" s="38"/>
    </row>
    <row r="4">
      <c r="A4" s="90" t="s">
        <v>97</v>
      </c>
      <c r="B4" s="91" t="s">
        <v>103</v>
      </c>
      <c r="C4" s="91" t="s">
        <v>105</v>
      </c>
      <c r="D4" s="91" t="s">
        <v>106</v>
      </c>
      <c r="E4" s="91" t="s">
        <v>107</v>
      </c>
      <c r="F4" s="102" t="s">
        <v>108</v>
      </c>
      <c r="G4" s="38"/>
      <c r="H4" s="104" t="s">
        <v>110</v>
      </c>
      <c r="I4" s="107">
        <v>153.0</v>
      </c>
      <c r="J4" s="85" t="b">
        <v>1</v>
      </c>
      <c r="K4" s="112" t="b">
        <v>0</v>
      </c>
      <c r="L4" s="38"/>
      <c r="M4" s="38"/>
      <c r="N4" s="38"/>
      <c r="O4" s="38"/>
      <c r="P4" s="38"/>
      <c r="Q4" s="38"/>
      <c r="R4" s="38"/>
      <c r="S4" s="38"/>
      <c r="T4" s="38"/>
      <c r="U4" s="38"/>
      <c r="V4" s="38"/>
      <c r="W4" s="38"/>
      <c r="X4" s="38"/>
    </row>
    <row r="5">
      <c r="A5" s="90" t="s">
        <v>119</v>
      </c>
      <c r="B5" s="91" t="s">
        <v>120</v>
      </c>
      <c r="C5" s="91" t="s">
        <v>122</v>
      </c>
      <c r="D5" s="91" t="s">
        <v>125</v>
      </c>
      <c r="E5" s="91" t="s">
        <v>136</v>
      </c>
      <c r="F5" s="94" t="s">
        <v>138</v>
      </c>
      <c r="G5" s="38"/>
      <c r="H5" s="83" t="s">
        <v>139</v>
      </c>
      <c r="I5" s="84">
        <v>25.0</v>
      </c>
      <c r="J5" s="85" t="b">
        <v>1</v>
      </c>
      <c r="K5" s="112" t="b">
        <v>0</v>
      </c>
      <c r="L5" s="38"/>
      <c r="M5" s="38"/>
      <c r="N5" s="38"/>
      <c r="O5" s="38"/>
      <c r="P5" s="38"/>
      <c r="Q5" s="38"/>
      <c r="R5" s="38"/>
      <c r="S5" s="38"/>
      <c r="T5" s="38"/>
      <c r="U5" s="38"/>
      <c r="V5" s="38"/>
      <c r="W5" s="38"/>
      <c r="X5" s="38"/>
    </row>
    <row r="6">
      <c r="A6" s="90" t="s">
        <v>145</v>
      </c>
      <c r="B6" s="91" t="s">
        <v>147</v>
      </c>
      <c r="C6" s="91" t="s">
        <v>150</v>
      </c>
      <c r="D6" s="91" t="s">
        <v>152</v>
      </c>
      <c r="E6" s="91" t="s">
        <v>155</v>
      </c>
      <c r="F6" s="94" t="s">
        <v>156</v>
      </c>
      <c r="G6" s="38"/>
      <c r="H6" s="83" t="s">
        <v>158</v>
      </c>
      <c r="I6" s="84">
        <v>48.0</v>
      </c>
      <c r="J6" s="85" t="b">
        <v>0</v>
      </c>
      <c r="K6" s="86" t="b">
        <v>1</v>
      </c>
      <c r="L6" s="38"/>
      <c r="M6" s="38"/>
      <c r="N6" s="38"/>
      <c r="O6" s="38"/>
      <c r="P6" s="38"/>
      <c r="Q6" s="38"/>
      <c r="R6" s="38"/>
      <c r="S6" s="38"/>
      <c r="T6" s="38"/>
      <c r="U6" s="38"/>
      <c r="V6" s="38"/>
      <c r="W6" s="38"/>
      <c r="X6" s="38"/>
    </row>
    <row r="7">
      <c r="A7" s="90" t="s">
        <v>51</v>
      </c>
      <c r="B7" s="91" t="s">
        <v>166</v>
      </c>
      <c r="C7" s="91" t="s">
        <v>169</v>
      </c>
      <c r="D7" s="91" t="s">
        <v>170</v>
      </c>
      <c r="E7" s="91" t="s">
        <v>172</v>
      </c>
      <c r="F7" s="94" t="s">
        <v>173</v>
      </c>
      <c r="G7" s="38"/>
      <c r="H7" s="125" t="s">
        <v>175</v>
      </c>
      <c r="I7" s="22"/>
      <c r="J7" s="22"/>
      <c r="K7" s="126" t="b">
        <v>1</v>
      </c>
      <c r="L7" s="38"/>
      <c r="M7" s="38"/>
      <c r="N7" s="38"/>
      <c r="O7" s="38"/>
      <c r="P7" s="38"/>
      <c r="Q7" s="38"/>
      <c r="R7" s="38"/>
      <c r="S7" s="38"/>
      <c r="T7" s="38"/>
      <c r="U7" s="38"/>
      <c r="V7" s="38"/>
      <c r="W7" s="38"/>
      <c r="X7" s="38"/>
    </row>
    <row r="8">
      <c r="A8" s="90" t="s">
        <v>189</v>
      </c>
      <c r="B8" s="91" t="s">
        <v>192</v>
      </c>
      <c r="C8" s="91" t="s">
        <v>194</v>
      </c>
      <c r="D8" s="91" t="s">
        <v>197</v>
      </c>
      <c r="E8" s="91" t="s">
        <v>199</v>
      </c>
      <c r="F8" s="94" t="s">
        <v>200</v>
      </c>
      <c r="G8" s="38"/>
      <c r="H8" s="128" t="s">
        <v>201</v>
      </c>
      <c r="K8" s="129" t="b">
        <v>1</v>
      </c>
      <c r="L8" s="38"/>
      <c r="M8" s="38"/>
      <c r="N8" s="38"/>
      <c r="O8" s="38"/>
      <c r="P8" s="38"/>
      <c r="Q8" s="38"/>
      <c r="R8" s="38"/>
      <c r="S8" s="38"/>
      <c r="T8" s="38"/>
      <c r="U8" s="38"/>
      <c r="V8" s="38"/>
      <c r="W8" s="38"/>
      <c r="X8" s="38"/>
    </row>
    <row r="9">
      <c r="A9" s="130"/>
      <c r="B9" s="91" t="s">
        <v>202</v>
      </c>
      <c r="C9" s="91" t="s">
        <v>203</v>
      </c>
      <c r="D9" s="91" t="s">
        <v>204</v>
      </c>
      <c r="E9" s="91" t="s">
        <v>205</v>
      </c>
      <c r="F9" s="94" t="s">
        <v>206</v>
      </c>
      <c r="G9" s="38"/>
      <c r="H9" s="133" t="s">
        <v>207</v>
      </c>
      <c r="I9" s="134"/>
      <c r="J9" s="134"/>
      <c r="K9" s="135" t="b">
        <v>1</v>
      </c>
      <c r="L9" s="38"/>
      <c r="M9" s="38"/>
      <c r="N9" s="38"/>
      <c r="O9" s="38"/>
      <c r="P9" s="38"/>
      <c r="Q9" s="38"/>
      <c r="R9" s="38"/>
      <c r="S9" s="38"/>
      <c r="T9" s="38"/>
      <c r="U9" s="38"/>
      <c r="V9" s="38"/>
      <c r="W9" s="38"/>
      <c r="X9" s="38"/>
    </row>
    <row r="10">
      <c r="A10" s="130"/>
      <c r="B10" s="91" t="s">
        <v>26</v>
      </c>
      <c r="C10" s="91" t="s">
        <v>211</v>
      </c>
      <c r="D10" s="91" t="s">
        <v>27</v>
      </c>
      <c r="E10" s="136"/>
      <c r="F10" s="94" t="s">
        <v>212</v>
      </c>
      <c r="G10" s="38"/>
      <c r="H10" s="137" t="s">
        <v>213</v>
      </c>
      <c r="K10" s="138" t="b">
        <v>1</v>
      </c>
      <c r="L10" s="38"/>
      <c r="M10" s="38"/>
      <c r="N10" s="38"/>
      <c r="O10" s="38"/>
      <c r="P10" s="38"/>
      <c r="Q10" s="38"/>
      <c r="R10" s="38"/>
      <c r="S10" s="38"/>
      <c r="T10" s="38"/>
      <c r="U10" s="38"/>
      <c r="V10" s="38"/>
      <c r="W10" s="38"/>
      <c r="X10" s="38"/>
    </row>
    <row r="11">
      <c r="A11" s="130"/>
      <c r="B11" s="91" t="s">
        <v>91</v>
      </c>
      <c r="C11" s="91" t="s">
        <v>214</v>
      </c>
      <c r="D11" s="91" t="s">
        <v>215</v>
      </c>
      <c r="E11" s="136"/>
      <c r="F11" s="94" t="s">
        <v>216</v>
      </c>
      <c r="G11" s="38"/>
      <c r="H11" s="137" t="s">
        <v>217</v>
      </c>
      <c r="K11" s="138" t="b">
        <v>1</v>
      </c>
      <c r="L11" s="38"/>
      <c r="M11" s="38"/>
      <c r="N11" s="38"/>
      <c r="O11" s="38"/>
      <c r="P11" s="38"/>
      <c r="Q11" s="38"/>
      <c r="R11" s="38"/>
      <c r="S11" s="38"/>
      <c r="T11" s="38"/>
      <c r="U11" s="38"/>
      <c r="V11" s="38"/>
      <c r="W11" s="38"/>
      <c r="X11" s="38"/>
    </row>
    <row r="12">
      <c r="A12" s="130"/>
      <c r="B12" s="91" t="s">
        <v>222</v>
      </c>
      <c r="C12" s="91" t="s">
        <v>223</v>
      </c>
      <c r="D12" s="91" t="s">
        <v>224</v>
      </c>
      <c r="E12" s="136"/>
      <c r="F12" s="94" t="s">
        <v>225</v>
      </c>
      <c r="G12" s="38"/>
      <c r="H12" s="139" t="s">
        <v>226</v>
      </c>
      <c r="I12" s="140"/>
      <c r="J12" s="140"/>
      <c r="K12" s="141" t="b">
        <v>0</v>
      </c>
      <c r="L12" s="38"/>
      <c r="M12" s="38"/>
      <c r="N12" s="38"/>
      <c r="O12" s="38"/>
      <c r="P12" s="38"/>
      <c r="Q12" s="38"/>
      <c r="R12" s="38"/>
      <c r="S12" s="38"/>
      <c r="T12" s="38"/>
      <c r="U12" s="38"/>
      <c r="V12" s="38"/>
      <c r="W12" s="38"/>
      <c r="X12" s="38"/>
    </row>
    <row r="13">
      <c r="A13" s="130"/>
      <c r="B13" s="91" t="s">
        <v>229</v>
      </c>
      <c r="C13" s="91" t="s">
        <v>230</v>
      </c>
      <c r="D13" s="91" t="s">
        <v>231</v>
      </c>
      <c r="E13" s="136"/>
      <c r="F13" s="94" t="s">
        <v>232</v>
      </c>
      <c r="G13" s="38"/>
      <c r="L13" s="38"/>
      <c r="M13" s="38"/>
      <c r="N13" s="38"/>
      <c r="O13" s="38"/>
      <c r="P13" s="38"/>
      <c r="Q13" s="38"/>
      <c r="R13" s="38"/>
      <c r="S13" s="38"/>
      <c r="T13" s="38"/>
      <c r="U13" s="38"/>
      <c r="V13" s="38"/>
      <c r="W13" s="38"/>
      <c r="X13" s="38"/>
    </row>
    <row r="14">
      <c r="A14" s="130"/>
      <c r="B14" s="91" t="s">
        <v>233</v>
      </c>
      <c r="C14" s="91" t="s">
        <v>234</v>
      </c>
      <c r="D14" s="91" t="s">
        <v>235</v>
      </c>
      <c r="E14" s="136"/>
      <c r="F14" s="144" t="s">
        <v>237</v>
      </c>
      <c r="G14" s="38"/>
      <c r="H14" s="145"/>
      <c r="I14" s="147"/>
      <c r="J14" s="149"/>
      <c r="K14" s="149"/>
      <c r="L14" s="38"/>
      <c r="M14" s="38"/>
      <c r="N14" s="38"/>
      <c r="O14" s="38"/>
      <c r="P14" s="38"/>
      <c r="Q14" s="38"/>
      <c r="R14" s="38"/>
      <c r="S14" s="38"/>
      <c r="T14" s="38"/>
      <c r="U14" s="38"/>
      <c r="V14" s="38"/>
      <c r="W14" s="38"/>
      <c r="X14" s="38"/>
    </row>
    <row r="15">
      <c r="A15" s="130"/>
      <c r="B15" s="91" t="s">
        <v>252</v>
      </c>
      <c r="C15" s="91" t="s">
        <v>254</v>
      </c>
      <c r="D15" s="91" t="s">
        <v>256</v>
      </c>
      <c r="E15" s="136"/>
      <c r="F15" s="152"/>
      <c r="G15" s="38"/>
      <c r="H15" s="145"/>
      <c r="I15" s="147"/>
      <c r="J15" s="149"/>
      <c r="K15" s="149"/>
      <c r="L15" s="38"/>
      <c r="M15" s="38"/>
      <c r="N15" s="38"/>
      <c r="O15" s="38"/>
      <c r="P15" s="38"/>
      <c r="Q15" s="38"/>
      <c r="R15" s="38"/>
      <c r="S15" s="38"/>
      <c r="T15" s="38"/>
      <c r="U15" s="38"/>
      <c r="V15" s="38"/>
      <c r="W15" s="38"/>
      <c r="X15" s="38"/>
    </row>
    <row r="16">
      <c r="A16" s="130"/>
      <c r="B16" s="136"/>
      <c r="C16" s="91" t="s">
        <v>263</v>
      </c>
      <c r="D16" s="91" t="s">
        <v>266</v>
      </c>
      <c r="E16" s="136"/>
      <c r="F16" s="152"/>
      <c r="G16" s="38"/>
      <c r="H16" s="145"/>
      <c r="I16" s="147"/>
      <c r="J16" s="149"/>
      <c r="K16" s="149"/>
      <c r="L16" s="38"/>
      <c r="M16" s="38"/>
      <c r="N16" s="38"/>
      <c r="O16" s="38"/>
      <c r="P16" s="38"/>
      <c r="Q16" s="38"/>
      <c r="R16" s="38"/>
      <c r="S16" s="38"/>
      <c r="T16" s="38"/>
      <c r="U16" s="38"/>
      <c r="V16" s="38"/>
      <c r="W16" s="38"/>
      <c r="X16" s="38"/>
    </row>
    <row r="17">
      <c r="A17" s="130"/>
      <c r="B17" s="136"/>
      <c r="C17" s="91" t="s">
        <v>270</v>
      </c>
      <c r="D17" s="91" t="s">
        <v>272</v>
      </c>
      <c r="E17" s="136"/>
      <c r="F17" s="152"/>
      <c r="G17" s="38"/>
      <c r="H17" s="145"/>
      <c r="I17" s="147"/>
      <c r="J17" s="149"/>
      <c r="K17" s="149"/>
      <c r="L17" s="38"/>
      <c r="M17" s="38"/>
      <c r="N17" s="38"/>
      <c r="O17" s="38"/>
      <c r="P17" s="38"/>
      <c r="Q17" s="38"/>
      <c r="R17" s="38"/>
      <c r="S17" s="38"/>
      <c r="T17" s="38"/>
      <c r="U17" s="38"/>
      <c r="V17" s="38"/>
      <c r="W17" s="38"/>
      <c r="X17" s="38"/>
    </row>
    <row r="18">
      <c r="A18" s="130"/>
      <c r="B18" s="136"/>
      <c r="C18" s="91" t="s">
        <v>274</v>
      </c>
      <c r="D18" s="91" t="s">
        <v>275</v>
      </c>
      <c r="E18" s="136"/>
      <c r="F18" s="152"/>
      <c r="G18" s="38"/>
      <c r="L18" s="38"/>
      <c r="M18" s="38"/>
      <c r="N18" s="38"/>
      <c r="O18" s="38"/>
      <c r="P18" s="38"/>
      <c r="Q18" s="38"/>
      <c r="R18" s="38"/>
      <c r="S18" s="38"/>
      <c r="T18" s="38"/>
      <c r="U18" s="38"/>
      <c r="V18" s="38"/>
      <c r="W18" s="38"/>
      <c r="X18" s="38"/>
    </row>
    <row r="19">
      <c r="A19" s="130"/>
      <c r="B19" s="136"/>
      <c r="C19" s="136"/>
      <c r="D19" s="91" t="s">
        <v>276</v>
      </c>
      <c r="E19" s="136"/>
      <c r="F19" s="152"/>
      <c r="G19" s="38"/>
      <c r="H19" s="158"/>
      <c r="I19" s="38"/>
      <c r="J19" s="38"/>
      <c r="K19" s="38"/>
      <c r="L19" s="38"/>
      <c r="M19" s="38"/>
      <c r="N19" s="38"/>
      <c r="O19" s="38"/>
      <c r="P19" s="38"/>
      <c r="Q19" s="38"/>
      <c r="R19" s="38"/>
      <c r="S19" s="38"/>
      <c r="T19" s="38"/>
      <c r="U19" s="38"/>
      <c r="V19" s="38"/>
      <c r="W19" s="38"/>
      <c r="X19" s="38"/>
    </row>
    <row r="20">
      <c r="A20" s="130"/>
      <c r="B20" s="136"/>
      <c r="C20" s="136"/>
      <c r="D20" s="91" t="s">
        <v>281</v>
      </c>
      <c r="E20" s="136"/>
      <c r="F20" s="152"/>
      <c r="G20" s="38"/>
      <c r="H20" s="38"/>
      <c r="I20" s="38"/>
      <c r="J20" s="38"/>
      <c r="K20" s="38"/>
      <c r="L20" s="38"/>
      <c r="M20" s="38"/>
      <c r="N20" s="38"/>
      <c r="O20" s="38"/>
      <c r="P20" s="38"/>
      <c r="Q20" s="38"/>
      <c r="R20" s="38"/>
      <c r="S20" s="38"/>
      <c r="T20" s="38"/>
      <c r="U20" s="38"/>
      <c r="V20" s="38"/>
      <c r="W20" s="38"/>
      <c r="X20" s="38"/>
    </row>
    <row r="21">
      <c r="A21" s="130"/>
      <c r="B21" s="136"/>
      <c r="C21" s="136"/>
      <c r="D21" s="91" t="s">
        <v>287</v>
      </c>
      <c r="E21" s="136"/>
      <c r="F21" s="152"/>
      <c r="G21" s="38"/>
      <c r="H21" s="38"/>
      <c r="I21" s="38"/>
      <c r="J21" s="38"/>
      <c r="K21" s="38"/>
      <c r="L21" s="38"/>
      <c r="M21" s="38"/>
      <c r="N21" s="38"/>
      <c r="O21" s="38"/>
      <c r="P21" s="38"/>
      <c r="Q21" s="38"/>
      <c r="R21" s="38"/>
      <c r="S21" s="38"/>
      <c r="T21" s="38"/>
      <c r="U21" s="38"/>
      <c r="V21" s="38"/>
      <c r="W21" s="38"/>
      <c r="X21" s="38"/>
    </row>
    <row r="22">
      <c r="A22" s="130"/>
      <c r="B22" s="136"/>
      <c r="C22" s="136"/>
      <c r="D22" s="91" t="s">
        <v>289</v>
      </c>
      <c r="E22" s="136"/>
      <c r="F22" s="152"/>
      <c r="G22" s="38"/>
      <c r="H22" s="38"/>
      <c r="I22" s="38"/>
      <c r="J22" s="38"/>
      <c r="K22" s="38"/>
      <c r="L22" s="38"/>
      <c r="M22" s="38"/>
      <c r="N22" s="38"/>
      <c r="O22" s="38"/>
      <c r="P22" s="38"/>
      <c r="Q22" s="38"/>
      <c r="R22" s="38"/>
      <c r="S22" s="38"/>
      <c r="T22" s="38"/>
      <c r="U22" s="38"/>
      <c r="V22" s="38"/>
      <c r="W22" s="38"/>
      <c r="X22" s="38"/>
    </row>
    <row r="23">
      <c r="A23" s="130"/>
      <c r="B23" s="136"/>
      <c r="C23" s="136"/>
      <c r="D23" s="91" t="s">
        <v>290</v>
      </c>
      <c r="E23" s="136"/>
      <c r="F23" s="152"/>
      <c r="G23" s="38"/>
      <c r="H23" s="38"/>
      <c r="I23" s="38"/>
      <c r="J23" s="38"/>
      <c r="K23" s="38"/>
      <c r="L23" s="38"/>
      <c r="M23" s="38"/>
      <c r="N23" s="38"/>
      <c r="O23" s="38"/>
      <c r="P23" s="38"/>
      <c r="Q23" s="38"/>
      <c r="R23" s="38"/>
      <c r="S23" s="38"/>
      <c r="T23" s="38"/>
      <c r="U23" s="38"/>
      <c r="V23" s="38"/>
      <c r="W23" s="38"/>
      <c r="X23" s="38"/>
    </row>
    <row r="24">
      <c r="A24" s="130"/>
      <c r="B24" s="136"/>
      <c r="C24" s="136"/>
      <c r="D24" s="91" t="s">
        <v>291</v>
      </c>
      <c r="E24" s="136"/>
      <c r="F24" s="152"/>
      <c r="G24" s="38"/>
      <c r="H24" s="38"/>
      <c r="I24" s="38"/>
      <c r="J24" s="38"/>
      <c r="K24" s="38"/>
      <c r="L24" s="38"/>
      <c r="M24" s="38"/>
      <c r="N24" s="38"/>
      <c r="O24" s="38"/>
      <c r="P24" s="38"/>
      <c r="Q24" s="38"/>
      <c r="R24" s="38"/>
      <c r="S24" s="38"/>
      <c r="T24" s="38"/>
      <c r="U24" s="38"/>
      <c r="V24" s="38"/>
      <c r="W24" s="38"/>
      <c r="X24" s="38"/>
    </row>
    <row r="25">
      <c r="A25" s="130"/>
      <c r="B25" s="136"/>
      <c r="C25" s="136"/>
      <c r="D25" s="91" t="s">
        <v>294</v>
      </c>
      <c r="E25" s="136"/>
      <c r="F25" s="152"/>
      <c r="G25" s="38"/>
      <c r="H25" s="38"/>
      <c r="I25" s="38"/>
      <c r="J25" s="38"/>
      <c r="K25" s="38"/>
      <c r="L25" s="38"/>
      <c r="M25" s="38"/>
      <c r="N25" s="38"/>
      <c r="O25" s="38"/>
      <c r="P25" s="38"/>
      <c r="Q25" s="38"/>
      <c r="R25" s="38"/>
      <c r="S25" s="38"/>
      <c r="T25" s="38"/>
      <c r="U25" s="38"/>
      <c r="V25" s="38"/>
      <c r="W25" s="38"/>
      <c r="X25" s="38"/>
    </row>
    <row r="26">
      <c r="A26" s="130"/>
      <c r="B26" s="136"/>
      <c r="C26" s="136"/>
      <c r="D26" s="91" t="s">
        <v>303</v>
      </c>
      <c r="E26" s="136"/>
      <c r="F26" s="152"/>
      <c r="G26" s="38"/>
      <c r="H26" s="38"/>
      <c r="I26" s="38"/>
      <c r="J26" s="38"/>
      <c r="K26" s="38"/>
      <c r="L26" s="38"/>
      <c r="M26" s="38"/>
      <c r="N26" s="38"/>
      <c r="O26" s="38"/>
      <c r="P26" s="38"/>
      <c r="Q26" s="38"/>
      <c r="R26" s="38"/>
      <c r="S26" s="38"/>
      <c r="T26" s="38"/>
      <c r="U26" s="38"/>
      <c r="V26" s="38"/>
      <c r="W26" s="38"/>
      <c r="X26" s="38"/>
    </row>
    <row r="27">
      <c r="A27" s="130"/>
      <c r="B27" s="136"/>
      <c r="C27" s="136"/>
      <c r="D27" s="91" t="s">
        <v>314</v>
      </c>
      <c r="E27" s="136"/>
      <c r="F27" s="152"/>
      <c r="G27" s="38"/>
      <c r="H27" s="38"/>
      <c r="I27" s="38"/>
      <c r="J27" s="38"/>
      <c r="K27" s="38"/>
      <c r="L27" s="38"/>
      <c r="M27" s="38"/>
      <c r="N27" s="38"/>
      <c r="O27" s="38"/>
      <c r="P27" s="38"/>
      <c r="Q27" s="38"/>
      <c r="R27" s="38"/>
      <c r="S27" s="38"/>
      <c r="T27" s="38"/>
      <c r="U27" s="38"/>
      <c r="V27" s="38"/>
      <c r="W27" s="38"/>
      <c r="X27" s="38"/>
    </row>
    <row r="28">
      <c r="A28" s="130"/>
      <c r="B28" s="136"/>
      <c r="C28" s="136"/>
      <c r="D28" s="91" t="s">
        <v>324</v>
      </c>
      <c r="E28" s="136"/>
      <c r="F28" s="152"/>
      <c r="G28" s="38"/>
      <c r="H28" s="38"/>
      <c r="I28" s="38"/>
      <c r="J28" s="38"/>
      <c r="K28" s="38"/>
      <c r="L28" s="38"/>
      <c r="M28" s="38"/>
      <c r="N28" s="38"/>
      <c r="O28" s="38"/>
      <c r="P28" s="38"/>
      <c r="Q28" s="38"/>
      <c r="R28" s="38"/>
      <c r="S28" s="38"/>
      <c r="T28" s="38"/>
      <c r="U28" s="38"/>
      <c r="V28" s="38"/>
      <c r="W28" s="38"/>
      <c r="X28" s="38"/>
    </row>
    <row r="29">
      <c r="A29" s="130"/>
      <c r="B29" s="136"/>
      <c r="C29" s="136"/>
      <c r="D29" s="91" t="s">
        <v>325</v>
      </c>
      <c r="E29" s="136"/>
      <c r="F29" s="152"/>
      <c r="G29" s="38"/>
      <c r="H29" s="38"/>
      <c r="I29" s="38"/>
      <c r="J29" s="38"/>
      <c r="K29" s="38"/>
      <c r="L29" s="38"/>
      <c r="M29" s="38"/>
      <c r="N29" s="38"/>
      <c r="O29" s="38"/>
      <c r="P29" s="38"/>
      <c r="Q29" s="38"/>
      <c r="R29" s="38"/>
      <c r="S29" s="38"/>
      <c r="T29" s="38"/>
      <c r="U29" s="38"/>
      <c r="V29" s="38"/>
      <c r="W29" s="38"/>
      <c r="X29" s="38"/>
    </row>
    <row r="30">
      <c r="A30" s="164"/>
      <c r="B30" s="165"/>
      <c r="C30" s="165"/>
      <c r="D30" s="166" t="s">
        <v>329</v>
      </c>
      <c r="E30" s="165"/>
      <c r="F30" s="167"/>
      <c r="G30" s="38"/>
      <c r="H30" s="38"/>
      <c r="I30" s="38"/>
      <c r="J30" s="38"/>
      <c r="K30" s="38"/>
      <c r="L30" s="38"/>
      <c r="M30" s="38"/>
      <c r="N30" s="38"/>
      <c r="O30" s="38"/>
      <c r="P30" s="38"/>
      <c r="Q30" s="38"/>
      <c r="R30" s="38"/>
      <c r="S30" s="38"/>
      <c r="T30" s="38"/>
      <c r="U30" s="38"/>
      <c r="V30" s="38"/>
      <c r="W30" s="38"/>
      <c r="X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row>
    <row r="54">
      <c r="H54" s="38"/>
      <c r="I54" s="38"/>
      <c r="J54" s="38"/>
      <c r="K54" s="38"/>
      <c r="L54" s="38"/>
      <c r="M54" s="38"/>
      <c r="N54" s="38"/>
      <c r="O54" s="38"/>
      <c r="P54" s="38"/>
      <c r="Q54" s="38"/>
      <c r="R54" s="38"/>
      <c r="S54" s="38"/>
      <c r="T54" s="38"/>
      <c r="U54" s="38"/>
      <c r="V54" s="38"/>
      <c r="W54" s="38"/>
      <c r="X54" s="38"/>
    </row>
    <row r="55">
      <c r="H55" s="38"/>
      <c r="I55" s="38"/>
      <c r="J55" s="38"/>
      <c r="K55" s="38"/>
      <c r="L55" s="38"/>
      <c r="M55" s="38"/>
      <c r="N55" s="38"/>
      <c r="O55" s="38"/>
      <c r="P55" s="38"/>
      <c r="Q55" s="38"/>
      <c r="R55" s="38"/>
      <c r="S55" s="38"/>
      <c r="T55" s="38"/>
      <c r="U55" s="38"/>
      <c r="V55" s="38"/>
      <c r="W55" s="38"/>
      <c r="X55" s="38"/>
    </row>
    <row r="56">
      <c r="H56" s="38"/>
      <c r="I56" s="38"/>
      <c r="J56" s="38"/>
      <c r="K56" s="38"/>
      <c r="L56" s="38"/>
      <c r="M56" s="38"/>
      <c r="N56" s="38"/>
      <c r="O56" s="38"/>
      <c r="P56" s="38"/>
      <c r="Q56" s="38"/>
      <c r="R56" s="38"/>
      <c r="S56" s="38"/>
      <c r="T56" s="38"/>
      <c r="U56" s="38"/>
      <c r="V56" s="38"/>
      <c r="W56" s="38"/>
      <c r="X56" s="38"/>
    </row>
    <row r="57">
      <c r="H57" s="38"/>
      <c r="I57" s="38"/>
      <c r="J57" s="38"/>
      <c r="K57" s="38"/>
      <c r="L57" s="38"/>
      <c r="M57" s="38"/>
      <c r="N57" s="38"/>
      <c r="O57" s="38"/>
      <c r="P57" s="38"/>
      <c r="Q57" s="38"/>
      <c r="R57" s="38"/>
      <c r="S57" s="38"/>
      <c r="T57" s="38"/>
      <c r="U57" s="38"/>
      <c r="V57" s="38"/>
      <c r="W57" s="38"/>
      <c r="X57" s="38"/>
    </row>
    <row r="58">
      <c r="I58" s="38"/>
      <c r="J58" s="38"/>
      <c r="K58" s="38"/>
      <c r="L58" s="38"/>
      <c r="M58" s="38"/>
      <c r="N58" s="38"/>
      <c r="O58" s="38"/>
      <c r="P58" s="38"/>
      <c r="Q58" s="38"/>
      <c r="R58" s="38"/>
      <c r="S58" s="38"/>
      <c r="T58" s="38"/>
      <c r="U58" s="38"/>
      <c r="V58" s="38"/>
      <c r="W58" s="38"/>
      <c r="X58" s="38"/>
    </row>
    <row r="59">
      <c r="H59" s="38"/>
      <c r="I59" s="38"/>
      <c r="J59" s="38"/>
      <c r="K59" s="38"/>
      <c r="L59" s="38"/>
      <c r="M59" s="38"/>
      <c r="N59" s="38"/>
      <c r="O59" s="38"/>
      <c r="P59" s="38"/>
      <c r="Q59" s="38"/>
      <c r="R59" s="38"/>
      <c r="S59" s="38"/>
      <c r="T59" s="38"/>
      <c r="U59" s="38"/>
      <c r="V59" s="38"/>
      <c r="W59" s="38"/>
      <c r="X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row>
    <row r="10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row>
  </sheetData>
  <mergeCells count="7">
    <mergeCell ref="H1:K1"/>
    <mergeCell ref="H7:J7"/>
    <mergeCell ref="H8:J8"/>
    <mergeCell ref="H9:J9"/>
    <mergeCell ref="H10:J10"/>
    <mergeCell ref="H11:J11"/>
    <mergeCell ref="H12:J12"/>
  </mergeCells>
  <dataValidations>
    <dataValidation type="list" allowBlank="1" showErrorMessage="1" sqref="C2:C18">
      <formula1>"Entrevista,Exposição (instalação) ,Filme,Folheto ,Fotografia,Jornal ,Laudo,Livro,Música,Notícia,Periódico,Petição,Poema,Programa (rádio e TV) ,Prontuário,Relato,Relatório"</formula1>
    </dataValidation>
    <dataValidation type="list" allowBlank="1" showErrorMessage="1" sqref="B2:B15">
      <formula1>"Arquitetônico,Audiovisual,Bibliográfico,Cartográfico,Cinematográfico,Eletrônico,Filmográfico,Fonográfico,Hemerográfico,Iconográfico,Sonoro,Táctil*,Textual,Tridimensional "</formula1>
    </dataValidation>
    <dataValidation type="list" allowBlank="1" showErrorMessage="1" sqref="E2:E9">
      <formula1>"Derivada bruta (produção automática),Derivada bruta (produção manual),Derivada tratada (tratamento conhecido),Derivada tratada (tratamento desconhecido),Matriz bruta (produção automática),Matriz bruta (produção manual),Matriz tratada (tratamento conhecido"&amp;"),Matriz tratada (tratamento desconhecido) "</formula1>
    </dataValidation>
    <dataValidation type="list" allowBlank="1" showErrorMessage="1" sqref="D2:D30">
      <formula1>"Ampliação (fotográfica),Apresentação (digital) ,Áudio (digital),Contato (fotográfico),Dados (digital) ,Datilografado,Desenho à mão,Digital,Digitalizado,Exposição fotográfica,Filmagem (analógico),Filmagem (convencional) ,Filmagem (geral) ,Fotografia (expos"&amp;"ição fotográfica) ,Gravação (analógico),Gravação (convencional) ,Gravação (geral) ,Imagem (digital) ,Imagem matricial (digital) ,Imagem vetorial (digital),Impresso ,Manuscrito ,Microfilmagem ,Nato-digital,Negativo (fotográfico) ,Técnica não determinada,Té"&amp;"cnica varia,Texto (digital),Vídeo (digital)"</formula1>
    </dataValidation>
    <dataValidation type="list" allowBlank="1" showErrorMessage="1" sqref="A2:A8">
      <formula1>"Atividade de Cultura e Extensão,Atividade de Cultura e Extensão Universitária,Atuação política,Documentação institucional,Manifestação artístico-cultural,Produção midiática,Roteiro histórico"</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51.38"/>
  </cols>
  <sheetData>
    <row r="1">
      <c r="A1" s="92"/>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row>
    <row r="2">
      <c r="A2" s="96" t="s">
        <v>95</v>
      </c>
      <c r="B2" s="98" t="s">
        <v>98</v>
      </c>
      <c r="C2" s="98"/>
      <c r="D2" s="92"/>
      <c r="E2" s="99" t="s">
        <v>100</v>
      </c>
      <c r="F2" s="92"/>
      <c r="G2" s="99" t="s">
        <v>102</v>
      </c>
      <c r="H2" s="92"/>
      <c r="I2" s="92"/>
      <c r="J2" s="92"/>
      <c r="K2" s="92"/>
      <c r="L2" s="92"/>
      <c r="M2" s="92"/>
      <c r="N2" s="92"/>
      <c r="O2" s="92"/>
      <c r="P2" s="92"/>
      <c r="Q2" s="92"/>
      <c r="R2" s="92"/>
      <c r="S2" s="92"/>
      <c r="T2" s="92"/>
      <c r="U2" s="92"/>
      <c r="V2" s="92"/>
      <c r="W2" s="92"/>
      <c r="X2" s="92"/>
      <c r="Y2" s="92"/>
      <c r="Z2" s="92"/>
      <c r="AA2" s="92"/>
      <c r="AB2" s="92"/>
      <c r="AC2" s="92"/>
      <c r="AD2" s="92"/>
      <c r="AE2" s="92"/>
      <c r="AF2" s="92"/>
      <c r="AG2" s="92"/>
      <c r="AH2" s="92"/>
    </row>
    <row r="3">
      <c r="A3" s="103" t="s">
        <v>109</v>
      </c>
      <c r="B3" s="106" t="s">
        <v>112</v>
      </c>
      <c r="C3" s="106"/>
      <c r="D3" s="99" t="s">
        <v>113</v>
      </c>
      <c r="E3" s="109" t="s">
        <v>114</v>
      </c>
      <c r="F3" s="92"/>
      <c r="G3" s="111" t="s">
        <v>115</v>
      </c>
      <c r="H3" s="92"/>
      <c r="I3" s="92"/>
      <c r="J3" s="114" t="s">
        <v>117</v>
      </c>
      <c r="K3" s="92"/>
      <c r="L3" s="92"/>
      <c r="M3" s="92"/>
      <c r="N3" s="92"/>
      <c r="O3" s="92"/>
      <c r="P3" s="92"/>
      <c r="Q3" s="92"/>
      <c r="R3" s="92"/>
      <c r="S3" s="92"/>
      <c r="T3" s="92"/>
      <c r="U3" s="92"/>
      <c r="V3" s="92"/>
      <c r="W3" s="92"/>
      <c r="X3" s="92"/>
      <c r="Y3" s="92"/>
      <c r="Z3" s="92"/>
      <c r="AA3" s="92"/>
      <c r="AB3" s="92"/>
      <c r="AC3" s="92"/>
      <c r="AD3" s="92"/>
      <c r="AE3" s="92"/>
      <c r="AF3" s="92"/>
      <c r="AG3" s="92"/>
      <c r="AH3" s="92"/>
    </row>
    <row r="4">
      <c r="A4" s="111" t="s">
        <v>121</v>
      </c>
      <c r="B4" s="117" t="s">
        <v>123</v>
      </c>
      <c r="C4" s="117"/>
      <c r="D4" s="99" t="s">
        <v>127</v>
      </c>
      <c r="E4" s="92"/>
      <c r="F4" s="92"/>
      <c r="G4" s="103" t="s">
        <v>128</v>
      </c>
      <c r="H4" s="92"/>
      <c r="I4" s="92"/>
      <c r="J4" s="99" t="s">
        <v>129</v>
      </c>
      <c r="K4" s="92"/>
      <c r="L4" s="92"/>
      <c r="M4" s="92"/>
      <c r="N4" s="92"/>
      <c r="O4" s="92"/>
      <c r="P4" s="92"/>
      <c r="Q4" s="92"/>
      <c r="R4" s="92"/>
      <c r="S4" s="92"/>
      <c r="T4" s="92"/>
      <c r="U4" s="92"/>
      <c r="V4" s="92"/>
      <c r="W4" s="92"/>
      <c r="X4" s="92"/>
      <c r="Y4" s="92"/>
      <c r="Z4" s="92"/>
      <c r="AA4" s="92"/>
      <c r="AB4" s="92"/>
      <c r="AC4" s="92"/>
      <c r="AD4" s="92"/>
      <c r="AE4" s="92"/>
      <c r="AF4" s="92"/>
      <c r="AG4" s="92"/>
      <c r="AH4" s="92"/>
    </row>
    <row r="5">
      <c r="A5" s="111" t="s">
        <v>133</v>
      </c>
      <c r="B5" s="118" t="s">
        <v>134</v>
      </c>
      <c r="C5" s="121" t="s">
        <v>135</v>
      </c>
      <c r="D5" s="92"/>
      <c r="E5" s="92"/>
      <c r="F5" s="92"/>
      <c r="G5" s="111" t="s">
        <v>167</v>
      </c>
      <c r="H5" s="92"/>
      <c r="I5" s="92"/>
      <c r="J5" s="114"/>
      <c r="K5" s="92"/>
      <c r="L5" s="92"/>
      <c r="M5" s="92"/>
      <c r="N5" s="92"/>
      <c r="O5" s="92"/>
      <c r="P5" s="92"/>
      <c r="Q5" s="92"/>
      <c r="R5" s="92"/>
      <c r="S5" s="92"/>
      <c r="T5" s="92"/>
      <c r="U5" s="92"/>
      <c r="V5" s="92"/>
      <c r="W5" s="92"/>
      <c r="X5" s="92"/>
      <c r="Y5" s="92"/>
      <c r="Z5" s="92"/>
      <c r="AA5" s="92"/>
      <c r="AB5" s="92"/>
      <c r="AC5" s="92"/>
      <c r="AD5" s="92"/>
      <c r="AE5" s="92"/>
      <c r="AF5" s="92"/>
      <c r="AG5" s="92"/>
      <c r="AH5" s="92"/>
    </row>
    <row r="6">
      <c r="A6" s="111" t="s">
        <v>176</v>
      </c>
      <c r="B6" s="118" t="s">
        <v>178</v>
      </c>
      <c r="C6" s="121" t="s">
        <v>180</v>
      </c>
      <c r="D6" s="92"/>
      <c r="E6" s="92"/>
      <c r="F6" s="92"/>
      <c r="G6" s="92"/>
      <c r="H6" s="92"/>
      <c r="I6" s="92"/>
      <c r="J6" s="117"/>
      <c r="K6" s="92"/>
      <c r="L6" s="92"/>
      <c r="M6" s="92"/>
      <c r="N6" s="92"/>
      <c r="O6" s="92"/>
      <c r="P6" s="92"/>
      <c r="Q6" s="92"/>
      <c r="R6" s="92"/>
      <c r="S6" s="92"/>
      <c r="T6" s="92"/>
      <c r="U6" s="92"/>
      <c r="V6" s="92"/>
      <c r="W6" s="92"/>
      <c r="X6" s="92"/>
      <c r="Y6" s="92"/>
      <c r="Z6" s="92"/>
      <c r="AA6" s="92"/>
      <c r="AB6" s="92"/>
      <c r="AC6" s="92"/>
      <c r="AD6" s="92"/>
      <c r="AE6" s="92"/>
      <c r="AF6" s="92"/>
      <c r="AG6" s="92"/>
      <c r="AH6" s="92"/>
    </row>
    <row r="7">
      <c r="A7" s="111" t="s">
        <v>208</v>
      </c>
      <c r="B7" s="118" t="s">
        <v>209</v>
      </c>
      <c r="C7" s="121" t="s">
        <v>210</v>
      </c>
      <c r="D7" s="92"/>
      <c r="E7" s="92"/>
      <c r="F7" s="92"/>
      <c r="G7" s="92"/>
      <c r="H7" s="92"/>
      <c r="I7" s="92"/>
      <c r="J7" s="117"/>
      <c r="K7" s="92"/>
      <c r="L7" s="92"/>
      <c r="M7" s="92"/>
      <c r="N7" s="92"/>
      <c r="O7" s="92"/>
      <c r="P7" s="92"/>
      <c r="Q7" s="92"/>
      <c r="R7" s="92"/>
      <c r="S7" s="92"/>
      <c r="T7" s="92"/>
      <c r="U7" s="92"/>
      <c r="V7" s="92"/>
      <c r="W7" s="92"/>
      <c r="X7" s="92"/>
      <c r="Y7" s="92"/>
      <c r="Z7" s="92"/>
      <c r="AA7" s="92"/>
      <c r="AB7" s="92"/>
      <c r="AC7" s="92"/>
      <c r="AD7" s="92"/>
      <c r="AE7" s="92"/>
      <c r="AF7" s="92"/>
      <c r="AG7" s="92"/>
      <c r="AH7" s="92"/>
    </row>
    <row r="8">
      <c r="A8" s="111" t="s">
        <v>218</v>
      </c>
      <c r="B8" s="117" t="s">
        <v>219</v>
      </c>
      <c r="C8" s="121" t="s">
        <v>220</v>
      </c>
      <c r="D8" s="92"/>
      <c r="E8" s="92"/>
      <c r="F8" s="92"/>
      <c r="G8" s="92"/>
      <c r="H8" s="92"/>
      <c r="I8" s="92"/>
      <c r="J8" s="117"/>
      <c r="K8" s="92"/>
      <c r="L8" s="92"/>
      <c r="M8" s="92"/>
      <c r="N8" s="92"/>
      <c r="O8" s="92"/>
      <c r="P8" s="92"/>
      <c r="Q8" s="92"/>
      <c r="R8" s="92"/>
      <c r="S8" s="92"/>
      <c r="T8" s="92"/>
      <c r="U8" s="92"/>
      <c r="V8" s="92"/>
      <c r="W8" s="92"/>
      <c r="X8" s="92"/>
      <c r="Y8" s="92"/>
      <c r="Z8" s="92"/>
      <c r="AA8" s="92"/>
      <c r="AB8" s="92"/>
      <c r="AC8" s="92"/>
      <c r="AD8" s="92"/>
      <c r="AE8" s="92"/>
      <c r="AF8" s="92"/>
      <c r="AG8" s="92"/>
      <c r="AH8" s="92"/>
    </row>
    <row r="9">
      <c r="A9" s="150" t="s">
        <v>245</v>
      </c>
      <c r="B9" s="150" t="s">
        <v>249</v>
      </c>
      <c r="C9" s="150" t="s">
        <v>250</v>
      </c>
      <c r="D9" s="92"/>
      <c r="E9" s="92"/>
      <c r="F9" s="92"/>
      <c r="G9" s="92"/>
      <c r="H9" s="92"/>
      <c r="I9" s="92"/>
      <c r="J9" s="106"/>
      <c r="K9" s="92"/>
      <c r="L9" s="92"/>
      <c r="M9" s="92"/>
      <c r="N9" s="92"/>
      <c r="O9" s="92"/>
      <c r="P9" s="92"/>
      <c r="Q9" s="92"/>
      <c r="R9" s="92"/>
      <c r="S9" s="92"/>
      <c r="T9" s="92"/>
      <c r="U9" s="92"/>
      <c r="V9" s="92"/>
      <c r="W9" s="92"/>
      <c r="X9" s="92"/>
      <c r="Y9" s="92"/>
      <c r="Z9" s="92"/>
      <c r="AA9" s="92"/>
      <c r="AB9" s="92"/>
      <c r="AC9" s="92"/>
      <c r="AD9" s="92"/>
      <c r="AE9" s="92"/>
      <c r="AF9" s="92"/>
      <c r="AG9" s="92"/>
      <c r="AH9" s="92"/>
    </row>
    <row r="10">
      <c r="A10" s="111" t="s">
        <v>260</v>
      </c>
      <c r="B10" s="117" t="s">
        <v>262</v>
      </c>
      <c r="C10" s="121" t="s">
        <v>265</v>
      </c>
      <c r="D10" s="92"/>
      <c r="E10" s="92"/>
      <c r="F10" s="92"/>
      <c r="G10" s="92"/>
      <c r="H10" s="92"/>
      <c r="I10" s="92"/>
      <c r="J10" s="99"/>
      <c r="K10" s="92"/>
      <c r="L10" s="92"/>
      <c r="M10" s="92"/>
      <c r="N10" s="92"/>
      <c r="O10" s="92"/>
      <c r="P10" s="92"/>
      <c r="Q10" s="92"/>
      <c r="R10" s="92"/>
      <c r="S10" s="92"/>
      <c r="T10" s="92"/>
      <c r="U10" s="92"/>
      <c r="V10" s="92"/>
      <c r="W10" s="92"/>
      <c r="X10" s="92"/>
      <c r="Y10" s="92"/>
      <c r="Z10" s="92"/>
      <c r="AA10" s="92"/>
      <c r="AB10" s="92"/>
      <c r="AC10" s="92"/>
      <c r="AD10" s="92"/>
      <c r="AE10" s="92"/>
      <c r="AF10" s="92"/>
      <c r="AG10" s="92"/>
      <c r="AH10" s="92"/>
    </row>
    <row r="11">
      <c r="A11" s="103" t="s">
        <v>278</v>
      </c>
      <c r="B11" s="106" t="s">
        <v>249</v>
      </c>
      <c r="C11" s="161" t="s">
        <v>280</v>
      </c>
      <c r="D11" s="92"/>
      <c r="E11" s="92"/>
      <c r="F11" s="92"/>
      <c r="G11" s="92"/>
      <c r="H11" s="92"/>
      <c r="I11" s="92"/>
      <c r="J11" s="117"/>
      <c r="K11" s="92"/>
      <c r="L11" s="92"/>
      <c r="M11" s="92"/>
      <c r="N11" s="92"/>
      <c r="O11" s="92"/>
      <c r="P11" s="92"/>
      <c r="Q11" s="92"/>
      <c r="R11" s="92"/>
      <c r="S11" s="92"/>
      <c r="T11" s="92"/>
      <c r="U11" s="92"/>
      <c r="V11" s="92"/>
      <c r="W11" s="92"/>
      <c r="X11" s="92"/>
      <c r="Y11" s="92"/>
      <c r="Z11" s="92"/>
      <c r="AA11" s="92"/>
      <c r="AB11" s="92"/>
      <c r="AC11" s="92"/>
      <c r="AD11" s="92"/>
      <c r="AE11" s="92"/>
      <c r="AF11" s="92"/>
      <c r="AG11" s="92"/>
      <c r="AH11" s="92"/>
    </row>
    <row r="12">
      <c r="A12" s="117" t="s">
        <v>292</v>
      </c>
      <c r="B12" s="117" t="s">
        <v>293</v>
      </c>
      <c r="C12" s="117"/>
      <c r="D12" s="92"/>
      <c r="E12" s="92"/>
      <c r="F12" s="92"/>
      <c r="G12" s="92"/>
      <c r="H12" s="92"/>
      <c r="I12" s="99" t="s">
        <v>295</v>
      </c>
      <c r="J12" s="117"/>
      <c r="K12" s="92"/>
      <c r="L12" s="92"/>
      <c r="M12" s="92"/>
      <c r="N12" s="92"/>
      <c r="O12" s="92"/>
      <c r="P12" s="92"/>
      <c r="Q12" s="92"/>
      <c r="R12" s="92"/>
      <c r="S12" s="92"/>
      <c r="T12" s="92"/>
      <c r="U12" s="92"/>
      <c r="V12" s="92"/>
      <c r="W12" s="92"/>
      <c r="X12" s="92"/>
      <c r="Y12" s="92"/>
      <c r="Z12" s="92"/>
      <c r="AA12" s="92"/>
      <c r="AB12" s="92"/>
      <c r="AC12" s="92"/>
      <c r="AD12" s="92"/>
      <c r="AE12" s="92"/>
      <c r="AF12" s="92"/>
      <c r="AG12" s="92"/>
      <c r="AH12" s="92"/>
    </row>
    <row r="13">
      <c r="A13" s="117" t="s">
        <v>301</v>
      </c>
      <c r="B13" s="118" t="s">
        <v>304</v>
      </c>
      <c r="C13" s="121" t="s">
        <v>306</v>
      </c>
      <c r="D13" s="117"/>
      <c r="E13" s="99"/>
      <c r="F13" s="92"/>
      <c r="G13" s="92"/>
      <c r="H13" s="92"/>
      <c r="I13" s="103" t="s">
        <v>326</v>
      </c>
      <c r="J13" s="117"/>
      <c r="K13" s="92"/>
      <c r="L13" s="92"/>
      <c r="M13" s="92"/>
      <c r="N13" s="92"/>
      <c r="O13" s="92"/>
      <c r="P13" s="92"/>
      <c r="Q13" s="92"/>
      <c r="R13" s="92"/>
      <c r="S13" s="92"/>
      <c r="T13" s="92"/>
      <c r="U13" s="92"/>
      <c r="V13" s="92"/>
      <c r="W13" s="92"/>
      <c r="X13" s="92"/>
      <c r="Y13" s="92"/>
      <c r="Z13" s="92"/>
      <c r="AA13" s="92"/>
      <c r="AB13" s="92"/>
      <c r="AC13" s="92"/>
      <c r="AD13" s="92"/>
      <c r="AE13" s="92"/>
      <c r="AF13" s="92"/>
      <c r="AG13" s="92"/>
      <c r="AH13" s="92"/>
    </row>
    <row r="14">
      <c r="A14" s="111" t="s">
        <v>327</v>
      </c>
      <c r="B14" s="118" t="s">
        <v>178</v>
      </c>
      <c r="C14" s="121" t="s">
        <v>328</v>
      </c>
      <c r="D14" s="92"/>
      <c r="E14" s="92"/>
      <c r="F14" s="92"/>
      <c r="G14" s="92"/>
      <c r="H14" s="92"/>
      <c r="I14" s="92"/>
      <c r="J14" s="117"/>
      <c r="K14" s="92"/>
      <c r="L14" s="92"/>
      <c r="M14" s="92"/>
      <c r="N14" s="92"/>
      <c r="O14" s="92"/>
      <c r="P14" s="92"/>
      <c r="Q14" s="92"/>
      <c r="R14" s="92"/>
      <c r="S14" s="92"/>
      <c r="T14" s="92"/>
      <c r="U14" s="92"/>
      <c r="V14" s="92"/>
      <c r="W14" s="92"/>
      <c r="X14" s="92"/>
      <c r="Y14" s="92"/>
      <c r="Z14" s="92"/>
      <c r="AA14" s="92"/>
      <c r="AB14" s="92"/>
      <c r="AC14" s="92"/>
      <c r="AD14" s="92"/>
      <c r="AE14" s="92"/>
      <c r="AF14" s="92"/>
      <c r="AG14" s="92"/>
      <c r="AH14" s="92"/>
    </row>
    <row r="15">
      <c r="A15" s="111" t="s">
        <v>330</v>
      </c>
      <c r="B15" s="118" t="s">
        <v>178</v>
      </c>
      <c r="C15" s="121" t="s">
        <v>331</v>
      </c>
      <c r="D15" s="92"/>
      <c r="E15" s="92"/>
      <c r="F15" s="92"/>
      <c r="G15" s="92"/>
      <c r="H15" s="92"/>
      <c r="I15" s="92"/>
      <c r="J15" s="106"/>
      <c r="K15" s="92"/>
      <c r="L15" s="92"/>
      <c r="M15" s="92"/>
      <c r="N15" s="92"/>
      <c r="O15" s="92"/>
      <c r="P15" s="92"/>
      <c r="Q15" s="92"/>
      <c r="R15" s="92"/>
      <c r="S15" s="92"/>
      <c r="T15" s="92"/>
      <c r="U15" s="92"/>
      <c r="V15" s="92"/>
      <c r="W15" s="92"/>
      <c r="X15" s="92"/>
      <c r="Y15" s="92"/>
      <c r="Z15" s="92"/>
      <c r="AA15" s="92"/>
      <c r="AB15" s="92"/>
      <c r="AC15" s="92"/>
      <c r="AD15" s="92"/>
      <c r="AE15" s="92"/>
      <c r="AF15" s="92"/>
      <c r="AG15" s="92"/>
      <c r="AH15" s="92"/>
    </row>
    <row r="16">
      <c r="A16" s="117" t="s">
        <v>334</v>
      </c>
      <c r="B16" s="117" t="s">
        <v>178</v>
      </c>
      <c r="C16" s="168" t="s">
        <v>335</v>
      </c>
      <c r="D16" s="92"/>
      <c r="E16" s="92"/>
      <c r="F16" s="92"/>
      <c r="G16" s="92"/>
      <c r="H16" s="92"/>
      <c r="I16" s="92"/>
      <c r="J16" s="117"/>
      <c r="K16" s="92"/>
      <c r="L16" s="92"/>
      <c r="M16" s="92"/>
      <c r="N16" s="92"/>
      <c r="O16" s="92"/>
      <c r="P16" s="92"/>
      <c r="Q16" s="92"/>
      <c r="R16" s="92"/>
      <c r="S16" s="92"/>
      <c r="T16" s="92"/>
      <c r="U16" s="92"/>
      <c r="V16" s="92"/>
      <c r="W16" s="92"/>
      <c r="X16" s="92"/>
      <c r="Y16" s="92"/>
      <c r="Z16" s="92"/>
      <c r="AA16" s="92"/>
      <c r="AB16" s="92"/>
      <c r="AC16" s="92"/>
      <c r="AD16" s="92"/>
      <c r="AE16" s="92"/>
      <c r="AF16" s="92"/>
      <c r="AG16" s="92"/>
      <c r="AH16" s="92"/>
    </row>
    <row r="17">
      <c r="A17" s="111" t="s">
        <v>338</v>
      </c>
      <c r="B17" s="117" t="s">
        <v>339</v>
      </c>
      <c r="C17" s="168" t="s">
        <v>340</v>
      </c>
      <c r="D17" s="92"/>
      <c r="E17" s="92"/>
      <c r="F17" s="92"/>
      <c r="G17" s="92"/>
      <c r="H17" s="92"/>
      <c r="I17" s="92"/>
      <c r="J17" s="99"/>
      <c r="K17" s="92"/>
      <c r="L17" s="92"/>
      <c r="M17" s="92"/>
      <c r="N17" s="92"/>
      <c r="O17" s="92"/>
      <c r="P17" s="92"/>
      <c r="Q17" s="92"/>
      <c r="R17" s="92"/>
      <c r="S17" s="92"/>
      <c r="T17" s="92"/>
      <c r="U17" s="92"/>
      <c r="V17" s="92"/>
      <c r="W17" s="92"/>
      <c r="X17" s="92"/>
      <c r="Y17" s="92"/>
      <c r="Z17" s="92"/>
      <c r="AA17" s="92"/>
      <c r="AB17" s="92"/>
      <c r="AC17" s="92"/>
      <c r="AD17" s="92"/>
      <c r="AE17" s="92"/>
      <c r="AF17" s="92"/>
      <c r="AG17" s="92"/>
      <c r="AH17" s="92"/>
    </row>
    <row r="18">
      <c r="A18" s="117" t="s">
        <v>344</v>
      </c>
      <c r="B18" s="117" t="s">
        <v>345</v>
      </c>
      <c r="C18" s="121" t="s">
        <v>346</v>
      </c>
      <c r="J18" s="117"/>
      <c r="AC18" s="92"/>
      <c r="AD18" s="92"/>
      <c r="AE18" s="92"/>
      <c r="AF18" s="92"/>
      <c r="AG18" s="92"/>
      <c r="AH18" s="92"/>
    </row>
    <row r="19">
      <c r="A19" s="111" t="s">
        <v>348</v>
      </c>
      <c r="B19" s="117" t="s">
        <v>349</v>
      </c>
      <c r="C19" s="168" t="s">
        <v>350</v>
      </c>
      <c r="D19" s="92"/>
      <c r="E19" s="92"/>
      <c r="F19" s="92"/>
      <c r="G19" s="92"/>
      <c r="H19" s="92"/>
      <c r="I19" s="92"/>
      <c r="J19" s="117"/>
      <c r="K19" s="92"/>
      <c r="L19" s="92"/>
      <c r="M19" s="92"/>
      <c r="N19" s="92"/>
      <c r="O19" s="92"/>
      <c r="P19" s="92"/>
      <c r="Q19" s="92"/>
      <c r="R19" s="92"/>
      <c r="S19" s="92"/>
      <c r="T19" s="92"/>
      <c r="U19" s="92"/>
      <c r="V19" s="92"/>
      <c r="W19" s="92"/>
      <c r="X19" s="92"/>
      <c r="Y19" s="92"/>
      <c r="Z19" s="92"/>
      <c r="AA19" s="92"/>
      <c r="AB19" s="92"/>
      <c r="AC19" s="92"/>
      <c r="AD19" s="92"/>
      <c r="AE19" s="92"/>
      <c r="AF19" s="92"/>
      <c r="AG19" s="92"/>
      <c r="AH19" s="92"/>
    </row>
    <row r="20">
      <c r="A20" s="103" t="s">
        <v>351</v>
      </c>
      <c r="B20" s="106" t="s">
        <v>352</v>
      </c>
      <c r="C20" s="161" t="s">
        <v>353</v>
      </c>
      <c r="D20" s="92"/>
      <c r="E20" s="92"/>
      <c r="F20" s="92"/>
      <c r="G20" s="92"/>
      <c r="H20" s="92"/>
      <c r="I20" s="92"/>
      <c r="J20" s="99"/>
      <c r="K20" s="92"/>
      <c r="L20" s="92"/>
      <c r="M20" s="92"/>
      <c r="N20" s="92"/>
      <c r="O20" s="92"/>
      <c r="P20" s="92"/>
      <c r="Q20" s="92"/>
      <c r="R20" s="92"/>
      <c r="S20" s="92"/>
      <c r="T20" s="92"/>
      <c r="U20" s="92"/>
      <c r="V20" s="92"/>
      <c r="W20" s="92"/>
      <c r="X20" s="92"/>
      <c r="Y20" s="92"/>
      <c r="Z20" s="92"/>
      <c r="AA20" s="92"/>
      <c r="AB20" s="92"/>
      <c r="AC20" s="92"/>
      <c r="AD20" s="92"/>
      <c r="AE20" s="92"/>
      <c r="AF20" s="92"/>
      <c r="AG20" s="92"/>
      <c r="AH20" s="92"/>
    </row>
    <row r="21">
      <c r="A21" s="103" t="s">
        <v>354</v>
      </c>
      <c r="B21" s="106" t="s">
        <v>355</v>
      </c>
      <c r="C21" s="161" t="s">
        <v>356</v>
      </c>
      <c r="D21" s="92"/>
      <c r="E21" s="92"/>
      <c r="F21" s="92"/>
      <c r="G21" s="92"/>
      <c r="H21" s="92"/>
      <c r="I21" s="92"/>
      <c r="J21" s="117"/>
      <c r="K21" s="92"/>
      <c r="L21" s="92"/>
      <c r="M21" s="92"/>
      <c r="N21" s="92"/>
      <c r="O21" s="92"/>
      <c r="P21" s="92"/>
      <c r="Q21" s="92"/>
      <c r="R21" s="92"/>
      <c r="S21" s="92"/>
      <c r="T21" s="92"/>
      <c r="U21" s="92"/>
      <c r="V21" s="92"/>
      <c r="W21" s="92"/>
      <c r="X21" s="92"/>
      <c r="Y21" s="92"/>
      <c r="Z21" s="92"/>
      <c r="AA21" s="92"/>
      <c r="AB21" s="92"/>
      <c r="AC21" s="92"/>
      <c r="AD21" s="92"/>
      <c r="AE21" s="92"/>
      <c r="AF21" s="92"/>
      <c r="AG21" s="92"/>
      <c r="AH21" s="92"/>
    </row>
    <row r="22">
      <c r="A22" s="111" t="s">
        <v>358</v>
      </c>
      <c r="B22" s="106" t="s">
        <v>112</v>
      </c>
      <c r="C22" s="168" t="s">
        <v>359</v>
      </c>
      <c r="D22" s="92"/>
      <c r="E22" s="92"/>
      <c r="F22" s="92"/>
      <c r="G22" s="92"/>
      <c r="H22" s="92"/>
      <c r="I22" s="92"/>
      <c r="J22" s="106"/>
      <c r="K22" s="92"/>
      <c r="L22" s="92"/>
      <c r="M22" s="92"/>
      <c r="N22" s="92"/>
      <c r="O22" s="92"/>
      <c r="P22" s="92"/>
      <c r="Q22" s="92"/>
      <c r="R22" s="92"/>
      <c r="S22" s="92"/>
      <c r="T22" s="92"/>
      <c r="U22" s="92"/>
      <c r="V22" s="92"/>
      <c r="W22" s="92"/>
      <c r="X22" s="92"/>
      <c r="Y22" s="92"/>
      <c r="Z22" s="92"/>
      <c r="AA22" s="92"/>
      <c r="AB22" s="92"/>
      <c r="AC22" s="92"/>
      <c r="AD22" s="92"/>
      <c r="AE22" s="92"/>
      <c r="AF22" s="92"/>
      <c r="AG22" s="92"/>
      <c r="AH22" s="92"/>
    </row>
    <row r="23">
      <c r="A23" s="111" t="s">
        <v>360</v>
      </c>
      <c r="B23" s="117" t="s">
        <v>355</v>
      </c>
      <c r="C23" s="117"/>
      <c r="D23" s="92"/>
      <c r="E23" s="92"/>
      <c r="F23" s="92"/>
      <c r="G23" s="92"/>
      <c r="H23" s="92"/>
      <c r="I23" s="92"/>
      <c r="J23" s="106"/>
      <c r="K23" s="92"/>
      <c r="L23" s="92"/>
      <c r="M23" s="92"/>
      <c r="N23" s="92"/>
      <c r="O23" s="92"/>
      <c r="P23" s="92"/>
      <c r="Q23" s="92"/>
      <c r="R23" s="92"/>
      <c r="S23" s="92"/>
      <c r="T23" s="92"/>
      <c r="U23" s="92"/>
      <c r="V23" s="92"/>
      <c r="W23" s="92"/>
      <c r="X23" s="92"/>
      <c r="Y23" s="92"/>
      <c r="Z23" s="92"/>
      <c r="AA23" s="92"/>
      <c r="AB23" s="92"/>
      <c r="AC23" s="92"/>
      <c r="AD23" s="92"/>
      <c r="AE23" s="92"/>
      <c r="AF23" s="92"/>
      <c r="AG23" s="92"/>
      <c r="AH23" s="92"/>
    </row>
    <row r="24">
      <c r="A24" s="111" t="s">
        <v>362</v>
      </c>
      <c r="B24" s="117" t="s">
        <v>355</v>
      </c>
      <c r="C24" s="117"/>
      <c r="D24" s="92"/>
      <c r="E24" s="92"/>
      <c r="F24" s="92"/>
      <c r="G24" s="92"/>
      <c r="H24" s="92"/>
      <c r="I24" s="92"/>
      <c r="J24" s="106"/>
      <c r="K24" s="92"/>
      <c r="L24" s="92"/>
      <c r="M24" s="92"/>
      <c r="N24" s="92"/>
      <c r="O24" s="92"/>
      <c r="P24" s="92"/>
      <c r="Q24" s="92"/>
      <c r="R24" s="92"/>
      <c r="S24" s="92"/>
      <c r="T24" s="92"/>
      <c r="U24" s="92"/>
      <c r="V24" s="92"/>
      <c r="W24" s="92"/>
      <c r="X24" s="92"/>
      <c r="Y24" s="92"/>
      <c r="Z24" s="92"/>
      <c r="AA24" s="92"/>
      <c r="AB24" s="92"/>
      <c r="AC24" s="92"/>
      <c r="AD24" s="92"/>
      <c r="AE24" s="92"/>
      <c r="AF24" s="92"/>
      <c r="AG24" s="92"/>
      <c r="AH24" s="92"/>
    </row>
    <row r="25">
      <c r="A25" s="109" t="s">
        <v>363</v>
      </c>
      <c r="B25" s="117" t="s">
        <v>355</v>
      </c>
      <c r="C25" s="99"/>
      <c r="D25" s="92"/>
      <c r="E25" s="92"/>
      <c r="F25" s="92"/>
      <c r="G25" s="92"/>
      <c r="H25" s="92"/>
      <c r="I25" s="92"/>
      <c r="J25" s="117"/>
      <c r="K25" s="92"/>
      <c r="L25" s="92"/>
      <c r="M25" s="92"/>
      <c r="N25" s="92"/>
      <c r="O25" s="92"/>
      <c r="P25" s="92"/>
      <c r="Q25" s="92"/>
      <c r="R25" s="92"/>
      <c r="S25" s="92"/>
      <c r="T25" s="92"/>
      <c r="U25" s="92"/>
      <c r="V25" s="92"/>
      <c r="W25" s="92"/>
      <c r="X25" s="92"/>
      <c r="Y25" s="92"/>
      <c r="Z25" s="92"/>
      <c r="AA25" s="92"/>
      <c r="AB25" s="92"/>
      <c r="AC25" s="92"/>
      <c r="AD25" s="92"/>
      <c r="AE25" s="92"/>
      <c r="AF25" s="92"/>
      <c r="AG25" s="92"/>
      <c r="AH25" s="92"/>
    </row>
    <row r="26">
      <c r="A26" s="109"/>
      <c r="B26" s="99"/>
      <c r="C26" s="99"/>
      <c r="D26" s="117"/>
      <c r="E26" s="117"/>
      <c r="F26" s="117"/>
      <c r="G26" s="99"/>
      <c r="H26" s="117"/>
      <c r="I26" s="92"/>
      <c r="J26" s="117"/>
      <c r="K26" s="92"/>
      <c r="L26" s="92"/>
      <c r="M26" s="92"/>
      <c r="N26" s="92"/>
      <c r="O26" s="92"/>
      <c r="P26" s="92"/>
      <c r="Q26" s="92"/>
      <c r="R26" s="92"/>
      <c r="S26" s="92"/>
      <c r="T26" s="92"/>
      <c r="U26" s="92"/>
      <c r="V26" s="92"/>
      <c r="W26" s="92"/>
      <c r="X26" s="92"/>
      <c r="Y26" s="92"/>
      <c r="Z26" s="92"/>
      <c r="AA26" s="92"/>
      <c r="AB26" s="92"/>
      <c r="AC26" s="92"/>
      <c r="AD26" s="92"/>
      <c r="AE26" s="92"/>
      <c r="AF26" s="92"/>
      <c r="AG26" s="92"/>
      <c r="AH26" s="92"/>
    </row>
    <row r="27">
      <c r="A27" s="111" t="s">
        <v>364</v>
      </c>
      <c r="B27" s="117" t="s">
        <v>365</v>
      </c>
      <c r="C27" s="117"/>
      <c r="D27" s="117"/>
      <c r="E27" s="117"/>
      <c r="F27" s="117"/>
      <c r="G27" s="99"/>
      <c r="H27" s="117"/>
      <c r="I27" s="92"/>
      <c r="J27" s="111" t="s">
        <v>366</v>
      </c>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c r="A28" s="109" t="s">
        <v>367</v>
      </c>
      <c r="B28" s="117" t="s">
        <v>365</v>
      </c>
      <c r="C28" s="99"/>
      <c r="D28" s="117"/>
      <c r="E28" s="117"/>
      <c r="F28" s="117"/>
      <c r="G28" s="99"/>
      <c r="H28" s="117"/>
      <c r="I28" s="92"/>
      <c r="J28" s="117"/>
      <c r="K28" s="92"/>
      <c r="L28" s="92"/>
      <c r="M28" s="92"/>
      <c r="N28" s="92"/>
      <c r="O28" s="92"/>
      <c r="P28" s="92"/>
      <c r="Q28" s="92"/>
      <c r="R28" s="92"/>
      <c r="S28" s="92"/>
      <c r="T28" s="92"/>
      <c r="U28" s="92"/>
      <c r="V28" s="92"/>
      <c r="W28" s="92"/>
      <c r="X28" s="92"/>
      <c r="Y28" s="92"/>
      <c r="Z28" s="92"/>
      <c r="AA28" s="92"/>
      <c r="AB28" s="92"/>
      <c r="AC28" s="92"/>
      <c r="AD28" s="92"/>
      <c r="AE28" s="92"/>
      <c r="AF28" s="92"/>
      <c r="AG28" s="92"/>
      <c r="AH28" s="92"/>
    </row>
    <row r="29">
      <c r="A29" s="99" t="s">
        <v>368</v>
      </c>
      <c r="B29" s="99"/>
      <c r="C29" s="99"/>
      <c r="D29" s="117"/>
      <c r="E29" s="117"/>
      <c r="F29" s="117"/>
      <c r="G29" s="99"/>
      <c r="H29" s="117"/>
      <c r="I29" s="92"/>
      <c r="J29" s="117"/>
      <c r="K29" s="92"/>
      <c r="L29" s="92"/>
      <c r="M29" s="92"/>
      <c r="N29" s="92"/>
      <c r="O29" s="92"/>
      <c r="P29" s="92"/>
      <c r="Q29" s="92"/>
      <c r="R29" s="92"/>
      <c r="S29" s="92"/>
      <c r="T29" s="92"/>
      <c r="U29" s="92"/>
      <c r="V29" s="92"/>
      <c r="W29" s="92"/>
      <c r="X29" s="92"/>
      <c r="Y29" s="92"/>
      <c r="Z29" s="92"/>
      <c r="AA29" s="92"/>
      <c r="AB29" s="92"/>
      <c r="AC29" s="92"/>
      <c r="AD29" s="92"/>
      <c r="AE29" s="92"/>
      <c r="AF29" s="92"/>
      <c r="AG29" s="92"/>
      <c r="AH29" s="92"/>
    </row>
    <row r="30">
      <c r="A30" s="111" t="s">
        <v>369</v>
      </c>
      <c r="B30" s="117" t="s">
        <v>370</v>
      </c>
      <c r="C30" s="117"/>
      <c r="D30" s="92"/>
      <c r="E30" s="92"/>
      <c r="F30" s="92"/>
      <c r="G30" s="92"/>
      <c r="H30" s="92"/>
      <c r="I30" s="92"/>
      <c r="J30" s="111" t="s">
        <v>371</v>
      </c>
      <c r="K30" s="92"/>
      <c r="L30" s="92"/>
      <c r="M30" s="92"/>
      <c r="N30" s="92"/>
      <c r="O30" s="92"/>
      <c r="P30" s="92"/>
      <c r="Q30" s="92"/>
      <c r="R30" s="92"/>
      <c r="S30" s="92"/>
      <c r="T30" s="92"/>
      <c r="U30" s="92"/>
      <c r="V30" s="92"/>
      <c r="W30" s="92"/>
      <c r="X30" s="92"/>
      <c r="Y30" s="92"/>
      <c r="Z30" s="92"/>
      <c r="AA30" s="92"/>
      <c r="AB30" s="92"/>
      <c r="AC30" s="92"/>
      <c r="AD30" s="92"/>
      <c r="AE30" s="92"/>
      <c r="AF30" s="92"/>
      <c r="AG30" s="92"/>
      <c r="AH30" s="92"/>
    </row>
    <row r="31">
      <c r="A31" s="111" t="s">
        <v>372</v>
      </c>
      <c r="B31" s="117"/>
      <c r="C31" s="121" t="s">
        <v>373</v>
      </c>
      <c r="D31" s="92"/>
      <c r="E31" s="92"/>
      <c r="F31" s="92"/>
      <c r="G31" s="92"/>
      <c r="H31" s="92"/>
      <c r="I31" s="92"/>
      <c r="J31" s="111" t="s">
        <v>376</v>
      </c>
      <c r="K31" s="92"/>
      <c r="L31" s="92"/>
      <c r="M31" s="92"/>
      <c r="N31" s="92"/>
      <c r="O31" s="92"/>
      <c r="P31" s="92"/>
      <c r="Q31" s="92"/>
      <c r="R31" s="92"/>
      <c r="S31" s="92"/>
      <c r="T31" s="92"/>
      <c r="U31" s="92"/>
      <c r="V31" s="92"/>
      <c r="W31" s="92"/>
      <c r="X31" s="92"/>
      <c r="Y31" s="92"/>
      <c r="Z31" s="92"/>
      <c r="AA31" s="92"/>
      <c r="AB31" s="92"/>
      <c r="AC31" s="92"/>
      <c r="AD31" s="92"/>
      <c r="AE31" s="92"/>
      <c r="AF31" s="92"/>
      <c r="AG31" s="92"/>
      <c r="AH31" s="92"/>
    </row>
    <row r="32">
      <c r="A32" s="109" t="s">
        <v>377</v>
      </c>
      <c r="B32" s="99"/>
      <c r="C32" s="99"/>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row>
    <row r="33">
      <c r="A33" s="114" t="s">
        <v>378</v>
      </c>
      <c r="B33" s="117"/>
      <c r="C33" s="117"/>
      <c r="D33" s="117"/>
      <c r="E33" s="117"/>
      <c r="F33" s="117"/>
      <c r="G33" s="117"/>
      <c r="H33" s="117"/>
      <c r="I33" s="117"/>
      <c r="J33" s="117"/>
      <c r="K33" s="117"/>
      <c r="L33" s="99"/>
      <c r="M33" s="92"/>
      <c r="N33" s="92"/>
      <c r="O33" s="92"/>
      <c r="P33" s="92"/>
      <c r="Q33" s="92"/>
      <c r="R33" s="92"/>
      <c r="S33" s="92"/>
      <c r="T33" s="92"/>
      <c r="U33" s="92"/>
      <c r="V33" s="92"/>
      <c r="W33" s="92"/>
      <c r="X33" s="92"/>
      <c r="Y33" s="92"/>
      <c r="Z33" s="92"/>
      <c r="AA33" s="92"/>
      <c r="AB33" s="92"/>
      <c r="AC33" s="92"/>
      <c r="AD33" s="92"/>
      <c r="AE33" s="92"/>
      <c r="AF33" s="92"/>
      <c r="AG33" s="92"/>
      <c r="AH33" s="92"/>
    </row>
    <row r="34">
      <c r="A34" s="114" t="s">
        <v>379</v>
      </c>
      <c r="B34" s="117"/>
      <c r="C34" s="117"/>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row>
    <row r="35">
      <c r="A35" s="182" t="s">
        <v>381</v>
      </c>
      <c r="B35" s="99"/>
      <c r="C35" s="99"/>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row>
    <row r="36">
      <c r="A36" s="182" t="s">
        <v>382</v>
      </c>
      <c r="B36" s="99"/>
      <c r="C36" s="99"/>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row>
    <row r="37">
      <c r="A37" s="182" t="s">
        <v>383</v>
      </c>
      <c r="B37" s="99"/>
      <c r="C37" s="99"/>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row>
    <row r="38">
      <c r="A38" s="114" t="s">
        <v>384</v>
      </c>
      <c r="B38" s="117"/>
      <c r="C38" s="117"/>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row>
    <row r="39">
      <c r="A39" s="114" t="s">
        <v>385</v>
      </c>
      <c r="B39" s="117"/>
      <c r="C39" s="117"/>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c r="A40" s="117" t="s">
        <v>386</v>
      </c>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row>
    <row r="41">
      <c r="A41" s="114" t="s">
        <v>388</v>
      </c>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row>
    <row r="42">
      <c r="A42" s="106" t="s">
        <v>389</v>
      </c>
      <c r="D42" s="117"/>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row>
    <row r="43">
      <c r="A43" s="184" t="s">
        <v>390</v>
      </c>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c r="A44" s="182" t="s">
        <v>391</v>
      </c>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row>
    <row r="45">
      <c r="A45" s="114" t="s">
        <v>394</v>
      </c>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c r="A46" s="114" t="s">
        <v>395</v>
      </c>
      <c r="D46" s="92"/>
      <c r="E46" s="184" t="s">
        <v>396</v>
      </c>
      <c r="F46" s="92"/>
      <c r="G46" s="117" t="s">
        <v>397</v>
      </c>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row>
    <row r="47">
      <c r="A47" s="117" t="s">
        <v>24</v>
      </c>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row>
    <row r="48">
      <c r="A48" s="117" t="s">
        <v>398</v>
      </c>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row>
    <row r="49">
      <c r="A49" s="106" t="s">
        <v>399</v>
      </c>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row>
    <row r="50">
      <c r="A50" s="99" t="s">
        <v>400</v>
      </c>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row>
    <row r="51">
      <c r="A51" s="117" t="s">
        <v>401</v>
      </c>
      <c r="D51" s="117"/>
      <c r="E51" s="117"/>
      <c r="F51" s="117"/>
      <c r="G51" s="117"/>
      <c r="H51" s="117"/>
      <c r="I51" s="117"/>
      <c r="J51" s="117"/>
      <c r="K51" s="99"/>
      <c r="L51" s="92"/>
      <c r="M51" s="92"/>
      <c r="N51" s="92"/>
      <c r="O51" s="92"/>
      <c r="P51" s="92"/>
      <c r="Q51" s="92"/>
      <c r="R51" s="92"/>
      <c r="S51" s="92"/>
      <c r="T51" s="92"/>
      <c r="U51" s="92"/>
      <c r="V51" s="92"/>
      <c r="W51" s="92"/>
      <c r="X51" s="92"/>
      <c r="Y51" s="92"/>
      <c r="Z51" s="92"/>
      <c r="AA51" s="92"/>
      <c r="AB51" s="92"/>
      <c r="AC51" s="92"/>
      <c r="AD51" s="92"/>
      <c r="AE51" s="92"/>
      <c r="AF51" s="92"/>
      <c r="AG51" s="92"/>
      <c r="AH51" s="92"/>
    </row>
    <row r="52">
      <c r="A52" s="117" t="s">
        <v>402</v>
      </c>
      <c r="D52" s="92"/>
      <c r="E52" s="106" t="s">
        <v>403</v>
      </c>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row>
    <row r="53">
      <c r="A53" s="106" t="s">
        <v>404</v>
      </c>
      <c r="E53" s="184" t="s">
        <v>405</v>
      </c>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row>
    <row r="54">
      <c r="A54" s="106" t="s">
        <v>407</v>
      </c>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row>
    <row r="55">
      <c r="A55" s="117" t="s">
        <v>408</v>
      </c>
      <c r="D55" s="92"/>
      <c r="E55" s="185" t="s">
        <v>409</v>
      </c>
      <c r="F55" s="92"/>
      <c r="G55" s="92"/>
      <c r="H55" s="117" t="s">
        <v>410</v>
      </c>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row>
    <row r="56">
      <c r="A56" s="117" t="s">
        <v>411</v>
      </c>
      <c r="D56" s="92"/>
      <c r="E56" s="117" t="s">
        <v>412</v>
      </c>
      <c r="F56" s="92"/>
      <c r="G56" s="92"/>
      <c r="H56" s="111" t="s">
        <v>413</v>
      </c>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row>
    <row r="57">
      <c r="A57" s="111" t="s">
        <v>414</v>
      </c>
      <c r="D57" s="92"/>
      <c r="E57" s="92"/>
      <c r="F57" s="92"/>
      <c r="G57" s="111" t="s">
        <v>417</v>
      </c>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row>
    <row r="58">
      <c r="A58" s="117" t="s">
        <v>418</v>
      </c>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row>
    <row r="59">
      <c r="A59" s="111" t="s">
        <v>419</v>
      </c>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row>
    <row r="60">
      <c r="A60" s="111" t="s">
        <v>420</v>
      </c>
      <c r="E60" s="92"/>
      <c r="F60" s="92"/>
      <c r="G60" s="111" t="s">
        <v>415</v>
      </c>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row>
    <row r="61">
      <c r="A61" s="117" t="s">
        <v>421</v>
      </c>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2"/>
      <c r="AF61" s="92"/>
      <c r="AG61" s="92"/>
      <c r="AH61" s="92"/>
    </row>
    <row r="62">
      <c r="A62" s="111" t="s">
        <v>422</v>
      </c>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row>
    <row r="63">
      <c r="A63" s="103" t="s">
        <v>423</v>
      </c>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row>
    <row r="64">
      <c r="A64" s="111" t="s">
        <v>424</v>
      </c>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row>
    <row r="65">
      <c r="A65" s="117" t="s">
        <v>425</v>
      </c>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row>
    <row r="66">
      <c r="A66" s="111" t="s">
        <v>426</v>
      </c>
      <c r="D66" s="99"/>
      <c r="E66" s="99"/>
      <c r="F66" s="99"/>
      <c r="G66" s="99"/>
      <c r="H66" s="99"/>
      <c r="I66" s="92"/>
      <c r="J66" s="92"/>
      <c r="K66" s="92"/>
      <c r="L66" s="92"/>
      <c r="M66" s="92"/>
      <c r="N66" s="92"/>
      <c r="O66" s="92"/>
      <c r="P66" s="92"/>
      <c r="Q66" s="92"/>
      <c r="R66" s="92"/>
      <c r="S66" s="92"/>
      <c r="T66" s="92"/>
      <c r="U66" s="92"/>
      <c r="V66" s="92"/>
      <c r="W66" s="92"/>
      <c r="X66" s="92"/>
      <c r="Y66" s="92"/>
      <c r="Z66" s="92"/>
      <c r="AA66" s="92"/>
      <c r="AB66" s="92"/>
      <c r="AC66" s="92"/>
      <c r="AD66" s="92"/>
      <c r="AE66" s="92"/>
      <c r="AF66" s="92"/>
      <c r="AG66" s="92"/>
      <c r="AH66" s="92"/>
    </row>
    <row r="67">
      <c r="A67" s="111" t="s">
        <v>428</v>
      </c>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92"/>
      <c r="AH67" s="92"/>
    </row>
    <row r="68">
      <c r="A68" s="117" t="s">
        <v>429</v>
      </c>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2"/>
      <c r="AF68" s="92"/>
      <c r="AG68" s="92"/>
      <c r="AH68" s="92"/>
    </row>
    <row r="69">
      <c r="A69" s="99" t="s">
        <v>430</v>
      </c>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row>
    <row r="70">
      <c r="A70" s="109" t="s">
        <v>431</v>
      </c>
      <c r="B70" s="117"/>
      <c r="C70" s="117"/>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row>
    <row r="71">
      <c r="A71" s="114" t="s">
        <v>433</v>
      </c>
      <c r="B71" s="117"/>
      <c r="C71" s="117"/>
      <c r="T71" s="92"/>
      <c r="U71" s="92"/>
      <c r="V71" s="92"/>
      <c r="W71" s="92"/>
      <c r="X71" s="92"/>
      <c r="Y71" s="92"/>
      <c r="Z71" s="92"/>
      <c r="AA71" s="92"/>
      <c r="AB71" s="92"/>
      <c r="AC71" s="92"/>
      <c r="AD71" s="92"/>
      <c r="AE71" s="92"/>
      <c r="AF71" s="92"/>
      <c r="AG71" s="92"/>
      <c r="AH71" s="92"/>
    </row>
    <row r="72">
      <c r="A72" s="114" t="s">
        <v>434</v>
      </c>
      <c r="B72" s="117"/>
      <c r="C72" s="117"/>
      <c r="D72" s="117"/>
      <c r="E72" s="117"/>
      <c r="F72" s="117"/>
      <c r="G72" s="117"/>
      <c r="H72" s="117"/>
      <c r="I72" s="117"/>
      <c r="J72" s="117"/>
      <c r="K72" s="117"/>
      <c r="L72" s="117"/>
      <c r="M72" s="117"/>
      <c r="N72" s="117"/>
      <c r="O72" s="117"/>
      <c r="P72" s="117"/>
      <c r="Q72" s="117"/>
      <c r="R72" s="92"/>
      <c r="S72" s="92"/>
      <c r="T72" s="92"/>
      <c r="U72" s="92"/>
      <c r="V72" s="92"/>
      <c r="W72" s="92"/>
      <c r="X72" s="92"/>
      <c r="Y72" s="92"/>
      <c r="Z72" s="92"/>
      <c r="AA72" s="92"/>
      <c r="AB72" s="92"/>
      <c r="AC72" s="92"/>
      <c r="AD72" s="92"/>
      <c r="AE72" s="92"/>
      <c r="AF72" s="92"/>
      <c r="AG72" s="92"/>
      <c r="AH72" s="92"/>
    </row>
    <row r="73">
      <c r="A73" s="182" t="s">
        <v>435</v>
      </c>
      <c r="B73" s="117"/>
      <c r="C73" s="117"/>
      <c r="D73" s="106"/>
      <c r="E73" s="106"/>
      <c r="F73" s="106"/>
      <c r="G73" s="106"/>
      <c r="H73" s="106"/>
      <c r="I73" s="106"/>
      <c r="J73" s="99"/>
      <c r="K73" s="92"/>
      <c r="L73" s="92"/>
      <c r="M73" s="92"/>
      <c r="N73" s="92"/>
      <c r="O73" s="92"/>
      <c r="P73" s="92"/>
      <c r="Q73" s="92"/>
      <c r="R73" s="92"/>
      <c r="S73" s="92"/>
      <c r="T73" s="92"/>
      <c r="U73" s="92"/>
      <c r="V73" s="92"/>
      <c r="W73" s="92"/>
      <c r="X73" s="92"/>
      <c r="Y73" s="92"/>
      <c r="Z73" s="92"/>
      <c r="AA73" s="92"/>
      <c r="AB73" s="92"/>
      <c r="AC73" s="92"/>
      <c r="AD73" s="92"/>
      <c r="AE73" s="92"/>
      <c r="AF73" s="92"/>
      <c r="AG73" s="92"/>
      <c r="AH73" s="92"/>
    </row>
    <row r="74">
      <c r="A74" s="117" t="s">
        <v>436</v>
      </c>
      <c r="B74" s="121" t="s">
        <v>349</v>
      </c>
      <c r="C74" s="187"/>
      <c r="E74" s="184" t="s">
        <v>437</v>
      </c>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row>
    <row r="75">
      <c r="B75" s="106"/>
      <c r="C75" s="106"/>
      <c r="D75" s="92"/>
      <c r="E75" s="92"/>
      <c r="F75" s="92"/>
      <c r="G75" s="114" t="s">
        <v>438</v>
      </c>
      <c r="H75" s="184" t="s">
        <v>439</v>
      </c>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row>
    <row r="76">
      <c r="B76" s="117"/>
      <c r="C76" s="117"/>
      <c r="D76" s="92"/>
      <c r="E76" s="92"/>
      <c r="F76" s="92"/>
      <c r="G76" s="117" t="s">
        <v>440</v>
      </c>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92"/>
      <c r="AH76" s="92"/>
    </row>
    <row r="77">
      <c r="A77" s="114"/>
      <c r="B77" s="117"/>
      <c r="C77" s="117"/>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92"/>
      <c r="AH77" s="92"/>
    </row>
    <row r="78">
      <c r="A78" s="117"/>
      <c r="B78" s="117"/>
      <c r="C78" s="117"/>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row>
    <row r="79">
      <c r="A79" s="114"/>
      <c r="B79" s="117"/>
      <c r="C79" s="117"/>
      <c r="D79" s="92"/>
      <c r="E79" s="92"/>
      <c r="F79" s="92"/>
      <c r="G79" s="114" t="s">
        <v>443</v>
      </c>
      <c r="H79" s="92"/>
      <c r="I79" s="92"/>
      <c r="J79" s="92"/>
      <c r="K79" s="92"/>
      <c r="L79" s="92"/>
      <c r="M79" s="92"/>
      <c r="N79" s="92"/>
      <c r="O79" s="92"/>
      <c r="P79" s="92"/>
      <c r="Q79" s="92"/>
      <c r="R79" s="92"/>
      <c r="S79" s="92"/>
      <c r="T79" s="92"/>
      <c r="U79" s="92"/>
      <c r="V79" s="92"/>
      <c r="W79" s="92"/>
      <c r="X79" s="92"/>
      <c r="Y79" s="92"/>
      <c r="Z79" s="92"/>
      <c r="AA79" s="92"/>
      <c r="AB79" s="92"/>
      <c r="AC79" s="92"/>
      <c r="AD79" s="92"/>
      <c r="AE79" s="92"/>
      <c r="AF79" s="92"/>
      <c r="AG79" s="92"/>
      <c r="AH79" s="92"/>
    </row>
    <row r="80">
      <c r="A80" s="188"/>
      <c r="B80" s="117"/>
      <c r="C80" s="117"/>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row>
    <row r="81">
      <c r="B81" s="99"/>
      <c r="C81" s="99"/>
      <c r="D81" s="106"/>
      <c r="E81" s="106"/>
      <c r="F81" s="106"/>
      <c r="G81" s="106"/>
      <c r="H81" s="106"/>
      <c r="I81" s="106"/>
      <c r="J81" s="106"/>
      <c r="K81" s="106"/>
      <c r="L81" s="92"/>
      <c r="M81" s="92"/>
      <c r="N81" s="92"/>
      <c r="O81" s="92"/>
      <c r="P81" s="92"/>
      <c r="Q81" s="92"/>
      <c r="R81" s="92"/>
      <c r="S81" s="92"/>
      <c r="T81" s="92"/>
      <c r="U81" s="92"/>
      <c r="V81" s="92"/>
      <c r="W81" s="92"/>
      <c r="X81" s="92"/>
      <c r="Y81" s="92"/>
      <c r="Z81" s="92"/>
      <c r="AA81" s="92"/>
      <c r="AB81" s="92"/>
      <c r="AC81" s="92"/>
      <c r="AD81" s="92"/>
      <c r="AE81" s="92"/>
      <c r="AF81" s="92"/>
      <c r="AG81" s="92"/>
      <c r="AH81" s="92"/>
    </row>
    <row r="82">
      <c r="B82" s="99"/>
      <c r="C82" s="99"/>
      <c r="D82" s="92"/>
      <c r="E82" s="114" t="s">
        <v>446</v>
      </c>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2"/>
      <c r="AF82" s="92"/>
      <c r="AG82" s="92"/>
      <c r="AH82" s="92"/>
    </row>
    <row r="83">
      <c r="A83" s="117"/>
      <c r="D83" s="92"/>
      <c r="E83" s="184" t="s">
        <v>447</v>
      </c>
      <c r="F83" s="92"/>
      <c r="G83" s="92"/>
      <c r="H83" s="92"/>
      <c r="I83" s="92"/>
      <c r="J83" s="92"/>
      <c r="K83" s="92"/>
      <c r="L83" s="92"/>
      <c r="M83" s="92"/>
      <c r="N83" s="92"/>
      <c r="O83" s="92"/>
      <c r="P83" s="92"/>
      <c r="Q83" s="92"/>
      <c r="R83" s="92"/>
      <c r="S83" s="92"/>
      <c r="T83" s="92"/>
      <c r="U83" s="92"/>
      <c r="V83" s="92"/>
      <c r="W83" s="92"/>
      <c r="X83" s="92"/>
      <c r="Y83" s="92"/>
      <c r="Z83" s="92"/>
      <c r="AA83" s="92"/>
      <c r="AB83" s="92"/>
      <c r="AC83" s="92"/>
      <c r="AD83" s="92"/>
      <c r="AE83" s="92"/>
      <c r="AF83" s="92"/>
      <c r="AG83" s="92"/>
      <c r="AH83" s="92"/>
    </row>
    <row r="84">
      <c r="B84" s="117"/>
      <c r="C84" s="117"/>
      <c r="D84" s="92"/>
      <c r="E84" s="184" t="s">
        <v>448</v>
      </c>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92"/>
      <c r="AF84" s="92"/>
      <c r="AG84" s="92"/>
      <c r="AH84" s="92"/>
    </row>
    <row r="85">
      <c r="B85" s="99"/>
      <c r="C85" s="99"/>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2"/>
      <c r="AF85" s="92"/>
      <c r="AG85" s="92"/>
      <c r="AH85" s="92"/>
    </row>
    <row r="86">
      <c r="B86" s="99"/>
      <c r="C86" s="99"/>
      <c r="D86" s="92"/>
      <c r="E86" s="114" t="s">
        <v>449</v>
      </c>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92"/>
      <c r="AH86" s="92"/>
    </row>
    <row r="87">
      <c r="B87" s="117"/>
      <c r="C87" s="117"/>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2"/>
      <c r="AF87" s="92"/>
      <c r="AG87" s="92"/>
      <c r="AH87" s="92"/>
    </row>
    <row r="88">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c r="AE88" s="92"/>
      <c r="AF88" s="92"/>
      <c r="AG88" s="92"/>
      <c r="AH88" s="92"/>
    </row>
    <row r="89">
      <c r="D89" s="92"/>
      <c r="F89" s="92"/>
      <c r="G89" s="114" t="s">
        <v>451</v>
      </c>
      <c r="H89" s="184" t="s">
        <v>452</v>
      </c>
      <c r="I89" s="92"/>
      <c r="J89" s="92"/>
      <c r="K89" s="92"/>
      <c r="L89" s="92"/>
      <c r="M89" s="92"/>
      <c r="N89" s="92"/>
      <c r="O89" s="92"/>
      <c r="P89" s="92"/>
      <c r="Q89" s="92"/>
      <c r="R89" s="92"/>
      <c r="S89" s="92"/>
      <c r="T89" s="92"/>
      <c r="U89" s="92"/>
      <c r="V89" s="92"/>
      <c r="W89" s="92"/>
      <c r="X89" s="92"/>
      <c r="Y89" s="92"/>
      <c r="Z89" s="92"/>
      <c r="AA89" s="92"/>
      <c r="AB89" s="92"/>
      <c r="AC89" s="92"/>
      <c r="AD89" s="92"/>
      <c r="AE89" s="92"/>
      <c r="AF89" s="92"/>
      <c r="AG89" s="92"/>
      <c r="AH89" s="92"/>
    </row>
    <row r="90">
      <c r="B90" s="117"/>
      <c r="C90" s="117"/>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2"/>
      <c r="AF90" s="92"/>
      <c r="AG90" s="92"/>
      <c r="AH90" s="92"/>
    </row>
    <row r="91">
      <c r="B91" s="99"/>
      <c r="C91" s="99"/>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2"/>
      <c r="AF91" s="92"/>
      <c r="AG91" s="92"/>
      <c r="AH91" s="92"/>
    </row>
    <row r="92">
      <c r="F92" s="92"/>
      <c r="G92" s="92"/>
      <c r="H92" s="184" t="s">
        <v>455</v>
      </c>
      <c r="I92" s="92"/>
      <c r="J92" s="92"/>
      <c r="K92" s="92"/>
      <c r="L92" s="92"/>
      <c r="M92" s="92"/>
      <c r="N92" s="92"/>
      <c r="O92" s="92"/>
      <c r="P92" s="92"/>
      <c r="Q92" s="92"/>
      <c r="R92" s="92"/>
      <c r="S92" s="92"/>
      <c r="T92" s="92"/>
      <c r="U92" s="92"/>
      <c r="V92" s="92"/>
      <c r="W92" s="92"/>
      <c r="X92" s="92"/>
      <c r="Y92" s="92"/>
      <c r="Z92" s="92"/>
      <c r="AA92" s="92"/>
      <c r="AB92" s="92"/>
      <c r="AC92" s="92"/>
      <c r="AD92" s="92"/>
      <c r="AE92" s="92"/>
      <c r="AF92" s="92"/>
      <c r="AG92" s="92"/>
      <c r="AH92" s="92"/>
    </row>
    <row r="93">
      <c r="E93" s="184" t="s">
        <v>456</v>
      </c>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c r="AE93" s="92"/>
      <c r="AF93" s="92"/>
      <c r="AG93" s="92"/>
      <c r="AH93" s="92"/>
    </row>
    <row r="94">
      <c r="E94" s="114" t="s">
        <v>458</v>
      </c>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c r="AE94" s="92"/>
      <c r="AF94" s="92"/>
      <c r="AG94" s="92"/>
      <c r="AH94" s="92"/>
    </row>
    <row r="95">
      <c r="D95" s="92"/>
      <c r="E95" s="184" t="s">
        <v>459</v>
      </c>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2"/>
      <c r="AF95" s="92"/>
      <c r="AG95" s="92"/>
      <c r="AH95" s="92"/>
    </row>
    <row r="96">
      <c r="D96" s="117"/>
      <c r="E96" s="117"/>
      <c r="F96" s="117"/>
      <c r="G96" s="117"/>
      <c r="H96" s="117"/>
      <c r="I96" s="117"/>
      <c r="J96" s="117"/>
      <c r="K96" s="117"/>
      <c r="L96" s="92"/>
      <c r="M96" s="92"/>
      <c r="N96" s="92"/>
      <c r="O96" s="92"/>
      <c r="P96" s="92"/>
      <c r="Q96" s="92"/>
      <c r="R96" s="92"/>
      <c r="S96" s="92"/>
      <c r="T96" s="92"/>
      <c r="U96" s="92"/>
      <c r="V96" s="92"/>
      <c r="W96" s="92"/>
      <c r="X96" s="92"/>
      <c r="Y96" s="92"/>
      <c r="Z96" s="92"/>
      <c r="AA96" s="92"/>
      <c r="AB96" s="92"/>
      <c r="AC96" s="92"/>
      <c r="AD96" s="92"/>
      <c r="AE96" s="92"/>
      <c r="AF96" s="92"/>
      <c r="AG96" s="92"/>
      <c r="AH96" s="92"/>
    </row>
    <row r="97">
      <c r="D97" s="117"/>
      <c r="E97" s="117"/>
      <c r="F97" s="117"/>
      <c r="G97" s="117"/>
      <c r="H97" s="117"/>
      <c r="I97" s="117"/>
      <c r="J97" s="117"/>
      <c r="K97" s="117"/>
      <c r="L97" s="92"/>
      <c r="M97" s="92"/>
      <c r="N97" s="92"/>
      <c r="O97" s="92"/>
      <c r="P97" s="92"/>
      <c r="Q97" s="92"/>
      <c r="R97" s="92"/>
      <c r="S97" s="92"/>
      <c r="T97" s="92"/>
      <c r="U97" s="92"/>
      <c r="V97" s="92"/>
      <c r="W97" s="92"/>
      <c r="X97" s="92"/>
      <c r="Y97" s="92"/>
      <c r="Z97" s="92"/>
      <c r="AA97" s="92"/>
      <c r="AB97" s="92"/>
      <c r="AC97" s="92"/>
      <c r="AD97" s="92"/>
      <c r="AE97" s="92"/>
      <c r="AF97" s="92"/>
      <c r="AG97" s="92"/>
      <c r="AH97" s="92"/>
    </row>
    <row r="98">
      <c r="B98" s="117"/>
      <c r="C98" s="117"/>
      <c r="D98" s="117"/>
      <c r="E98" s="117"/>
      <c r="F98" s="117"/>
      <c r="G98" s="117"/>
      <c r="H98" s="117"/>
      <c r="I98" s="117"/>
      <c r="J98" s="117"/>
      <c r="K98" s="117"/>
      <c r="L98" s="92"/>
      <c r="M98" s="92"/>
      <c r="N98" s="92"/>
      <c r="O98" s="92"/>
      <c r="P98" s="92"/>
      <c r="Q98" s="92"/>
      <c r="R98" s="92"/>
      <c r="S98" s="92"/>
      <c r="T98" s="92"/>
      <c r="U98" s="92"/>
      <c r="V98" s="92"/>
      <c r="W98" s="92"/>
      <c r="X98" s="92"/>
      <c r="Y98" s="92"/>
      <c r="Z98" s="92"/>
      <c r="AA98" s="92"/>
      <c r="AB98" s="92"/>
      <c r="AC98" s="92"/>
      <c r="AD98" s="92"/>
      <c r="AE98" s="92"/>
      <c r="AF98" s="92"/>
      <c r="AG98" s="92"/>
      <c r="AH98" s="92"/>
    </row>
    <row r="99">
      <c r="B99" s="117"/>
      <c r="C99" s="117"/>
      <c r="D99" s="117"/>
      <c r="E99" s="117"/>
      <c r="F99" s="117"/>
      <c r="G99" s="117"/>
      <c r="H99" s="117"/>
      <c r="I99" s="117"/>
      <c r="J99" s="117"/>
      <c r="K99" s="117"/>
      <c r="L99" s="92"/>
      <c r="M99" s="92"/>
      <c r="N99" s="92"/>
      <c r="O99" s="92"/>
      <c r="P99" s="92"/>
      <c r="Q99" s="92"/>
      <c r="R99" s="92"/>
      <c r="S99" s="92"/>
      <c r="T99" s="92"/>
      <c r="U99" s="92"/>
      <c r="V99" s="92"/>
      <c r="W99" s="92"/>
      <c r="X99" s="92"/>
      <c r="Y99" s="92"/>
      <c r="Z99" s="92"/>
      <c r="AA99" s="92"/>
      <c r="AB99" s="92"/>
      <c r="AC99" s="92"/>
      <c r="AD99" s="92"/>
      <c r="AE99" s="92"/>
      <c r="AF99" s="92"/>
      <c r="AG99" s="92"/>
      <c r="AH99" s="92"/>
    </row>
    <row r="100">
      <c r="D100" s="117"/>
      <c r="E100" s="117"/>
      <c r="F100" s="117"/>
      <c r="G100" s="117"/>
      <c r="H100" s="117"/>
      <c r="I100" s="117"/>
      <c r="J100" s="117"/>
      <c r="K100" s="117"/>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row>
    <row r="101">
      <c r="D101" s="117"/>
      <c r="E101" s="117"/>
      <c r="F101" s="117"/>
      <c r="G101" s="117"/>
      <c r="H101" s="117"/>
      <c r="I101" s="117"/>
      <c r="J101" s="117"/>
      <c r="K101" s="117"/>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row>
    <row r="102">
      <c r="D102" s="117"/>
      <c r="E102" s="117"/>
      <c r="F102" s="117"/>
      <c r="G102" s="117"/>
      <c r="H102" s="117"/>
      <c r="I102" s="117"/>
      <c r="J102" s="117"/>
      <c r="K102" s="117"/>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row>
    <row r="103">
      <c r="D103" s="117"/>
      <c r="E103" s="117"/>
      <c r="F103" s="117"/>
      <c r="G103" s="117"/>
      <c r="H103" s="114" t="s">
        <v>463</v>
      </c>
      <c r="I103" s="117"/>
      <c r="J103" s="117"/>
      <c r="K103" s="117"/>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row>
    <row r="104">
      <c r="D104" s="106"/>
      <c r="E104" s="106"/>
      <c r="F104" s="106"/>
      <c r="G104" s="106"/>
      <c r="H104" s="106"/>
      <c r="I104" s="99"/>
      <c r="J104" s="92"/>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row>
    <row r="105">
      <c r="D105" s="106"/>
      <c r="E105" s="106"/>
      <c r="F105" s="106"/>
      <c r="G105" s="106"/>
      <c r="H105" s="106"/>
      <c r="I105" s="106"/>
      <c r="J105" s="106"/>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row>
    <row r="106">
      <c r="B106" s="117"/>
      <c r="C106" s="117"/>
      <c r="D106" s="106"/>
      <c r="E106" s="114" t="s">
        <v>87</v>
      </c>
      <c r="F106" s="106"/>
      <c r="G106" s="106"/>
      <c r="H106" s="106"/>
      <c r="I106" s="106"/>
      <c r="J106" s="106"/>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row>
    <row r="107">
      <c r="D107" s="106"/>
      <c r="E107" s="106"/>
      <c r="F107" s="106"/>
      <c r="G107" s="106"/>
      <c r="H107" s="106"/>
      <c r="I107" s="106"/>
      <c r="J107" s="106"/>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row>
    <row r="108">
      <c r="D108" s="106"/>
      <c r="E108" s="106"/>
      <c r="F108" s="106"/>
      <c r="G108" s="106"/>
      <c r="H108" s="106"/>
      <c r="I108" s="106"/>
      <c r="J108" s="106"/>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row>
    <row r="109">
      <c r="D109" s="106"/>
      <c r="E109" s="106"/>
      <c r="F109" s="106"/>
      <c r="G109" s="106"/>
      <c r="H109" s="106"/>
      <c r="I109" s="106"/>
      <c r="J109" s="106"/>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row>
    <row r="110">
      <c r="D110" s="106"/>
      <c r="E110" s="106"/>
      <c r="F110" s="106"/>
      <c r="G110" s="106"/>
      <c r="H110" s="106"/>
      <c r="I110" s="106"/>
      <c r="J110" s="106"/>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row>
    <row r="111">
      <c r="D111" s="99"/>
      <c r="E111" s="184" t="s">
        <v>465</v>
      </c>
      <c r="F111" s="99"/>
      <c r="G111" s="99"/>
      <c r="H111" s="99"/>
      <c r="I111" s="99"/>
      <c r="J111" s="99"/>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row>
    <row r="11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row>
    <row r="113">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row>
    <row r="114">
      <c r="D114" s="92"/>
      <c r="E114" s="114" t="s">
        <v>310</v>
      </c>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row>
    <row r="115">
      <c r="D115" s="92"/>
      <c r="E115" s="114" t="s">
        <v>466</v>
      </c>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row>
    <row r="116">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row>
    <row r="117">
      <c r="D117" s="92"/>
      <c r="E117" s="182" t="s">
        <v>467</v>
      </c>
      <c r="F117" s="92"/>
      <c r="G117" s="92"/>
      <c r="H117" s="92"/>
      <c r="I117" s="114" t="s">
        <v>468</v>
      </c>
      <c r="J117" s="92"/>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row>
    <row r="118">
      <c r="D118" s="92"/>
      <c r="E118" s="92"/>
      <c r="F118" s="92"/>
      <c r="G118" s="92"/>
      <c r="H118" s="92"/>
      <c r="I118" s="184" t="s">
        <v>469</v>
      </c>
      <c r="J118" s="92"/>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row>
    <row r="119">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row>
    <row r="120">
      <c r="D120" s="92"/>
      <c r="E120" s="92"/>
      <c r="F120" s="92"/>
      <c r="G120" s="184" t="s">
        <v>470</v>
      </c>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row>
    <row r="121">
      <c r="D121" s="92"/>
      <c r="E121" s="92"/>
      <c r="F121" s="92"/>
      <c r="G121" s="184" t="s">
        <v>471</v>
      </c>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row>
    <row r="12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row>
    <row r="123">
      <c r="B123" s="99"/>
      <c r="C123" s="99"/>
      <c r="D123" s="92"/>
      <c r="E123" s="92"/>
      <c r="F123" s="92"/>
      <c r="G123" s="114" t="s">
        <v>473</v>
      </c>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row>
    <row r="124">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row>
    <row r="125">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row>
    <row r="126">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row>
    <row r="127">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row>
    <row r="128">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row>
    <row r="129">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row>
    <row r="130">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row>
    <row r="131">
      <c r="D131" s="92"/>
      <c r="E131" s="92"/>
      <c r="F131" s="92"/>
      <c r="G131" s="114" t="s">
        <v>476</v>
      </c>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row>
    <row r="132">
      <c r="D132" s="92"/>
      <c r="E132" s="92"/>
      <c r="F132" s="92"/>
      <c r="G132" s="114" t="s">
        <v>392</v>
      </c>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row>
    <row r="133">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row>
    <row r="134">
      <c r="AG134" s="92"/>
      <c r="AH134" s="92"/>
    </row>
    <row r="135">
      <c r="AG135" s="92"/>
      <c r="AH135" s="92"/>
    </row>
    <row r="136">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row>
    <row r="137">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row>
    <row r="138">
      <c r="D138" s="92"/>
      <c r="E138" s="114" t="s">
        <v>444</v>
      </c>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row>
    <row r="139">
      <c r="D139" s="92"/>
      <c r="E139" s="184" t="s">
        <v>480</v>
      </c>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row>
    <row r="140">
      <c r="D140" s="92"/>
      <c r="E140" s="184" t="s">
        <v>481</v>
      </c>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row>
    <row r="141">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row>
    <row r="14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row>
    <row r="143">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row>
    <row r="144">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row>
    <row r="145">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row>
    <row r="146">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row>
    <row r="147">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row>
    <row r="148">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row>
    <row r="149">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row>
    <row r="150">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row>
    <row r="151">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row>
    <row r="15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row>
    <row r="153">
      <c r="H153" s="92"/>
      <c r="I153" s="92"/>
      <c r="J153" s="92"/>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row>
    <row r="154">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row>
    <row r="155">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row>
    <row r="156">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row>
    <row r="157">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row>
    <row r="158">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row>
    <row r="159">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row>
    <row r="160">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row>
    <row r="161">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row>
    <row r="16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row>
    <row r="163">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row>
    <row r="164">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row>
    <row r="165">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row>
    <row r="166">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row>
    <row r="167">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row>
    <row r="168">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row>
    <row r="169">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row>
    <row r="170">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row>
    <row r="171">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row>
    <row r="17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row>
    <row r="173">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row>
    <row r="174">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row>
    <row r="175">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row>
    <row r="176">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row>
    <row r="177">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row>
    <row r="178">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row>
    <row r="179">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row>
    <row r="180">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row>
    <row r="181">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row>
    <row r="18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row>
    <row r="183">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row>
    <row r="184">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row>
    <row r="185">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row>
    <row r="186">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row>
    <row r="187">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row>
    <row r="188">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row>
    <row r="189">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row>
    <row r="190">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row>
    <row r="191">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row>
    <row r="1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row>
    <row r="193">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row>
    <row r="194">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row>
    <row r="195">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row>
    <row r="196">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row>
    <row r="197">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row>
    <row r="198">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row>
    <row r="199">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row>
    <row r="200">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row>
    <row r="201">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row>
    <row r="20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row>
    <row r="203">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row>
    <row r="204">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row>
    <row r="205">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row>
    <row r="206">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row>
    <row r="207">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row>
    <row r="208">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row>
    <row r="209">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row>
    <row r="210">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row>
    <row r="211">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row>
    <row r="21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row>
    <row r="213">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row>
    <row r="214">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row>
    <row r="215">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row>
    <row r="216">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row>
    <row r="217">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row>
    <row r="218">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row>
    <row r="219">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row>
    <row r="220">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row>
    <row r="221">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row>
    <row r="22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row>
    <row r="223">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row>
    <row r="224">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row>
    <row r="225">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row>
    <row r="226">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row>
    <row r="227">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row>
    <row r="228">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row>
    <row r="229">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row>
    <row r="230">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row>
    <row r="231">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row>
    <row r="23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row>
    <row r="233">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row>
    <row r="234">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row>
    <row r="235">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row>
    <row r="236">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row>
    <row r="237">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row>
    <row r="238">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row>
    <row r="239">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row>
    <row r="240">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row>
    <row r="241">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row>
    <row r="24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row>
    <row r="243">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row>
    <row r="244">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row>
    <row r="245">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row>
    <row r="246">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row>
    <row r="247">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row>
    <row r="248">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row>
    <row r="249">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row>
    <row r="250">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row>
    <row r="251">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row>
    <row r="25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row>
    <row r="253">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row>
    <row r="254">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row>
    <row r="255">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row>
    <row r="256">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row>
    <row r="257">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row>
    <row r="258">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row>
    <row r="259">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row>
    <row r="260">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row>
    <row r="261">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row>
    <row r="26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row>
    <row r="263">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row>
    <row r="264">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row>
    <row r="265">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row>
    <row r="266">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row>
    <row r="267">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row>
    <row r="268">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row>
    <row r="269">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row>
    <row r="270">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row>
    <row r="271">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row>
    <row r="27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row>
    <row r="273">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row>
    <row r="274">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row>
    <row r="275">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row>
    <row r="276">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row>
    <row r="277">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row>
    <row r="278">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row>
    <row r="279">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row>
    <row r="280">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row>
    <row r="281">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row>
    <row r="28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row>
    <row r="283">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row>
    <row r="284">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row>
    <row r="285">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row>
    <row r="286">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row>
    <row r="287">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row>
    <row r="288">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row>
    <row r="289">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row>
    <row r="290">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row>
    <row r="291">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row>
    <row r="2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row>
    <row r="293">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row>
    <row r="294">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row>
    <row r="295">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row>
    <row r="296">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row>
    <row r="297">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row>
    <row r="298">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row>
    <row r="299">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row>
    <row r="300">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row>
    <row r="301">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row>
    <row r="30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row>
    <row r="303">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row>
    <row r="304">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row>
    <row r="305">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2"/>
      <c r="AF305" s="92"/>
      <c r="AG305" s="92"/>
      <c r="AH305" s="92"/>
    </row>
    <row r="306">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2"/>
      <c r="AF306" s="92"/>
      <c r="AG306" s="92"/>
      <c r="AH306" s="92"/>
    </row>
    <row r="307">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2"/>
      <c r="AF307" s="92"/>
      <c r="AG307" s="92"/>
      <c r="AH307" s="92"/>
    </row>
    <row r="308">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c r="AG308" s="92"/>
      <c r="AH308" s="92"/>
    </row>
    <row r="309">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2"/>
      <c r="AF309" s="92"/>
      <c r="AG309" s="92"/>
      <c r="AH309" s="92"/>
    </row>
    <row r="310">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2"/>
      <c r="AF310" s="92"/>
      <c r="AG310" s="92"/>
      <c r="AH310" s="92"/>
    </row>
    <row r="311">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2"/>
      <c r="AF311" s="92"/>
      <c r="AG311" s="92"/>
      <c r="AH311" s="92"/>
    </row>
    <row r="31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c r="AF312" s="92"/>
      <c r="AG312" s="92"/>
      <c r="AH312" s="92"/>
    </row>
    <row r="313">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2"/>
      <c r="AF313" s="92"/>
      <c r="AG313" s="92"/>
      <c r="AH313" s="92"/>
    </row>
    <row r="314">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2"/>
      <c r="AF314" s="92"/>
      <c r="AG314" s="92"/>
      <c r="AH314" s="92"/>
    </row>
    <row r="315">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2"/>
      <c r="AF315" s="92"/>
      <c r="AG315" s="92"/>
      <c r="AH315" s="92"/>
    </row>
    <row r="316">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2"/>
      <c r="AF316" s="92"/>
      <c r="AG316" s="92"/>
      <c r="AH316" s="92"/>
    </row>
    <row r="317">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2"/>
      <c r="AF317" s="92"/>
      <c r="AG317" s="92"/>
      <c r="AH317" s="92"/>
    </row>
    <row r="318">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c r="AF318" s="92"/>
      <c r="AG318" s="92"/>
      <c r="AH318" s="92"/>
    </row>
    <row r="319">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2"/>
      <c r="AF319" s="92"/>
      <c r="AG319" s="92"/>
      <c r="AH319" s="92"/>
    </row>
    <row r="320">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2"/>
      <c r="AF320" s="92"/>
      <c r="AG320" s="92"/>
      <c r="AH320" s="92"/>
    </row>
    <row r="321">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c r="AC321" s="92"/>
      <c r="AD321" s="92"/>
      <c r="AE321" s="92"/>
      <c r="AF321" s="92"/>
      <c r="AG321" s="92"/>
      <c r="AH321" s="92"/>
    </row>
    <row r="32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2"/>
      <c r="AF322" s="92"/>
      <c r="AG322" s="92"/>
      <c r="AH322" s="92"/>
    </row>
    <row r="323">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2"/>
      <c r="AF323" s="92"/>
      <c r="AG323" s="92"/>
      <c r="AH323" s="92"/>
    </row>
    <row r="324">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c r="AE324" s="92"/>
      <c r="AF324" s="92"/>
      <c r="AG324" s="92"/>
      <c r="AH324" s="92"/>
    </row>
    <row r="325">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c r="AC325" s="92"/>
      <c r="AD325" s="92"/>
      <c r="AE325" s="92"/>
      <c r="AF325" s="92"/>
      <c r="AG325" s="92"/>
      <c r="AH325" s="92"/>
    </row>
    <row r="326">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2"/>
      <c r="AF326" s="92"/>
      <c r="AG326" s="92"/>
      <c r="AH326" s="92"/>
    </row>
    <row r="327">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2"/>
      <c r="AF327" s="92"/>
      <c r="AG327" s="92"/>
      <c r="AH327" s="92"/>
    </row>
    <row r="328">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c r="AF328" s="92"/>
      <c r="AG328" s="92"/>
      <c r="AH328" s="92"/>
    </row>
    <row r="329">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c r="AC329" s="92"/>
      <c r="AD329" s="92"/>
      <c r="AE329" s="92"/>
      <c r="AF329" s="92"/>
      <c r="AG329" s="92"/>
      <c r="AH329" s="92"/>
    </row>
    <row r="330">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c r="AE330" s="92"/>
      <c r="AF330" s="92"/>
      <c r="AG330" s="92"/>
      <c r="AH330" s="92"/>
    </row>
    <row r="331">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c r="AC331" s="92"/>
      <c r="AD331" s="92"/>
      <c r="AE331" s="92"/>
      <c r="AF331" s="92"/>
      <c r="AG331" s="92"/>
      <c r="AH331" s="92"/>
    </row>
    <row r="33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2"/>
      <c r="AF332" s="92"/>
      <c r="AG332" s="92"/>
      <c r="AH332" s="92"/>
    </row>
    <row r="333">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2"/>
      <c r="AF333" s="92"/>
      <c r="AG333" s="92"/>
      <c r="AH333" s="92"/>
    </row>
    <row r="334">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2"/>
      <c r="AF334" s="92"/>
      <c r="AG334" s="92"/>
      <c r="AH334" s="92"/>
    </row>
    <row r="335">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2"/>
      <c r="AF335" s="92"/>
      <c r="AG335" s="92"/>
      <c r="AH335" s="92"/>
    </row>
    <row r="336">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2"/>
      <c r="AF336" s="92"/>
      <c r="AG336" s="92"/>
      <c r="AH336" s="92"/>
    </row>
    <row r="337">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2"/>
      <c r="AF337" s="92"/>
      <c r="AG337" s="92"/>
      <c r="AH337" s="92"/>
    </row>
    <row r="338">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2"/>
      <c r="AF338" s="92"/>
      <c r="AG338" s="92"/>
      <c r="AH338" s="92"/>
    </row>
    <row r="339">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c r="AC339" s="92"/>
      <c r="AD339" s="92"/>
      <c r="AE339" s="92"/>
      <c r="AF339" s="92"/>
      <c r="AG339" s="92"/>
      <c r="AH339" s="92"/>
    </row>
    <row r="340">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c r="AE340" s="92"/>
      <c r="AF340" s="92"/>
      <c r="AG340" s="92"/>
      <c r="AH340" s="92"/>
    </row>
    <row r="341">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c r="AC341" s="92"/>
      <c r="AD341" s="92"/>
      <c r="AE341" s="92"/>
      <c r="AF341" s="92"/>
      <c r="AG341" s="92"/>
      <c r="AH341" s="92"/>
    </row>
    <row r="34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c r="AE342" s="92"/>
      <c r="AF342" s="92"/>
      <c r="AG342" s="92"/>
      <c r="AH342" s="92"/>
    </row>
    <row r="343">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c r="AC343" s="92"/>
      <c r="AD343" s="92"/>
      <c r="AE343" s="92"/>
      <c r="AF343" s="92"/>
      <c r="AG343" s="92"/>
      <c r="AH343" s="92"/>
    </row>
    <row r="344">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c r="AE344" s="92"/>
      <c r="AF344" s="92"/>
      <c r="AG344" s="92"/>
      <c r="AH344" s="92"/>
    </row>
    <row r="345">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c r="AC345" s="92"/>
      <c r="AD345" s="92"/>
      <c r="AE345" s="92"/>
      <c r="AF345" s="92"/>
      <c r="AG345" s="92"/>
      <c r="AH345" s="92"/>
    </row>
    <row r="346">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c r="AE346" s="92"/>
      <c r="AF346" s="92"/>
      <c r="AG346" s="92"/>
      <c r="AH346" s="92"/>
    </row>
    <row r="347">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c r="AC347" s="92"/>
      <c r="AD347" s="92"/>
      <c r="AE347" s="92"/>
      <c r="AF347" s="92"/>
      <c r="AG347" s="92"/>
      <c r="AH347" s="92"/>
    </row>
    <row r="348">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c r="AE348" s="92"/>
      <c r="AF348" s="92"/>
      <c r="AG348" s="92"/>
      <c r="AH348" s="92"/>
    </row>
    <row r="349">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c r="AC349" s="92"/>
      <c r="AD349" s="92"/>
      <c r="AE349" s="92"/>
      <c r="AF349" s="92"/>
      <c r="AG349" s="92"/>
      <c r="AH349" s="92"/>
    </row>
    <row r="350">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2"/>
      <c r="AF350" s="92"/>
      <c r="AG350" s="92"/>
      <c r="AH350" s="92"/>
    </row>
    <row r="351">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2"/>
      <c r="AF351" s="92"/>
      <c r="AG351" s="92"/>
      <c r="AH351" s="92"/>
    </row>
    <row r="35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2"/>
      <c r="AF352" s="92"/>
      <c r="AG352" s="92"/>
      <c r="AH352" s="92"/>
    </row>
    <row r="353">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c r="AC353" s="92"/>
      <c r="AD353" s="92"/>
      <c r="AE353" s="92"/>
      <c r="AF353" s="92"/>
      <c r="AG353" s="92"/>
      <c r="AH353" s="92"/>
    </row>
    <row r="354">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2"/>
      <c r="AF354" s="92"/>
      <c r="AG354" s="92"/>
      <c r="AH354" s="92"/>
    </row>
    <row r="355">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c r="AC355" s="92"/>
      <c r="AD355" s="92"/>
      <c r="AE355" s="92"/>
      <c r="AF355" s="92"/>
      <c r="AG355" s="92"/>
      <c r="AH355" s="92"/>
    </row>
    <row r="356">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2"/>
      <c r="AF356" s="92"/>
      <c r="AG356" s="92"/>
      <c r="AH356" s="92"/>
    </row>
    <row r="357">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2"/>
      <c r="AF357" s="92"/>
      <c r="AG357" s="92"/>
      <c r="AH357" s="92"/>
    </row>
    <row r="358">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c r="AE358" s="92"/>
      <c r="AF358" s="92"/>
      <c r="AG358" s="92"/>
      <c r="AH358" s="92"/>
    </row>
    <row r="359">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c r="AC359" s="92"/>
      <c r="AD359" s="92"/>
      <c r="AE359" s="92"/>
      <c r="AF359" s="92"/>
      <c r="AG359" s="92"/>
      <c r="AH359" s="92"/>
    </row>
    <row r="360">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c r="AE360" s="92"/>
      <c r="AF360" s="92"/>
      <c r="AG360" s="92"/>
      <c r="AH360" s="92"/>
    </row>
    <row r="361">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2"/>
      <c r="AF361" s="92"/>
      <c r="AG361" s="92"/>
      <c r="AH361" s="92"/>
    </row>
    <row r="36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2"/>
      <c r="AF362" s="92"/>
      <c r="AG362" s="92"/>
      <c r="AH362" s="92"/>
    </row>
    <row r="363">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c r="AC363" s="92"/>
      <c r="AD363" s="92"/>
      <c r="AE363" s="92"/>
      <c r="AF363" s="92"/>
      <c r="AG363" s="92"/>
      <c r="AH363" s="92"/>
    </row>
    <row r="364">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c r="AC364" s="92"/>
      <c r="AD364" s="92"/>
      <c r="AE364" s="92"/>
      <c r="AF364" s="92"/>
      <c r="AG364" s="92"/>
      <c r="AH364" s="92"/>
    </row>
    <row r="365">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2"/>
      <c r="AF365" s="92"/>
      <c r="AG365" s="92"/>
      <c r="AH365" s="92"/>
    </row>
    <row r="366">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2"/>
      <c r="AF366" s="92"/>
      <c r="AG366" s="92"/>
      <c r="AH366" s="92"/>
    </row>
    <row r="367">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2"/>
      <c r="AF367" s="92"/>
      <c r="AG367" s="92"/>
      <c r="AH367" s="92"/>
    </row>
    <row r="368">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2"/>
      <c r="AF368" s="92"/>
      <c r="AG368" s="92"/>
      <c r="AH368" s="92"/>
    </row>
    <row r="369">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c r="AC369" s="92"/>
      <c r="AD369" s="92"/>
      <c r="AE369" s="92"/>
      <c r="AF369" s="92"/>
      <c r="AG369" s="92"/>
      <c r="AH369" s="92"/>
    </row>
    <row r="370">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c r="AC370" s="92"/>
      <c r="AD370" s="92"/>
      <c r="AE370" s="92"/>
      <c r="AF370" s="92"/>
      <c r="AG370" s="92"/>
      <c r="AH370" s="92"/>
    </row>
    <row r="371">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c r="AC371" s="92"/>
      <c r="AD371" s="92"/>
      <c r="AE371" s="92"/>
      <c r="AF371" s="92"/>
      <c r="AG371" s="92"/>
      <c r="AH371" s="92"/>
    </row>
    <row r="37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c r="AC372" s="92"/>
      <c r="AD372" s="92"/>
      <c r="AE372" s="92"/>
      <c r="AF372" s="92"/>
      <c r="AG372" s="92"/>
      <c r="AH372" s="92"/>
    </row>
    <row r="373">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c r="AC373" s="92"/>
      <c r="AD373" s="92"/>
      <c r="AE373" s="92"/>
      <c r="AF373" s="92"/>
      <c r="AG373" s="92"/>
      <c r="AH373" s="92"/>
    </row>
    <row r="374">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c r="AC374" s="92"/>
      <c r="AD374" s="92"/>
      <c r="AE374" s="92"/>
      <c r="AF374" s="92"/>
      <c r="AG374" s="92"/>
      <c r="AH374" s="92"/>
    </row>
    <row r="375">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c r="AC375" s="92"/>
      <c r="AD375" s="92"/>
      <c r="AE375" s="92"/>
      <c r="AF375" s="92"/>
      <c r="AG375" s="92"/>
      <c r="AH375" s="92"/>
    </row>
    <row r="376">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c r="AC376" s="92"/>
      <c r="AD376" s="92"/>
      <c r="AE376" s="92"/>
      <c r="AF376" s="92"/>
      <c r="AG376" s="92"/>
      <c r="AH376" s="92"/>
    </row>
    <row r="377">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c r="AC377" s="92"/>
      <c r="AD377" s="92"/>
      <c r="AE377" s="92"/>
      <c r="AF377" s="92"/>
      <c r="AG377" s="92"/>
      <c r="AH377" s="92"/>
    </row>
    <row r="378">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c r="AC378" s="92"/>
      <c r="AD378" s="92"/>
      <c r="AE378" s="92"/>
      <c r="AF378" s="92"/>
      <c r="AG378" s="92"/>
      <c r="AH378" s="92"/>
    </row>
    <row r="379">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2"/>
      <c r="AF379" s="92"/>
      <c r="AG379" s="92"/>
      <c r="AH379" s="92"/>
    </row>
    <row r="380">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c r="AC380" s="92"/>
      <c r="AD380" s="92"/>
      <c r="AE380" s="92"/>
      <c r="AF380" s="92"/>
      <c r="AG380" s="92"/>
      <c r="AH380" s="92"/>
    </row>
    <row r="381">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2"/>
      <c r="AF381" s="92"/>
      <c r="AG381" s="92"/>
      <c r="AH381" s="92"/>
    </row>
    <row r="38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2"/>
      <c r="AF382" s="92"/>
      <c r="AG382" s="92"/>
      <c r="AH382" s="92"/>
    </row>
    <row r="383">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c r="AC383" s="92"/>
      <c r="AD383" s="92"/>
      <c r="AE383" s="92"/>
      <c r="AF383" s="92"/>
      <c r="AG383" s="92"/>
      <c r="AH383" s="92"/>
    </row>
    <row r="384">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2"/>
      <c r="AF384" s="92"/>
      <c r="AG384" s="92"/>
      <c r="AH384" s="92"/>
    </row>
    <row r="385">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c r="AC385" s="92"/>
      <c r="AD385" s="92"/>
      <c r="AE385" s="92"/>
      <c r="AF385" s="92"/>
      <c r="AG385" s="92"/>
      <c r="AH385" s="92"/>
    </row>
    <row r="386">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c r="AC386" s="92"/>
      <c r="AD386" s="92"/>
      <c r="AE386" s="92"/>
      <c r="AF386" s="92"/>
      <c r="AG386" s="92"/>
      <c r="AH386" s="92"/>
    </row>
    <row r="387">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2"/>
      <c r="AF387" s="92"/>
      <c r="AG387" s="92"/>
      <c r="AH387" s="92"/>
    </row>
    <row r="388">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2"/>
      <c r="AF388" s="92"/>
      <c r="AG388" s="92"/>
      <c r="AH388" s="92"/>
    </row>
    <row r="389">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2"/>
      <c r="AF389" s="92"/>
      <c r="AG389" s="92"/>
      <c r="AH389" s="92"/>
    </row>
    <row r="390">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2"/>
      <c r="AF390" s="92"/>
      <c r="AG390" s="92"/>
      <c r="AH390" s="92"/>
    </row>
    <row r="391">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c r="AC391" s="92"/>
      <c r="AD391" s="92"/>
      <c r="AE391" s="92"/>
      <c r="AF391" s="92"/>
      <c r="AG391" s="92"/>
      <c r="AH391" s="92"/>
    </row>
    <row r="3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2"/>
      <c r="AF392" s="92"/>
      <c r="AG392" s="92"/>
      <c r="AH392" s="92"/>
    </row>
    <row r="393">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2"/>
      <c r="AF393" s="92"/>
      <c r="AG393" s="92"/>
      <c r="AH393" s="92"/>
    </row>
    <row r="394">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c r="AF394" s="92"/>
      <c r="AG394" s="92"/>
      <c r="AH394" s="92"/>
    </row>
    <row r="395">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2"/>
      <c r="AF395" s="92"/>
      <c r="AG395" s="92"/>
      <c r="AH395" s="92"/>
    </row>
    <row r="396">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2"/>
      <c r="AF396" s="92"/>
      <c r="AG396" s="92"/>
      <c r="AH396" s="92"/>
    </row>
    <row r="397">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2"/>
      <c r="AF397" s="92"/>
      <c r="AG397" s="92"/>
      <c r="AH397" s="92"/>
    </row>
    <row r="398">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2"/>
      <c r="AF398" s="92"/>
      <c r="AG398" s="92"/>
      <c r="AH398" s="92"/>
    </row>
    <row r="399">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2"/>
      <c r="AF399" s="92"/>
      <c r="AG399" s="92"/>
      <c r="AH399" s="92"/>
    </row>
    <row r="400">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2"/>
      <c r="AF400" s="92"/>
      <c r="AG400" s="92"/>
      <c r="AH400" s="92"/>
    </row>
    <row r="401">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c r="AC401" s="92"/>
      <c r="AD401" s="92"/>
      <c r="AE401" s="92"/>
      <c r="AF401" s="92"/>
      <c r="AG401" s="92"/>
      <c r="AH401" s="92"/>
    </row>
    <row r="40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2"/>
      <c r="AF402" s="92"/>
      <c r="AG402" s="92"/>
      <c r="AH402" s="92"/>
    </row>
    <row r="403">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c r="AC403" s="92"/>
      <c r="AD403" s="92"/>
      <c r="AE403" s="92"/>
      <c r="AF403" s="92"/>
      <c r="AG403" s="92"/>
      <c r="AH403" s="92"/>
    </row>
    <row r="404">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c r="AC404" s="92"/>
      <c r="AD404" s="92"/>
      <c r="AE404" s="92"/>
      <c r="AF404" s="92"/>
      <c r="AG404" s="92"/>
      <c r="AH404" s="92"/>
    </row>
    <row r="405">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2"/>
      <c r="AF405" s="92"/>
      <c r="AG405" s="92"/>
      <c r="AH405" s="92"/>
    </row>
    <row r="406">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2"/>
      <c r="AF406" s="92"/>
      <c r="AG406" s="92"/>
      <c r="AH406" s="92"/>
    </row>
    <row r="407">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c r="AC407" s="92"/>
      <c r="AD407" s="92"/>
      <c r="AE407" s="92"/>
      <c r="AF407" s="92"/>
      <c r="AG407" s="92"/>
      <c r="AH407" s="92"/>
    </row>
    <row r="408">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c r="AC408" s="92"/>
      <c r="AD408" s="92"/>
      <c r="AE408" s="92"/>
      <c r="AF408" s="92"/>
      <c r="AG408" s="92"/>
      <c r="AH408" s="92"/>
    </row>
    <row r="409">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c r="AC409" s="92"/>
      <c r="AD409" s="92"/>
      <c r="AE409" s="92"/>
      <c r="AF409" s="92"/>
      <c r="AG409" s="92"/>
      <c r="AH409" s="92"/>
    </row>
    <row r="410">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2"/>
      <c r="AF410" s="92"/>
      <c r="AG410" s="92"/>
      <c r="AH410" s="92"/>
    </row>
    <row r="411">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2"/>
      <c r="AF411" s="92"/>
      <c r="AG411" s="92"/>
      <c r="AH411" s="92"/>
    </row>
    <row r="41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c r="AC412" s="92"/>
      <c r="AD412" s="92"/>
      <c r="AE412" s="92"/>
      <c r="AF412" s="92"/>
      <c r="AG412" s="92"/>
      <c r="AH412" s="92"/>
    </row>
    <row r="413">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c r="AC413" s="92"/>
      <c r="AD413" s="92"/>
      <c r="AE413" s="92"/>
      <c r="AF413" s="92"/>
      <c r="AG413" s="92"/>
      <c r="AH413" s="92"/>
    </row>
    <row r="414">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2"/>
      <c r="AF414" s="92"/>
      <c r="AG414" s="92"/>
      <c r="AH414" s="92"/>
    </row>
    <row r="415">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2"/>
      <c r="AF415" s="92"/>
      <c r="AG415" s="92"/>
      <c r="AH415" s="92"/>
    </row>
    <row r="416">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2"/>
      <c r="AF416" s="92"/>
      <c r="AG416" s="92"/>
      <c r="AH416" s="92"/>
    </row>
    <row r="417">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2"/>
      <c r="AF417" s="92"/>
      <c r="AG417" s="92"/>
      <c r="AH417" s="92"/>
    </row>
    <row r="418">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c r="AC418" s="92"/>
      <c r="AD418" s="92"/>
      <c r="AE418" s="92"/>
      <c r="AF418" s="92"/>
      <c r="AG418" s="92"/>
      <c r="AH418" s="92"/>
    </row>
    <row r="419">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c r="AC419" s="92"/>
      <c r="AD419" s="92"/>
      <c r="AE419" s="92"/>
      <c r="AF419" s="92"/>
      <c r="AG419" s="92"/>
      <c r="AH419" s="92"/>
    </row>
    <row r="420">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c r="AC420" s="92"/>
      <c r="AD420" s="92"/>
      <c r="AE420" s="92"/>
      <c r="AF420" s="92"/>
      <c r="AG420" s="92"/>
      <c r="AH420" s="92"/>
    </row>
    <row r="421">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2"/>
      <c r="AF421" s="92"/>
      <c r="AG421" s="92"/>
      <c r="AH421" s="92"/>
    </row>
    <row r="42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2"/>
      <c r="AF422" s="92"/>
      <c r="AG422" s="92"/>
      <c r="AH422" s="92"/>
    </row>
    <row r="423">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c r="AC423" s="92"/>
      <c r="AD423" s="92"/>
      <c r="AE423" s="92"/>
      <c r="AF423" s="92"/>
      <c r="AG423" s="92"/>
      <c r="AH423" s="92"/>
    </row>
    <row r="424">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c r="AC424" s="92"/>
      <c r="AD424" s="92"/>
      <c r="AE424" s="92"/>
      <c r="AF424" s="92"/>
      <c r="AG424" s="92"/>
      <c r="AH424" s="92"/>
    </row>
    <row r="425">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2"/>
      <c r="AF425" s="92"/>
      <c r="AG425" s="92"/>
      <c r="AH425" s="92"/>
    </row>
    <row r="426">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2"/>
      <c r="AF426" s="92"/>
      <c r="AG426" s="92"/>
      <c r="AH426" s="92"/>
    </row>
    <row r="427">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2"/>
      <c r="AF427" s="92"/>
      <c r="AG427" s="92"/>
      <c r="AH427" s="92"/>
    </row>
    <row r="428">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c r="AC428" s="92"/>
      <c r="AD428" s="92"/>
      <c r="AE428" s="92"/>
      <c r="AF428" s="92"/>
      <c r="AG428" s="92"/>
      <c r="AH428" s="92"/>
    </row>
    <row r="429">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c r="AC429" s="92"/>
      <c r="AD429" s="92"/>
      <c r="AE429" s="92"/>
      <c r="AF429" s="92"/>
      <c r="AG429" s="92"/>
      <c r="AH429" s="92"/>
    </row>
    <row r="430">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c r="AC430" s="92"/>
      <c r="AD430" s="92"/>
      <c r="AE430" s="92"/>
      <c r="AF430" s="92"/>
      <c r="AG430" s="92"/>
      <c r="AH430" s="92"/>
    </row>
    <row r="431">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c r="AC431" s="92"/>
      <c r="AD431" s="92"/>
      <c r="AE431" s="92"/>
      <c r="AF431" s="92"/>
      <c r="AG431" s="92"/>
      <c r="AH431" s="92"/>
    </row>
    <row r="43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c r="AC432" s="92"/>
      <c r="AD432" s="92"/>
      <c r="AE432" s="92"/>
      <c r="AF432" s="92"/>
      <c r="AG432" s="92"/>
      <c r="AH432" s="92"/>
    </row>
    <row r="433">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c r="AC433" s="92"/>
      <c r="AD433" s="92"/>
      <c r="AE433" s="92"/>
      <c r="AF433" s="92"/>
      <c r="AG433" s="92"/>
      <c r="AH433" s="92"/>
    </row>
    <row r="434">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c r="AC434" s="92"/>
      <c r="AD434" s="92"/>
      <c r="AE434" s="92"/>
      <c r="AF434" s="92"/>
      <c r="AG434" s="92"/>
      <c r="AH434" s="92"/>
    </row>
    <row r="435">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c r="AC435" s="92"/>
      <c r="AD435" s="92"/>
      <c r="AE435" s="92"/>
      <c r="AF435" s="92"/>
      <c r="AG435" s="92"/>
      <c r="AH435" s="92"/>
    </row>
    <row r="436">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c r="AC436" s="92"/>
      <c r="AD436" s="92"/>
      <c r="AE436" s="92"/>
      <c r="AF436" s="92"/>
      <c r="AG436" s="92"/>
      <c r="AH436" s="92"/>
    </row>
    <row r="437">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c r="AC437" s="92"/>
      <c r="AD437" s="92"/>
      <c r="AE437" s="92"/>
      <c r="AF437" s="92"/>
      <c r="AG437" s="92"/>
      <c r="AH437" s="92"/>
    </row>
    <row r="438">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2"/>
      <c r="AF438" s="92"/>
      <c r="AG438" s="92"/>
      <c r="AH438" s="92"/>
    </row>
    <row r="439">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c r="AC439" s="92"/>
      <c r="AD439" s="92"/>
      <c r="AE439" s="92"/>
      <c r="AF439" s="92"/>
      <c r="AG439" s="92"/>
      <c r="AH439" s="92"/>
    </row>
    <row r="440">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2"/>
      <c r="AF440" s="92"/>
      <c r="AG440" s="92"/>
      <c r="AH440" s="92"/>
    </row>
    <row r="441">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c r="AC441" s="92"/>
      <c r="AD441" s="92"/>
      <c r="AE441" s="92"/>
      <c r="AF441" s="92"/>
      <c r="AG441" s="92"/>
      <c r="AH441" s="92"/>
    </row>
    <row r="44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2"/>
      <c r="AF442" s="92"/>
      <c r="AG442" s="92"/>
      <c r="AH442" s="92"/>
    </row>
    <row r="443">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c r="AC443" s="92"/>
      <c r="AD443" s="92"/>
      <c r="AE443" s="92"/>
      <c r="AF443" s="92"/>
      <c r="AG443" s="92"/>
      <c r="AH443" s="92"/>
    </row>
    <row r="444">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2"/>
      <c r="AF444" s="92"/>
      <c r="AG444" s="92"/>
      <c r="AH444" s="92"/>
    </row>
    <row r="445">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c r="AC445" s="92"/>
      <c r="AD445" s="92"/>
      <c r="AE445" s="92"/>
      <c r="AF445" s="92"/>
      <c r="AG445" s="92"/>
      <c r="AH445" s="92"/>
    </row>
    <row r="446">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2"/>
      <c r="AF446" s="92"/>
      <c r="AG446" s="92"/>
      <c r="AH446" s="92"/>
    </row>
    <row r="447">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c r="AC447" s="92"/>
      <c r="AD447" s="92"/>
      <c r="AE447" s="92"/>
      <c r="AF447" s="92"/>
      <c r="AG447" s="92"/>
      <c r="AH447" s="92"/>
    </row>
    <row r="448">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2"/>
      <c r="AF448" s="92"/>
      <c r="AG448" s="92"/>
      <c r="AH448" s="92"/>
    </row>
    <row r="449">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c r="AC449" s="92"/>
      <c r="AD449" s="92"/>
      <c r="AE449" s="92"/>
      <c r="AF449" s="92"/>
      <c r="AG449" s="92"/>
      <c r="AH449" s="92"/>
    </row>
    <row r="450">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2"/>
      <c r="AF450" s="92"/>
      <c r="AG450" s="92"/>
      <c r="AH450" s="92"/>
    </row>
    <row r="451">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c r="AC451" s="92"/>
      <c r="AD451" s="92"/>
      <c r="AE451" s="92"/>
      <c r="AF451" s="92"/>
      <c r="AG451" s="92"/>
      <c r="AH451" s="92"/>
    </row>
    <row r="45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2"/>
      <c r="AF452" s="92"/>
      <c r="AG452" s="92"/>
      <c r="AH452" s="92"/>
    </row>
    <row r="453">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2"/>
      <c r="AF453" s="92"/>
      <c r="AG453" s="92"/>
      <c r="AH453" s="92"/>
    </row>
    <row r="454">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2"/>
      <c r="AF454" s="92"/>
      <c r="AG454" s="92"/>
      <c r="AH454" s="92"/>
    </row>
    <row r="455">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c r="AC455" s="92"/>
      <c r="AD455" s="92"/>
      <c r="AE455" s="92"/>
      <c r="AF455" s="92"/>
      <c r="AG455" s="92"/>
      <c r="AH455" s="92"/>
    </row>
    <row r="456">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2"/>
      <c r="AF456" s="92"/>
      <c r="AG456" s="92"/>
      <c r="AH456" s="92"/>
    </row>
    <row r="457">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c r="AC457" s="92"/>
      <c r="AD457" s="92"/>
      <c r="AE457" s="92"/>
      <c r="AF457" s="92"/>
      <c r="AG457" s="92"/>
      <c r="AH457" s="92"/>
    </row>
    <row r="458">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2"/>
      <c r="AF458" s="92"/>
      <c r="AG458" s="92"/>
      <c r="AH458" s="92"/>
    </row>
    <row r="459">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2"/>
      <c r="AF459" s="92"/>
      <c r="AG459" s="92"/>
      <c r="AH459" s="92"/>
    </row>
    <row r="460">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2"/>
      <c r="AF460" s="92"/>
      <c r="AG460" s="92"/>
      <c r="AH460" s="92"/>
    </row>
    <row r="461">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c r="AC461" s="92"/>
      <c r="AD461" s="92"/>
      <c r="AE461" s="92"/>
      <c r="AF461" s="92"/>
      <c r="AG461" s="92"/>
      <c r="AH461" s="92"/>
    </row>
    <row r="46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c r="AF462" s="92"/>
      <c r="AG462" s="92"/>
      <c r="AH462" s="92"/>
    </row>
    <row r="463">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2"/>
      <c r="AF463" s="92"/>
      <c r="AG463" s="92"/>
      <c r="AH463" s="92"/>
    </row>
    <row r="464">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c r="AF464" s="92"/>
      <c r="AG464" s="92"/>
      <c r="AH464" s="92"/>
    </row>
    <row r="465">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c r="AC465" s="92"/>
      <c r="AD465" s="92"/>
      <c r="AE465" s="92"/>
      <c r="AF465" s="92"/>
      <c r="AG465" s="92"/>
      <c r="AH465" s="92"/>
    </row>
    <row r="466">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c r="AC466" s="92"/>
      <c r="AD466" s="92"/>
      <c r="AE466" s="92"/>
      <c r="AF466" s="92"/>
      <c r="AG466" s="92"/>
      <c r="AH466" s="92"/>
    </row>
    <row r="467">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c r="AC467" s="92"/>
      <c r="AD467" s="92"/>
      <c r="AE467" s="92"/>
      <c r="AF467" s="92"/>
      <c r="AG467" s="92"/>
      <c r="AH467" s="92"/>
    </row>
    <row r="468">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c r="AC468" s="92"/>
      <c r="AD468" s="92"/>
      <c r="AE468" s="92"/>
      <c r="AF468" s="92"/>
      <c r="AG468" s="92"/>
      <c r="AH468" s="92"/>
    </row>
    <row r="469">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92"/>
      <c r="AF469" s="92"/>
      <c r="AG469" s="92"/>
      <c r="AH469" s="92"/>
    </row>
    <row r="470">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c r="AC470" s="92"/>
      <c r="AD470" s="92"/>
      <c r="AE470" s="92"/>
      <c r="AF470" s="92"/>
      <c r="AG470" s="92"/>
      <c r="AH470" s="92"/>
    </row>
    <row r="471">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c r="AC471" s="92"/>
      <c r="AD471" s="92"/>
      <c r="AE471" s="92"/>
      <c r="AF471" s="92"/>
      <c r="AG471" s="92"/>
      <c r="AH471" s="92"/>
    </row>
    <row r="47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c r="AC472" s="92"/>
      <c r="AD472" s="92"/>
      <c r="AE472" s="92"/>
      <c r="AF472" s="92"/>
      <c r="AG472" s="92"/>
      <c r="AH472" s="92"/>
    </row>
    <row r="473">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c r="AC473" s="92"/>
      <c r="AD473" s="92"/>
      <c r="AE473" s="92"/>
      <c r="AF473" s="92"/>
      <c r="AG473" s="92"/>
      <c r="AH473" s="92"/>
    </row>
    <row r="474">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c r="AC474" s="92"/>
      <c r="AD474" s="92"/>
      <c r="AE474" s="92"/>
      <c r="AF474" s="92"/>
      <c r="AG474" s="92"/>
      <c r="AH474" s="92"/>
    </row>
    <row r="475">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c r="AC475" s="92"/>
      <c r="AD475" s="92"/>
      <c r="AE475" s="92"/>
      <c r="AF475" s="92"/>
      <c r="AG475" s="92"/>
      <c r="AH475" s="92"/>
    </row>
    <row r="476">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c r="AC476" s="92"/>
      <c r="AD476" s="92"/>
      <c r="AE476" s="92"/>
      <c r="AF476" s="92"/>
      <c r="AG476" s="92"/>
      <c r="AH476" s="92"/>
    </row>
    <row r="477">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c r="AC477" s="92"/>
      <c r="AD477" s="92"/>
      <c r="AE477" s="92"/>
      <c r="AF477" s="92"/>
      <c r="AG477" s="92"/>
      <c r="AH477" s="92"/>
    </row>
    <row r="478">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c r="AC478" s="92"/>
      <c r="AD478" s="92"/>
      <c r="AE478" s="92"/>
      <c r="AF478" s="92"/>
      <c r="AG478" s="92"/>
      <c r="AH478" s="92"/>
    </row>
    <row r="479">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c r="AC479" s="92"/>
      <c r="AD479" s="92"/>
      <c r="AE479" s="92"/>
      <c r="AF479" s="92"/>
      <c r="AG479" s="92"/>
      <c r="AH479" s="92"/>
    </row>
    <row r="480">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c r="AC480" s="92"/>
      <c r="AD480" s="92"/>
      <c r="AE480" s="92"/>
      <c r="AF480" s="92"/>
      <c r="AG480" s="92"/>
      <c r="AH480" s="92"/>
    </row>
    <row r="481">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c r="AC481" s="92"/>
      <c r="AD481" s="92"/>
      <c r="AE481" s="92"/>
      <c r="AF481" s="92"/>
      <c r="AG481" s="92"/>
      <c r="AH481" s="92"/>
    </row>
    <row r="48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c r="AC482" s="92"/>
      <c r="AD482" s="92"/>
      <c r="AE482" s="92"/>
      <c r="AF482" s="92"/>
      <c r="AG482" s="92"/>
      <c r="AH482" s="92"/>
    </row>
    <row r="483">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c r="AC483" s="92"/>
      <c r="AD483" s="92"/>
      <c r="AE483" s="92"/>
      <c r="AF483" s="92"/>
      <c r="AG483" s="92"/>
      <c r="AH483" s="92"/>
    </row>
    <row r="484">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c r="AC484" s="92"/>
      <c r="AD484" s="92"/>
      <c r="AE484" s="92"/>
      <c r="AF484" s="92"/>
      <c r="AG484" s="92"/>
      <c r="AH484" s="92"/>
    </row>
    <row r="485">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c r="AC485" s="92"/>
      <c r="AD485" s="92"/>
      <c r="AE485" s="92"/>
      <c r="AF485" s="92"/>
      <c r="AG485" s="92"/>
      <c r="AH485" s="92"/>
    </row>
    <row r="486">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c r="AC486" s="92"/>
      <c r="AD486" s="92"/>
      <c r="AE486" s="92"/>
      <c r="AF486" s="92"/>
      <c r="AG486" s="92"/>
      <c r="AH486" s="92"/>
    </row>
    <row r="487">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2"/>
      <c r="AF487" s="92"/>
      <c r="AG487" s="92"/>
      <c r="AH487" s="92"/>
    </row>
    <row r="488">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c r="AC488" s="92"/>
      <c r="AD488" s="92"/>
      <c r="AE488" s="92"/>
      <c r="AF488" s="92"/>
      <c r="AG488" s="92"/>
      <c r="AH488" s="92"/>
    </row>
    <row r="489">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c r="AC489" s="92"/>
      <c r="AD489" s="92"/>
      <c r="AE489" s="92"/>
      <c r="AF489" s="92"/>
      <c r="AG489" s="92"/>
      <c r="AH489" s="92"/>
    </row>
    <row r="490">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c r="AC490" s="92"/>
      <c r="AD490" s="92"/>
      <c r="AE490" s="92"/>
      <c r="AF490" s="92"/>
      <c r="AG490" s="92"/>
      <c r="AH490" s="92"/>
    </row>
    <row r="491">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c r="AC491" s="92"/>
      <c r="AD491" s="92"/>
      <c r="AE491" s="92"/>
      <c r="AF491" s="92"/>
      <c r="AG491" s="92"/>
      <c r="AH491" s="92"/>
    </row>
    <row r="4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c r="AC492" s="92"/>
      <c r="AD492" s="92"/>
      <c r="AE492" s="92"/>
      <c r="AF492" s="92"/>
      <c r="AG492" s="92"/>
      <c r="AH492" s="92"/>
    </row>
    <row r="493">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c r="AC493" s="92"/>
      <c r="AD493" s="92"/>
      <c r="AE493" s="92"/>
      <c r="AF493" s="92"/>
      <c r="AG493" s="92"/>
      <c r="AH493" s="92"/>
    </row>
    <row r="494">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c r="AC494" s="92"/>
      <c r="AD494" s="92"/>
      <c r="AE494" s="92"/>
      <c r="AF494" s="92"/>
      <c r="AG494" s="92"/>
      <c r="AH494" s="92"/>
    </row>
    <row r="495">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c r="AC495" s="92"/>
      <c r="AD495" s="92"/>
      <c r="AE495" s="92"/>
      <c r="AF495" s="92"/>
      <c r="AG495" s="92"/>
      <c r="AH495" s="92"/>
    </row>
    <row r="496">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c r="AC496" s="92"/>
      <c r="AD496" s="92"/>
      <c r="AE496" s="92"/>
      <c r="AF496" s="92"/>
      <c r="AG496" s="92"/>
      <c r="AH496" s="92"/>
    </row>
    <row r="497">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c r="AC497" s="92"/>
      <c r="AD497" s="92"/>
      <c r="AE497" s="92"/>
      <c r="AF497" s="92"/>
      <c r="AG497" s="92"/>
      <c r="AH497" s="92"/>
    </row>
    <row r="498">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c r="AC498" s="92"/>
      <c r="AD498" s="92"/>
      <c r="AE498" s="92"/>
      <c r="AF498" s="92"/>
      <c r="AG498" s="92"/>
      <c r="AH498" s="92"/>
    </row>
    <row r="499">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c r="AC499" s="92"/>
      <c r="AD499" s="92"/>
      <c r="AE499" s="92"/>
      <c r="AF499" s="92"/>
      <c r="AG499" s="92"/>
      <c r="AH499" s="92"/>
    </row>
    <row r="500">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c r="AC500" s="92"/>
      <c r="AD500" s="92"/>
      <c r="AE500" s="92"/>
      <c r="AF500" s="92"/>
      <c r="AG500" s="92"/>
      <c r="AH500" s="92"/>
    </row>
    <row r="501">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c r="AC501" s="92"/>
      <c r="AD501" s="92"/>
      <c r="AE501" s="92"/>
      <c r="AF501" s="92"/>
      <c r="AG501" s="92"/>
      <c r="AH501" s="92"/>
    </row>
    <row r="50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c r="AC502" s="92"/>
      <c r="AD502" s="92"/>
      <c r="AE502" s="92"/>
      <c r="AF502" s="92"/>
      <c r="AG502" s="92"/>
      <c r="AH502" s="92"/>
    </row>
    <row r="503">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c r="AC503" s="92"/>
      <c r="AD503" s="92"/>
      <c r="AE503" s="92"/>
      <c r="AF503" s="92"/>
      <c r="AG503" s="92"/>
      <c r="AH503" s="92"/>
    </row>
    <row r="504">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c r="AC504" s="92"/>
      <c r="AD504" s="92"/>
      <c r="AE504" s="92"/>
      <c r="AF504" s="92"/>
      <c r="AG504" s="92"/>
      <c r="AH504" s="92"/>
    </row>
    <row r="505">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c r="AC505" s="92"/>
      <c r="AD505" s="92"/>
      <c r="AE505" s="92"/>
      <c r="AF505" s="92"/>
      <c r="AG505" s="92"/>
      <c r="AH505" s="92"/>
    </row>
    <row r="506">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2"/>
      <c r="AF506" s="92"/>
      <c r="AG506" s="92"/>
      <c r="AH506" s="92"/>
    </row>
    <row r="507">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2"/>
      <c r="AF507" s="92"/>
      <c r="AG507" s="92"/>
      <c r="AH507" s="92"/>
    </row>
    <row r="508">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2"/>
      <c r="AF508" s="92"/>
      <c r="AG508" s="92"/>
      <c r="AH508" s="92"/>
    </row>
    <row r="509">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2"/>
      <c r="AF509" s="92"/>
      <c r="AG509" s="92"/>
      <c r="AH509" s="92"/>
    </row>
    <row r="510">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2"/>
      <c r="AF510" s="92"/>
      <c r="AG510" s="92"/>
      <c r="AH510" s="92"/>
    </row>
    <row r="51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c r="AG511" s="92"/>
      <c r="AH511" s="92"/>
    </row>
    <row r="51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2"/>
      <c r="AF512" s="92"/>
      <c r="AG512" s="92"/>
      <c r="AH512" s="92"/>
    </row>
    <row r="513">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2"/>
      <c r="AF513" s="92"/>
      <c r="AG513" s="92"/>
      <c r="AH513" s="92"/>
    </row>
    <row r="514">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2"/>
      <c r="AF514" s="92"/>
      <c r="AG514" s="92"/>
      <c r="AH514" s="92"/>
    </row>
    <row r="515">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2"/>
      <c r="AF515" s="92"/>
      <c r="AG515" s="92"/>
      <c r="AH515" s="92"/>
    </row>
    <row r="516">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2"/>
      <c r="AF516" s="92"/>
      <c r="AG516" s="92"/>
      <c r="AH516" s="92"/>
    </row>
    <row r="517">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2"/>
      <c r="AF517" s="92"/>
      <c r="AG517" s="92"/>
      <c r="AH517" s="92"/>
    </row>
    <row r="518">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c r="AC518" s="92"/>
      <c r="AD518" s="92"/>
      <c r="AE518" s="92"/>
      <c r="AF518" s="92"/>
      <c r="AG518" s="92"/>
      <c r="AH518" s="92"/>
    </row>
    <row r="519">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2"/>
      <c r="AF519" s="92"/>
      <c r="AG519" s="92"/>
      <c r="AH519" s="92"/>
    </row>
    <row r="520">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2"/>
      <c r="AF520" s="92"/>
      <c r="AG520" s="92"/>
      <c r="AH520" s="92"/>
    </row>
    <row r="521">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c r="AC521" s="92"/>
      <c r="AD521" s="92"/>
      <c r="AE521" s="92"/>
      <c r="AF521" s="92"/>
      <c r="AG521" s="92"/>
      <c r="AH521" s="92"/>
    </row>
    <row r="52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c r="AC522" s="92"/>
      <c r="AD522" s="92"/>
      <c r="AE522" s="92"/>
      <c r="AF522" s="92"/>
      <c r="AG522" s="92"/>
      <c r="AH522" s="92"/>
    </row>
    <row r="523">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2"/>
      <c r="AF523" s="92"/>
      <c r="AG523" s="92"/>
      <c r="AH523" s="92"/>
    </row>
    <row r="524">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2"/>
      <c r="AF524" s="92"/>
      <c r="AG524" s="92"/>
      <c r="AH524" s="92"/>
    </row>
    <row r="525">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2"/>
      <c r="AF525" s="92"/>
      <c r="AG525" s="92"/>
      <c r="AH525" s="92"/>
    </row>
    <row r="526">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2"/>
      <c r="AF526" s="92"/>
      <c r="AG526" s="92"/>
      <c r="AH526" s="92"/>
    </row>
    <row r="527">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2"/>
      <c r="AF527" s="92"/>
      <c r="AG527" s="92"/>
      <c r="AH527" s="92"/>
    </row>
    <row r="528">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2"/>
      <c r="AF528" s="92"/>
      <c r="AG528" s="92"/>
      <c r="AH528" s="92"/>
    </row>
    <row r="529">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2"/>
      <c r="AF529" s="92"/>
      <c r="AG529" s="92"/>
      <c r="AH529" s="92"/>
    </row>
    <row r="530">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2"/>
      <c r="AF530" s="92"/>
      <c r="AG530" s="92"/>
      <c r="AH530" s="92"/>
    </row>
    <row r="531">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2"/>
      <c r="AF531" s="92"/>
      <c r="AG531" s="92"/>
      <c r="AH531" s="92"/>
    </row>
    <row r="53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2"/>
      <c r="AF532" s="92"/>
      <c r="AG532" s="92"/>
      <c r="AH532" s="92"/>
    </row>
    <row r="533">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2"/>
      <c r="AF533" s="92"/>
      <c r="AG533" s="92"/>
      <c r="AH533" s="92"/>
    </row>
    <row r="534">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2"/>
      <c r="AF534" s="92"/>
      <c r="AG534" s="92"/>
      <c r="AH534" s="92"/>
    </row>
    <row r="535">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2"/>
      <c r="AF535" s="92"/>
      <c r="AG535" s="92"/>
      <c r="AH535" s="92"/>
    </row>
    <row r="536">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2"/>
      <c r="AF536" s="92"/>
      <c r="AG536" s="92"/>
      <c r="AH536" s="92"/>
    </row>
    <row r="537">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2"/>
      <c r="AF537" s="92"/>
      <c r="AG537" s="92"/>
      <c r="AH537" s="92"/>
    </row>
    <row r="538">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2"/>
      <c r="AF538" s="92"/>
      <c r="AG538" s="92"/>
      <c r="AH538" s="92"/>
    </row>
    <row r="539">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2"/>
      <c r="AF539" s="92"/>
      <c r="AG539" s="92"/>
      <c r="AH539" s="92"/>
    </row>
    <row r="540">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2"/>
      <c r="AF540" s="92"/>
      <c r="AG540" s="92"/>
      <c r="AH540" s="92"/>
    </row>
    <row r="541">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2"/>
      <c r="AF541" s="92"/>
      <c r="AG541" s="92"/>
      <c r="AH541" s="92"/>
    </row>
    <row r="54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2"/>
      <c r="AF542" s="92"/>
      <c r="AG542" s="92"/>
      <c r="AH542" s="92"/>
    </row>
    <row r="543">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c r="AC543" s="92"/>
      <c r="AD543" s="92"/>
      <c r="AE543" s="92"/>
      <c r="AF543" s="92"/>
      <c r="AG543" s="92"/>
      <c r="AH543" s="92"/>
    </row>
    <row r="544">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2"/>
      <c r="AF544" s="92"/>
      <c r="AG544" s="92"/>
      <c r="AH544" s="92"/>
    </row>
    <row r="545">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c r="AC545" s="92"/>
      <c r="AD545" s="92"/>
      <c r="AE545" s="92"/>
      <c r="AF545" s="92"/>
      <c r="AG545" s="92"/>
      <c r="AH545" s="92"/>
    </row>
    <row r="546">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2"/>
      <c r="AF546" s="92"/>
      <c r="AG546" s="92"/>
      <c r="AH546" s="92"/>
    </row>
    <row r="547">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c r="AC547" s="92"/>
      <c r="AD547" s="92"/>
      <c r="AE547" s="92"/>
      <c r="AF547" s="92"/>
      <c r="AG547" s="92"/>
      <c r="AH547" s="92"/>
    </row>
    <row r="548">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2"/>
      <c r="AF548" s="92"/>
      <c r="AG548" s="92"/>
      <c r="AH548" s="92"/>
    </row>
    <row r="549">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c r="AC549" s="92"/>
      <c r="AD549" s="92"/>
      <c r="AE549" s="92"/>
      <c r="AF549" s="92"/>
      <c r="AG549" s="92"/>
      <c r="AH549" s="92"/>
    </row>
    <row r="550">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2"/>
      <c r="AF550" s="92"/>
      <c r="AG550" s="92"/>
      <c r="AH550" s="92"/>
    </row>
    <row r="551">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c r="AC551" s="92"/>
      <c r="AD551" s="92"/>
      <c r="AE551" s="92"/>
      <c r="AF551" s="92"/>
      <c r="AG551" s="92"/>
      <c r="AH551" s="92"/>
    </row>
    <row r="55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c r="AC552" s="92"/>
      <c r="AD552" s="92"/>
      <c r="AE552" s="92"/>
      <c r="AF552" s="92"/>
      <c r="AG552" s="92"/>
      <c r="AH552" s="92"/>
    </row>
    <row r="553">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2"/>
      <c r="AF553" s="92"/>
      <c r="AG553" s="92"/>
      <c r="AH553" s="92"/>
    </row>
    <row r="554">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c r="AC554" s="92"/>
      <c r="AD554" s="92"/>
      <c r="AE554" s="92"/>
      <c r="AF554" s="92"/>
      <c r="AG554" s="92"/>
      <c r="AH554" s="92"/>
    </row>
    <row r="555">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2"/>
      <c r="AF555" s="92"/>
      <c r="AG555" s="92"/>
      <c r="AH555" s="92"/>
    </row>
    <row r="556">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2"/>
      <c r="AF556" s="92"/>
      <c r="AG556" s="92"/>
      <c r="AH556" s="92"/>
    </row>
    <row r="557">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2"/>
      <c r="AF557" s="92"/>
      <c r="AG557" s="92"/>
      <c r="AH557" s="92"/>
    </row>
    <row r="558">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2"/>
      <c r="AF558" s="92"/>
      <c r="AG558" s="92"/>
      <c r="AH558" s="92"/>
    </row>
    <row r="559">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2"/>
      <c r="AF559" s="92"/>
      <c r="AG559" s="92"/>
      <c r="AH559" s="92"/>
    </row>
    <row r="560">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2"/>
      <c r="AF560" s="92"/>
      <c r="AG560" s="92"/>
      <c r="AH560" s="92"/>
    </row>
    <row r="561">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2"/>
      <c r="AF561" s="92"/>
      <c r="AG561" s="92"/>
      <c r="AH561" s="92"/>
    </row>
    <row r="56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2"/>
      <c r="AF562" s="92"/>
      <c r="AG562" s="92"/>
      <c r="AH562" s="92"/>
    </row>
    <row r="563">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2"/>
      <c r="AF563" s="92"/>
      <c r="AG563" s="92"/>
      <c r="AH563" s="92"/>
    </row>
    <row r="564">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2"/>
      <c r="AF564" s="92"/>
      <c r="AG564" s="92"/>
      <c r="AH564" s="92"/>
    </row>
    <row r="565">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2"/>
      <c r="AF565" s="92"/>
      <c r="AG565" s="92"/>
      <c r="AH565" s="92"/>
    </row>
    <row r="566">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2"/>
      <c r="AF566" s="92"/>
      <c r="AG566" s="92"/>
      <c r="AH566" s="92"/>
    </row>
    <row r="567">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2"/>
      <c r="AF567" s="92"/>
      <c r="AG567" s="92"/>
      <c r="AH567" s="92"/>
    </row>
    <row r="568">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2"/>
      <c r="AF568" s="92"/>
      <c r="AG568" s="92"/>
      <c r="AH568" s="92"/>
    </row>
    <row r="569">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2"/>
      <c r="AF569" s="92"/>
      <c r="AG569" s="92"/>
      <c r="AH569" s="92"/>
    </row>
    <row r="570">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2"/>
      <c r="AF570" s="92"/>
      <c r="AG570" s="92"/>
      <c r="AH570" s="92"/>
    </row>
    <row r="571">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2"/>
      <c r="AF571" s="92"/>
      <c r="AG571" s="92"/>
      <c r="AH571" s="92"/>
    </row>
    <row r="57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c r="AC572" s="92"/>
      <c r="AD572" s="92"/>
      <c r="AE572" s="92"/>
      <c r="AF572" s="92"/>
      <c r="AG572" s="92"/>
      <c r="AH572" s="92"/>
    </row>
    <row r="573">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2"/>
      <c r="AF573" s="92"/>
      <c r="AG573" s="92"/>
      <c r="AH573" s="92"/>
    </row>
    <row r="574">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2"/>
      <c r="AF574" s="92"/>
      <c r="AG574" s="92"/>
      <c r="AH574" s="92"/>
    </row>
    <row r="575">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2"/>
      <c r="AF575" s="92"/>
      <c r="AG575" s="92"/>
      <c r="AH575" s="92"/>
    </row>
    <row r="576">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2"/>
      <c r="AF576" s="92"/>
      <c r="AG576" s="92"/>
      <c r="AH576" s="92"/>
    </row>
    <row r="577">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c r="AC577" s="92"/>
      <c r="AD577" s="92"/>
      <c r="AE577" s="92"/>
      <c r="AF577" s="92"/>
      <c r="AG577" s="92"/>
      <c r="AH577" s="92"/>
    </row>
    <row r="578">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2"/>
      <c r="AF578" s="92"/>
      <c r="AG578" s="92"/>
      <c r="AH578" s="92"/>
    </row>
    <row r="579">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2"/>
      <c r="AF579" s="92"/>
      <c r="AG579" s="92"/>
      <c r="AH579" s="92"/>
    </row>
    <row r="580">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c r="AC580" s="92"/>
      <c r="AD580" s="92"/>
      <c r="AE580" s="92"/>
      <c r="AF580" s="92"/>
      <c r="AG580" s="92"/>
      <c r="AH580" s="92"/>
    </row>
    <row r="581">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2"/>
      <c r="AF581" s="92"/>
      <c r="AG581" s="92"/>
      <c r="AH581" s="92"/>
    </row>
    <row r="58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2"/>
      <c r="AF582" s="92"/>
      <c r="AG582" s="92"/>
      <c r="AH582" s="92"/>
    </row>
    <row r="583">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2"/>
      <c r="AF583" s="92"/>
      <c r="AG583" s="92"/>
      <c r="AH583" s="92"/>
    </row>
    <row r="584">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c r="AC584" s="92"/>
      <c r="AD584" s="92"/>
      <c r="AE584" s="92"/>
      <c r="AF584" s="92"/>
      <c r="AG584" s="92"/>
      <c r="AH584" s="92"/>
    </row>
    <row r="585">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2"/>
      <c r="AF585" s="92"/>
      <c r="AG585" s="92"/>
      <c r="AH585" s="92"/>
    </row>
    <row r="586">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c r="AC586" s="92"/>
      <c r="AD586" s="92"/>
      <c r="AE586" s="92"/>
      <c r="AF586" s="92"/>
      <c r="AG586" s="92"/>
      <c r="AH586" s="92"/>
    </row>
    <row r="587">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2"/>
      <c r="AF587" s="92"/>
      <c r="AG587" s="92"/>
      <c r="AH587" s="92"/>
    </row>
    <row r="588">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2"/>
      <c r="AF588" s="92"/>
      <c r="AG588" s="92"/>
      <c r="AH588" s="92"/>
    </row>
    <row r="589">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2"/>
      <c r="AF589" s="92"/>
      <c r="AG589" s="92"/>
      <c r="AH589" s="92"/>
    </row>
    <row r="590">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c r="AC590" s="92"/>
      <c r="AD590" s="92"/>
      <c r="AE590" s="92"/>
      <c r="AF590" s="92"/>
      <c r="AG590" s="92"/>
      <c r="AH590" s="92"/>
    </row>
    <row r="591">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2"/>
      <c r="AF591" s="92"/>
      <c r="AG591" s="92"/>
      <c r="AH591" s="92"/>
    </row>
    <row r="5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c r="AC592" s="92"/>
      <c r="AD592" s="92"/>
      <c r="AE592" s="92"/>
      <c r="AF592" s="92"/>
      <c r="AG592" s="92"/>
      <c r="AH592" s="92"/>
    </row>
    <row r="593">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2"/>
      <c r="AF593" s="92"/>
      <c r="AG593" s="92"/>
      <c r="AH593" s="92"/>
    </row>
    <row r="594">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2"/>
      <c r="AF594" s="92"/>
      <c r="AG594" s="92"/>
      <c r="AH594" s="92"/>
    </row>
    <row r="595">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2"/>
      <c r="AF595" s="92"/>
      <c r="AG595" s="92"/>
      <c r="AH595" s="92"/>
    </row>
    <row r="596">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c r="AC596" s="92"/>
      <c r="AD596" s="92"/>
      <c r="AE596" s="92"/>
      <c r="AF596" s="92"/>
      <c r="AG596" s="92"/>
      <c r="AH596" s="92"/>
    </row>
    <row r="597">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2"/>
      <c r="AF597" s="92"/>
      <c r="AG597" s="92"/>
      <c r="AH597" s="92"/>
    </row>
    <row r="598">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2"/>
      <c r="AF598" s="92"/>
      <c r="AG598" s="92"/>
      <c r="AH598" s="92"/>
    </row>
    <row r="599">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2"/>
      <c r="AF599" s="92"/>
      <c r="AG599" s="92"/>
      <c r="AH599" s="92"/>
    </row>
    <row r="600">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2"/>
      <c r="AF600" s="92"/>
      <c r="AG600" s="92"/>
      <c r="AH600" s="92"/>
    </row>
    <row r="601">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2"/>
      <c r="AF601" s="92"/>
      <c r="AG601" s="92"/>
      <c r="AH601" s="92"/>
    </row>
    <row r="60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2"/>
      <c r="AF602" s="92"/>
      <c r="AG602" s="92"/>
      <c r="AH602" s="92"/>
    </row>
    <row r="603">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2"/>
      <c r="AF603" s="92"/>
      <c r="AG603" s="92"/>
      <c r="AH603" s="92"/>
    </row>
    <row r="604">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2"/>
      <c r="AF604" s="92"/>
      <c r="AG604" s="92"/>
      <c r="AH604" s="92"/>
    </row>
    <row r="605">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c r="AC605" s="92"/>
      <c r="AD605" s="92"/>
      <c r="AE605" s="92"/>
      <c r="AF605" s="92"/>
      <c r="AG605" s="92"/>
      <c r="AH605" s="92"/>
    </row>
    <row r="606">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2"/>
      <c r="AF606" s="92"/>
      <c r="AG606" s="92"/>
      <c r="AH606" s="92"/>
    </row>
    <row r="607">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2"/>
      <c r="AF607" s="92"/>
      <c r="AG607" s="92"/>
      <c r="AH607" s="92"/>
    </row>
    <row r="608">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2"/>
      <c r="AF608" s="92"/>
      <c r="AG608" s="92"/>
      <c r="AH608" s="92"/>
    </row>
    <row r="609">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c r="AC609" s="92"/>
      <c r="AD609" s="92"/>
      <c r="AE609" s="92"/>
      <c r="AF609" s="92"/>
      <c r="AG609" s="92"/>
      <c r="AH609" s="92"/>
    </row>
    <row r="610">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2"/>
      <c r="AF610" s="92"/>
      <c r="AG610" s="92"/>
      <c r="AH610" s="92"/>
    </row>
    <row r="611">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2"/>
      <c r="AF611" s="92"/>
      <c r="AG611" s="92"/>
      <c r="AH611" s="92"/>
    </row>
    <row r="61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2"/>
      <c r="AF612" s="92"/>
      <c r="AG612" s="92"/>
      <c r="AH612" s="92"/>
    </row>
    <row r="613">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c r="AC613" s="92"/>
      <c r="AD613" s="92"/>
      <c r="AE613" s="92"/>
      <c r="AF613" s="92"/>
      <c r="AG613" s="92"/>
      <c r="AH613" s="92"/>
    </row>
    <row r="614">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c r="AC614" s="92"/>
      <c r="AD614" s="92"/>
      <c r="AE614" s="92"/>
      <c r="AF614" s="92"/>
      <c r="AG614" s="92"/>
      <c r="AH614" s="92"/>
    </row>
    <row r="615">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c r="AC615" s="92"/>
      <c r="AD615" s="92"/>
      <c r="AE615" s="92"/>
      <c r="AF615" s="92"/>
      <c r="AG615" s="92"/>
      <c r="AH615" s="92"/>
    </row>
    <row r="616">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c r="AC616" s="92"/>
      <c r="AD616" s="92"/>
      <c r="AE616" s="92"/>
      <c r="AF616" s="92"/>
      <c r="AG616" s="92"/>
      <c r="AH616" s="92"/>
    </row>
    <row r="617">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2"/>
      <c r="AF617" s="92"/>
      <c r="AG617" s="92"/>
      <c r="AH617" s="92"/>
    </row>
    <row r="618">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c r="AC618" s="92"/>
      <c r="AD618" s="92"/>
      <c r="AE618" s="92"/>
      <c r="AF618" s="92"/>
      <c r="AG618" s="92"/>
      <c r="AH618" s="92"/>
    </row>
    <row r="619">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2"/>
      <c r="AF619" s="92"/>
      <c r="AG619" s="92"/>
      <c r="AH619" s="92"/>
    </row>
    <row r="620">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c r="AC620" s="92"/>
      <c r="AD620" s="92"/>
      <c r="AE620" s="92"/>
      <c r="AF620" s="92"/>
      <c r="AG620" s="92"/>
      <c r="AH620" s="92"/>
    </row>
    <row r="621">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2"/>
      <c r="AF621" s="92"/>
      <c r="AG621" s="92"/>
      <c r="AH621" s="92"/>
    </row>
    <row r="62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s="92"/>
      <c r="AE622" s="92"/>
      <c r="AF622" s="92"/>
      <c r="AG622" s="92"/>
      <c r="AH622" s="92"/>
    </row>
    <row r="623">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2"/>
      <c r="AF623" s="92"/>
      <c r="AG623" s="92"/>
      <c r="AH623" s="92"/>
    </row>
    <row r="624">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c r="AC624" s="92"/>
      <c r="AD624" s="92"/>
      <c r="AE624" s="92"/>
      <c r="AF624" s="92"/>
      <c r="AG624" s="92"/>
      <c r="AH624" s="92"/>
    </row>
    <row r="625">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c r="AC625" s="92"/>
      <c r="AD625" s="92"/>
      <c r="AE625" s="92"/>
      <c r="AF625" s="92"/>
      <c r="AG625" s="92"/>
      <c r="AH625" s="92"/>
    </row>
    <row r="626">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c r="AC626" s="92"/>
      <c r="AD626" s="92"/>
      <c r="AE626" s="92"/>
      <c r="AF626" s="92"/>
      <c r="AG626" s="92"/>
      <c r="AH626" s="92"/>
    </row>
    <row r="627">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c r="AC627" s="92"/>
      <c r="AD627" s="92"/>
      <c r="AE627" s="92"/>
      <c r="AF627" s="92"/>
      <c r="AG627" s="92"/>
      <c r="AH627" s="92"/>
    </row>
    <row r="628">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c r="AC628" s="92"/>
      <c r="AD628" s="92"/>
      <c r="AE628" s="92"/>
      <c r="AF628" s="92"/>
      <c r="AG628" s="92"/>
      <c r="AH628" s="92"/>
    </row>
    <row r="629">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c r="AC629" s="92"/>
      <c r="AD629" s="92"/>
      <c r="AE629" s="92"/>
      <c r="AF629" s="92"/>
      <c r="AG629" s="92"/>
      <c r="AH629" s="92"/>
    </row>
    <row r="630">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c r="AC630" s="92"/>
      <c r="AD630" s="92"/>
      <c r="AE630" s="92"/>
      <c r="AF630" s="92"/>
      <c r="AG630" s="92"/>
      <c r="AH630" s="92"/>
    </row>
    <row r="631">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c r="AC631" s="92"/>
      <c r="AD631" s="92"/>
      <c r="AE631" s="92"/>
      <c r="AF631" s="92"/>
      <c r="AG631" s="92"/>
      <c r="AH631" s="92"/>
    </row>
    <row r="63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c r="AC632" s="92"/>
      <c r="AD632" s="92"/>
      <c r="AE632" s="92"/>
      <c r="AF632" s="92"/>
      <c r="AG632" s="92"/>
      <c r="AH632" s="92"/>
    </row>
    <row r="633">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2"/>
      <c r="AF633" s="92"/>
      <c r="AG633" s="92"/>
      <c r="AH633" s="92"/>
    </row>
    <row r="634">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2"/>
      <c r="AF634" s="92"/>
      <c r="AG634" s="92"/>
      <c r="AH634" s="92"/>
    </row>
    <row r="635">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c r="AC635" s="92"/>
      <c r="AD635" s="92"/>
      <c r="AE635" s="92"/>
      <c r="AF635" s="92"/>
      <c r="AG635" s="92"/>
      <c r="AH635" s="92"/>
    </row>
    <row r="636">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c r="AC636" s="92"/>
      <c r="AD636" s="92"/>
      <c r="AE636" s="92"/>
      <c r="AF636" s="92"/>
      <c r="AG636" s="92"/>
      <c r="AH636" s="92"/>
    </row>
    <row r="637">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c r="AC637" s="92"/>
      <c r="AD637" s="92"/>
      <c r="AE637" s="92"/>
      <c r="AF637" s="92"/>
      <c r="AG637" s="92"/>
      <c r="AH637" s="92"/>
    </row>
    <row r="638">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c r="AC638" s="92"/>
      <c r="AD638" s="92"/>
      <c r="AE638" s="92"/>
      <c r="AF638" s="92"/>
      <c r="AG638" s="92"/>
      <c r="AH638" s="92"/>
    </row>
    <row r="639">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c r="AC639" s="92"/>
      <c r="AD639" s="92"/>
      <c r="AE639" s="92"/>
      <c r="AF639" s="92"/>
      <c r="AG639" s="92"/>
      <c r="AH639" s="92"/>
    </row>
    <row r="640">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2"/>
      <c r="AF640" s="92"/>
      <c r="AG640" s="92"/>
      <c r="AH640" s="92"/>
    </row>
    <row r="641">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2"/>
      <c r="AF641" s="92"/>
      <c r="AG641" s="92"/>
      <c r="AH641" s="92"/>
    </row>
    <row r="64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c r="AC642" s="92"/>
      <c r="AD642" s="92"/>
      <c r="AE642" s="92"/>
      <c r="AF642" s="92"/>
      <c r="AG642" s="92"/>
      <c r="AH642" s="92"/>
    </row>
    <row r="643">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c r="AC643" s="92"/>
      <c r="AD643" s="92"/>
      <c r="AE643" s="92"/>
      <c r="AF643" s="92"/>
      <c r="AG643" s="92"/>
      <c r="AH643" s="92"/>
    </row>
    <row r="644">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c r="AC644" s="92"/>
      <c r="AD644" s="92"/>
      <c r="AE644" s="92"/>
      <c r="AF644" s="92"/>
      <c r="AG644" s="92"/>
      <c r="AH644" s="92"/>
    </row>
    <row r="645">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c r="AC645" s="92"/>
      <c r="AD645" s="92"/>
      <c r="AE645" s="92"/>
      <c r="AF645" s="92"/>
      <c r="AG645" s="92"/>
      <c r="AH645" s="92"/>
    </row>
    <row r="646">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c r="AC646" s="92"/>
      <c r="AD646" s="92"/>
      <c r="AE646" s="92"/>
      <c r="AF646" s="92"/>
      <c r="AG646" s="92"/>
      <c r="AH646" s="92"/>
    </row>
    <row r="647">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c r="AC647" s="92"/>
      <c r="AD647" s="92"/>
      <c r="AE647" s="92"/>
      <c r="AF647" s="92"/>
      <c r="AG647" s="92"/>
      <c r="AH647" s="92"/>
    </row>
    <row r="648">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c r="AC648" s="92"/>
      <c r="AD648" s="92"/>
      <c r="AE648" s="92"/>
      <c r="AF648" s="92"/>
      <c r="AG648" s="92"/>
      <c r="AH648" s="92"/>
    </row>
    <row r="649">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92"/>
      <c r="AF649" s="92"/>
      <c r="AG649" s="92"/>
      <c r="AH649" s="92"/>
    </row>
    <row r="650">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92"/>
      <c r="AF650" s="92"/>
      <c r="AG650" s="92"/>
      <c r="AH650" s="92"/>
    </row>
    <row r="651">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c r="AC651" s="92"/>
      <c r="AD651" s="92"/>
      <c r="AE651" s="92"/>
      <c r="AF651" s="92"/>
      <c r="AG651" s="92"/>
      <c r="AH651" s="92"/>
    </row>
    <row r="65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2"/>
      <c r="AF652" s="92"/>
      <c r="AG652" s="92"/>
      <c r="AH652" s="92"/>
    </row>
    <row r="653">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c r="AC653" s="92"/>
      <c r="AD653" s="92"/>
      <c r="AE653" s="92"/>
      <c r="AF653" s="92"/>
      <c r="AG653" s="92"/>
      <c r="AH653" s="92"/>
    </row>
    <row r="654">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c r="AC654" s="92"/>
      <c r="AD654" s="92"/>
      <c r="AE654" s="92"/>
      <c r="AF654" s="92"/>
      <c r="AG654" s="92"/>
      <c r="AH654" s="92"/>
    </row>
    <row r="655">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c r="AC655" s="92"/>
      <c r="AD655" s="92"/>
      <c r="AE655" s="92"/>
      <c r="AF655" s="92"/>
      <c r="AG655" s="92"/>
      <c r="AH655" s="92"/>
    </row>
    <row r="656">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c r="AC656" s="92"/>
      <c r="AD656" s="92"/>
      <c r="AE656" s="92"/>
      <c r="AF656" s="92"/>
      <c r="AG656" s="92"/>
      <c r="AH656" s="92"/>
    </row>
    <row r="657">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c r="AC657" s="92"/>
      <c r="AD657" s="92"/>
      <c r="AE657" s="92"/>
      <c r="AF657" s="92"/>
      <c r="AG657" s="92"/>
      <c r="AH657" s="92"/>
    </row>
    <row r="658">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2"/>
      <c r="AF658" s="92"/>
      <c r="AG658" s="92"/>
      <c r="AH658" s="92"/>
    </row>
    <row r="659">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2"/>
      <c r="AF659" s="92"/>
      <c r="AG659" s="92"/>
      <c r="AH659" s="92"/>
    </row>
    <row r="660">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c r="AC660" s="92"/>
      <c r="AD660" s="92"/>
      <c r="AE660" s="92"/>
      <c r="AF660" s="92"/>
      <c r="AG660" s="92"/>
      <c r="AH660" s="92"/>
    </row>
    <row r="661">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c r="AC661" s="92"/>
      <c r="AD661" s="92"/>
      <c r="AE661" s="92"/>
      <c r="AF661" s="92"/>
      <c r="AG661" s="92"/>
      <c r="AH661" s="92"/>
    </row>
    <row r="66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c r="AC662" s="92"/>
      <c r="AD662" s="92"/>
      <c r="AE662" s="92"/>
      <c r="AF662" s="92"/>
      <c r="AG662" s="92"/>
      <c r="AH662" s="92"/>
    </row>
    <row r="663">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c r="AC663" s="92"/>
      <c r="AD663" s="92"/>
      <c r="AE663" s="92"/>
      <c r="AF663" s="92"/>
      <c r="AG663" s="92"/>
      <c r="AH663" s="92"/>
    </row>
    <row r="664">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c r="AC664" s="92"/>
      <c r="AD664" s="92"/>
      <c r="AE664" s="92"/>
      <c r="AF664" s="92"/>
      <c r="AG664" s="92"/>
      <c r="AH664" s="92"/>
    </row>
    <row r="665">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2"/>
      <c r="AF665" s="92"/>
      <c r="AG665" s="92"/>
      <c r="AH665" s="92"/>
    </row>
    <row r="666">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c r="AC666" s="92"/>
      <c r="AD666" s="92"/>
      <c r="AE666" s="92"/>
      <c r="AF666" s="92"/>
      <c r="AG666" s="92"/>
      <c r="AH666" s="92"/>
    </row>
    <row r="667">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c r="AC667" s="92"/>
      <c r="AD667" s="92"/>
      <c r="AE667" s="92"/>
      <c r="AF667" s="92"/>
      <c r="AG667" s="92"/>
      <c r="AH667" s="92"/>
    </row>
    <row r="668">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c r="AC668" s="92"/>
      <c r="AD668" s="92"/>
      <c r="AE668" s="92"/>
      <c r="AF668" s="92"/>
      <c r="AG668" s="92"/>
      <c r="AH668" s="92"/>
    </row>
    <row r="669">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c r="AC669" s="92"/>
      <c r="AD669" s="92"/>
      <c r="AE669" s="92"/>
      <c r="AF669" s="92"/>
      <c r="AG669" s="92"/>
      <c r="AH669" s="92"/>
    </row>
    <row r="670">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c r="AC670" s="92"/>
      <c r="AD670" s="92"/>
      <c r="AE670" s="92"/>
      <c r="AF670" s="92"/>
      <c r="AG670" s="92"/>
      <c r="AH670" s="92"/>
    </row>
    <row r="671">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c r="AC671" s="92"/>
      <c r="AD671" s="92"/>
      <c r="AE671" s="92"/>
      <c r="AF671" s="92"/>
      <c r="AG671" s="92"/>
      <c r="AH671" s="92"/>
    </row>
    <row r="67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c r="AC672" s="92"/>
      <c r="AD672" s="92"/>
      <c r="AE672" s="92"/>
      <c r="AF672" s="92"/>
      <c r="AG672" s="92"/>
      <c r="AH672" s="92"/>
    </row>
    <row r="673">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c r="AC673" s="92"/>
      <c r="AD673" s="92"/>
      <c r="AE673" s="92"/>
      <c r="AF673" s="92"/>
      <c r="AG673" s="92"/>
      <c r="AH673" s="92"/>
    </row>
    <row r="674">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2"/>
      <c r="AF674" s="92"/>
      <c r="AG674" s="92"/>
      <c r="AH674" s="92"/>
    </row>
    <row r="675">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c r="AC675" s="92"/>
      <c r="AD675" s="92"/>
      <c r="AE675" s="92"/>
      <c r="AF675" s="92"/>
      <c r="AG675" s="92"/>
      <c r="AH675" s="92"/>
    </row>
    <row r="676">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2"/>
      <c r="AF676" s="92"/>
      <c r="AG676" s="92"/>
      <c r="AH676" s="92"/>
    </row>
    <row r="677">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c r="AC677" s="92"/>
      <c r="AD677" s="92"/>
      <c r="AE677" s="92"/>
      <c r="AF677" s="92"/>
      <c r="AG677" s="92"/>
      <c r="AH677" s="92"/>
    </row>
    <row r="678">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2"/>
      <c r="AF678" s="92"/>
      <c r="AG678" s="92"/>
      <c r="AH678" s="92"/>
    </row>
    <row r="679">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c r="AC679" s="92"/>
      <c r="AD679" s="92"/>
      <c r="AE679" s="92"/>
      <c r="AF679" s="92"/>
      <c r="AG679" s="92"/>
      <c r="AH679" s="92"/>
    </row>
    <row r="680">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2"/>
      <c r="AF680" s="92"/>
      <c r="AG680" s="92"/>
      <c r="AH680" s="92"/>
    </row>
    <row r="681">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2"/>
      <c r="AF681" s="92"/>
      <c r="AG681" s="92"/>
      <c r="AH681" s="92"/>
    </row>
    <row r="68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2"/>
      <c r="AF682" s="92"/>
      <c r="AG682" s="92"/>
      <c r="AH682" s="92"/>
    </row>
    <row r="683">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c r="AC683" s="92"/>
      <c r="AD683" s="92"/>
      <c r="AE683" s="92"/>
      <c r="AF683" s="92"/>
      <c r="AG683" s="92"/>
      <c r="AH683" s="92"/>
    </row>
    <row r="684">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2"/>
      <c r="AF684" s="92"/>
      <c r="AG684" s="92"/>
      <c r="AH684" s="92"/>
    </row>
    <row r="685">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c r="AC685" s="92"/>
      <c r="AD685" s="92"/>
      <c r="AE685" s="92"/>
      <c r="AF685" s="92"/>
      <c r="AG685" s="92"/>
      <c r="AH685" s="92"/>
    </row>
    <row r="686">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2"/>
      <c r="AF686" s="92"/>
      <c r="AG686" s="92"/>
      <c r="AH686" s="92"/>
    </row>
    <row r="687">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2"/>
      <c r="AF687" s="92"/>
      <c r="AG687" s="92"/>
      <c r="AH687" s="92"/>
    </row>
    <row r="688">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2"/>
      <c r="AF688" s="92"/>
      <c r="AG688" s="92"/>
      <c r="AH688" s="92"/>
    </row>
    <row r="689">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c r="AC689" s="92"/>
      <c r="AD689" s="92"/>
      <c r="AE689" s="92"/>
      <c r="AF689" s="92"/>
      <c r="AG689" s="92"/>
      <c r="AH689" s="92"/>
    </row>
    <row r="690">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2"/>
      <c r="AF690" s="92"/>
      <c r="AG690" s="92"/>
      <c r="AH690" s="92"/>
    </row>
    <row r="691">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2"/>
      <c r="AF691" s="92"/>
      <c r="AG691" s="92"/>
      <c r="AH691" s="92"/>
    </row>
    <row r="6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2"/>
      <c r="AF692" s="92"/>
      <c r="AG692" s="92"/>
      <c r="AH692" s="92"/>
    </row>
    <row r="693">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2"/>
      <c r="AF693" s="92"/>
      <c r="AG693" s="92"/>
      <c r="AH693" s="92"/>
    </row>
    <row r="694">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2"/>
      <c r="AF694" s="92"/>
      <c r="AG694" s="92"/>
      <c r="AH694" s="92"/>
    </row>
    <row r="695">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c r="AC695" s="92"/>
      <c r="AD695" s="92"/>
      <c r="AE695" s="92"/>
      <c r="AF695" s="92"/>
      <c r="AG695" s="92"/>
      <c r="AH695" s="92"/>
    </row>
    <row r="696">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2"/>
      <c r="AF696" s="92"/>
      <c r="AG696" s="92"/>
      <c r="AH696" s="92"/>
    </row>
    <row r="697">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2"/>
      <c r="AF697" s="92"/>
      <c r="AG697" s="92"/>
      <c r="AH697" s="92"/>
    </row>
    <row r="698">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2"/>
      <c r="AF698" s="92"/>
      <c r="AG698" s="92"/>
      <c r="AH698" s="92"/>
    </row>
    <row r="699">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c r="AC699" s="92"/>
      <c r="AD699" s="92"/>
      <c r="AE699" s="92"/>
      <c r="AF699" s="92"/>
      <c r="AG699" s="92"/>
      <c r="AH699" s="92"/>
    </row>
    <row r="700">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2"/>
      <c r="AF700" s="92"/>
      <c r="AG700" s="92"/>
      <c r="AH700" s="92"/>
    </row>
    <row r="701">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c r="AC701" s="92"/>
      <c r="AD701" s="92"/>
      <c r="AE701" s="92"/>
      <c r="AF701" s="92"/>
      <c r="AG701" s="92"/>
      <c r="AH701" s="92"/>
    </row>
    <row r="70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2"/>
      <c r="AF702" s="92"/>
      <c r="AG702" s="92"/>
      <c r="AH702" s="92"/>
    </row>
    <row r="703">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c r="AC703" s="92"/>
      <c r="AD703" s="92"/>
      <c r="AE703" s="92"/>
      <c r="AF703" s="92"/>
      <c r="AG703" s="92"/>
      <c r="AH703" s="92"/>
    </row>
    <row r="704">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2"/>
      <c r="AF704" s="92"/>
      <c r="AG704" s="92"/>
      <c r="AH704" s="92"/>
    </row>
    <row r="705">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c r="AC705" s="92"/>
      <c r="AD705" s="92"/>
      <c r="AE705" s="92"/>
      <c r="AF705" s="92"/>
      <c r="AG705" s="92"/>
      <c r="AH705" s="92"/>
    </row>
    <row r="706">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c r="AC706" s="92"/>
      <c r="AD706" s="92"/>
      <c r="AE706" s="92"/>
      <c r="AF706" s="92"/>
      <c r="AG706" s="92"/>
      <c r="AH706" s="92"/>
    </row>
    <row r="707">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c r="AC707" s="92"/>
      <c r="AD707" s="92"/>
      <c r="AE707" s="92"/>
      <c r="AF707" s="92"/>
      <c r="AG707" s="92"/>
      <c r="AH707" s="92"/>
    </row>
    <row r="708">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c r="AC708" s="92"/>
      <c r="AD708" s="92"/>
      <c r="AE708" s="92"/>
      <c r="AF708" s="92"/>
      <c r="AG708" s="92"/>
      <c r="AH708" s="92"/>
    </row>
    <row r="709">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2"/>
      <c r="AF709" s="92"/>
      <c r="AG709" s="92"/>
      <c r="AH709" s="92"/>
    </row>
    <row r="710">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c r="AC710" s="92"/>
      <c r="AD710" s="92"/>
      <c r="AE710" s="92"/>
      <c r="AF710" s="92"/>
      <c r="AG710" s="92"/>
      <c r="AH710" s="92"/>
    </row>
    <row r="711">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c r="AC711" s="92"/>
      <c r="AD711" s="92"/>
      <c r="AE711" s="92"/>
      <c r="AF711" s="92"/>
      <c r="AG711" s="92"/>
      <c r="AH711" s="92"/>
    </row>
    <row r="71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c r="AG712" s="92"/>
      <c r="AH712" s="92"/>
    </row>
    <row r="713">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c r="AC713" s="92"/>
      <c r="AD713" s="92"/>
      <c r="AE713" s="92"/>
      <c r="AF713" s="92"/>
      <c r="AG713" s="92"/>
      <c r="AH713" s="92"/>
    </row>
    <row r="714">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c r="AC714" s="92"/>
      <c r="AD714" s="92"/>
      <c r="AE714" s="92"/>
      <c r="AF714" s="92"/>
      <c r="AG714" s="92"/>
      <c r="AH714" s="92"/>
    </row>
    <row r="715">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c r="AC715" s="92"/>
      <c r="AD715" s="92"/>
      <c r="AE715" s="92"/>
      <c r="AF715" s="92"/>
      <c r="AG715" s="92"/>
      <c r="AH715" s="92"/>
    </row>
    <row r="716">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c r="AC716" s="92"/>
      <c r="AD716" s="92"/>
      <c r="AE716" s="92"/>
      <c r="AF716" s="92"/>
      <c r="AG716" s="92"/>
      <c r="AH716" s="92"/>
    </row>
    <row r="717">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c r="AC717" s="92"/>
      <c r="AD717" s="92"/>
      <c r="AE717" s="92"/>
      <c r="AF717" s="92"/>
      <c r="AG717" s="92"/>
      <c r="AH717" s="92"/>
    </row>
    <row r="718">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c r="AC718" s="92"/>
      <c r="AD718" s="92"/>
      <c r="AE718" s="92"/>
      <c r="AF718" s="92"/>
      <c r="AG718" s="92"/>
      <c r="AH718" s="92"/>
    </row>
    <row r="719">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2"/>
      <c r="AF719" s="92"/>
      <c r="AG719" s="92"/>
      <c r="AH719" s="92"/>
    </row>
    <row r="720">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c r="AC720" s="92"/>
      <c r="AD720" s="92"/>
      <c r="AE720" s="92"/>
      <c r="AF720" s="92"/>
      <c r="AG720" s="92"/>
      <c r="AH720" s="92"/>
    </row>
    <row r="721">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c r="AB721" s="92"/>
      <c r="AC721" s="92"/>
      <c r="AD721" s="92"/>
      <c r="AE721" s="92"/>
      <c r="AF721" s="92"/>
      <c r="AG721" s="92"/>
      <c r="AH721" s="92"/>
    </row>
    <row r="72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c r="AB722" s="92"/>
      <c r="AC722" s="92"/>
      <c r="AD722" s="92"/>
      <c r="AE722" s="92"/>
      <c r="AF722" s="92"/>
      <c r="AG722" s="92"/>
      <c r="AH722" s="92"/>
    </row>
    <row r="723">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c r="AB723" s="92"/>
      <c r="AC723" s="92"/>
      <c r="AD723" s="92"/>
      <c r="AE723" s="92"/>
      <c r="AF723" s="92"/>
      <c r="AG723" s="92"/>
      <c r="AH723" s="92"/>
    </row>
    <row r="724">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c r="AB724" s="92"/>
      <c r="AC724" s="92"/>
      <c r="AD724" s="92"/>
      <c r="AE724" s="92"/>
      <c r="AF724" s="92"/>
      <c r="AG724" s="92"/>
      <c r="AH724" s="92"/>
    </row>
    <row r="725">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c r="AB725" s="92"/>
      <c r="AC725" s="92"/>
      <c r="AD725" s="92"/>
      <c r="AE725" s="92"/>
      <c r="AF725" s="92"/>
      <c r="AG725" s="92"/>
      <c r="AH725" s="92"/>
    </row>
    <row r="726">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c r="AB726" s="92"/>
      <c r="AC726" s="92"/>
      <c r="AD726" s="92"/>
      <c r="AE726" s="92"/>
      <c r="AF726" s="92"/>
      <c r="AG726" s="92"/>
      <c r="AH726" s="92"/>
    </row>
    <row r="727">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c r="AB727" s="92"/>
      <c r="AC727" s="92"/>
      <c r="AD727" s="92"/>
      <c r="AE727" s="92"/>
      <c r="AF727" s="92"/>
      <c r="AG727" s="92"/>
      <c r="AH727" s="92"/>
    </row>
    <row r="728">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c r="AB728" s="92"/>
      <c r="AC728" s="92"/>
      <c r="AD728" s="92"/>
      <c r="AE728" s="92"/>
      <c r="AF728" s="92"/>
      <c r="AG728" s="92"/>
      <c r="AH728" s="92"/>
    </row>
    <row r="729">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c r="AC729" s="92"/>
      <c r="AD729" s="92"/>
      <c r="AE729" s="92"/>
      <c r="AF729" s="92"/>
      <c r="AG729" s="92"/>
      <c r="AH729" s="92"/>
    </row>
    <row r="730">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c r="AC730" s="92"/>
      <c r="AD730" s="92"/>
      <c r="AE730" s="92"/>
      <c r="AF730" s="92"/>
      <c r="AG730" s="92"/>
      <c r="AH730" s="92"/>
    </row>
    <row r="731">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c r="AB731" s="92"/>
      <c r="AC731" s="92"/>
      <c r="AD731" s="92"/>
      <c r="AE731" s="92"/>
      <c r="AF731" s="92"/>
      <c r="AG731" s="92"/>
      <c r="AH731" s="92"/>
    </row>
    <row r="73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c r="AB732" s="92"/>
      <c r="AC732" s="92"/>
      <c r="AD732" s="92"/>
      <c r="AE732" s="92"/>
      <c r="AF732" s="92"/>
      <c r="AG732" s="92"/>
      <c r="AH732" s="92"/>
    </row>
    <row r="733">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c r="AB733" s="92"/>
      <c r="AC733" s="92"/>
      <c r="AD733" s="92"/>
      <c r="AE733" s="92"/>
      <c r="AF733" s="92"/>
      <c r="AG733" s="92"/>
      <c r="AH733" s="92"/>
    </row>
    <row r="734">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c r="AC734" s="92"/>
      <c r="AD734" s="92"/>
      <c r="AE734" s="92"/>
      <c r="AF734" s="92"/>
      <c r="AG734" s="92"/>
      <c r="AH734" s="92"/>
    </row>
    <row r="735">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c r="AC735" s="92"/>
      <c r="AD735" s="92"/>
      <c r="AE735" s="92"/>
      <c r="AF735" s="92"/>
      <c r="AG735" s="92"/>
      <c r="AH735" s="92"/>
    </row>
    <row r="736">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c r="AB736" s="92"/>
      <c r="AC736" s="92"/>
      <c r="AD736" s="92"/>
      <c r="AE736" s="92"/>
      <c r="AF736" s="92"/>
      <c r="AG736" s="92"/>
      <c r="AH736" s="92"/>
    </row>
    <row r="737">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c r="AB737" s="92"/>
      <c r="AC737" s="92"/>
      <c r="AD737" s="92"/>
      <c r="AE737" s="92"/>
      <c r="AF737" s="92"/>
      <c r="AG737" s="92"/>
      <c r="AH737" s="92"/>
    </row>
    <row r="738">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c r="AC738" s="92"/>
      <c r="AD738" s="92"/>
      <c r="AE738" s="92"/>
      <c r="AF738" s="92"/>
      <c r="AG738" s="92"/>
      <c r="AH738" s="92"/>
    </row>
    <row r="739">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2"/>
      <c r="AF739" s="92"/>
      <c r="AG739" s="92"/>
      <c r="AH739" s="92"/>
    </row>
    <row r="740">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c r="AC740" s="92"/>
      <c r="AD740" s="92"/>
      <c r="AE740" s="92"/>
      <c r="AF740" s="92"/>
      <c r="AG740" s="92"/>
      <c r="AH740" s="92"/>
    </row>
    <row r="741">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c r="AB741" s="92"/>
      <c r="AC741" s="92"/>
      <c r="AD741" s="92"/>
      <c r="AE741" s="92"/>
      <c r="AF741" s="92"/>
      <c r="AG741" s="92"/>
      <c r="AH741" s="92"/>
    </row>
    <row r="74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c r="AB742" s="92"/>
      <c r="AC742" s="92"/>
      <c r="AD742" s="92"/>
      <c r="AE742" s="92"/>
      <c r="AF742" s="92"/>
      <c r="AG742" s="92"/>
      <c r="AH742" s="92"/>
    </row>
    <row r="743">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c r="AB743" s="92"/>
      <c r="AC743" s="92"/>
      <c r="AD743" s="92"/>
      <c r="AE743" s="92"/>
      <c r="AF743" s="92"/>
      <c r="AG743" s="92"/>
      <c r="AH743" s="92"/>
    </row>
    <row r="744">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c r="AB744" s="92"/>
      <c r="AC744" s="92"/>
      <c r="AD744" s="92"/>
      <c r="AE744" s="92"/>
      <c r="AF744" s="92"/>
      <c r="AG744" s="92"/>
      <c r="AH744" s="92"/>
    </row>
    <row r="745">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c r="AB745" s="92"/>
      <c r="AC745" s="92"/>
      <c r="AD745" s="92"/>
      <c r="AE745" s="92"/>
      <c r="AF745" s="92"/>
      <c r="AG745" s="92"/>
      <c r="AH745" s="92"/>
    </row>
    <row r="746">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c r="AB746" s="92"/>
      <c r="AC746" s="92"/>
      <c r="AD746" s="92"/>
      <c r="AE746" s="92"/>
      <c r="AF746" s="92"/>
      <c r="AG746" s="92"/>
      <c r="AH746" s="92"/>
    </row>
    <row r="747">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c r="AB747" s="92"/>
      <c r="AC747" s="92"/>
      <c r="AD747" s="92"/>
      <c r="AE747" s="92"/>
      <c r="AF747" s="92"/>
      <c r="AG747" s="92"/>
      <c r="AH747" s="92"/>
    </row>
    <row r="748">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c r="AB748" s="92"/>
      <c r="AC748" s="92"/>
      <c r="AD748" s="92"/>
      <c r="AE748" s="92"/>
      <c r="AF748" s="92"/>
      <c r="AG748" s="92"/>
      <c r="AH748" s="92"/>
    </row>
    <row r="749">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c r="AC749" s="92"/>
      <c r="AD749" s="92"/>
      <c r="AE749" s="92"/>
      <c r="AF749" s="92"/>
      <c r="AG749" s="92"/>
      <c r="AH749" s="92"/>
    </row>
    <row r="750">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c r="AB750" s="92"/>
      <c r="AC750" s="92"/>
      <c r="AD750" s="92"/>
      <c r="AE750" s="92"/>
      <c r="AF750" s="92"/>
      <c r="AG750" s="92"/>
      <c r="AH750" s="92"/>
    </row>
    <row r="751">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c r="AB751" s="92"/>
      <c r="AC751" s="92"/>
      <c r="AD751" s="92"/>
      <c r="AE751" s="92"/>
      <c r="AF751" s="92"/>
      <c r="AG751" s="92"/>
      <c r="AH751" s="92"/>
    </row>
    <row r="75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c r="AB752" s="92"/>
      <c r="AC752" s="92"/>
      <c r="AD752" s="92"/>
      <c r="AE752" s="92"/>
      <c r="AF752" s="92"/>
      <c r="AG752" s="92"/>
      <c r="AH752" s="92"/>
    </row>
    <row r="753">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c r="AB753" s="92"/>
      <c r="AC753" s="92"/>
      <c r="AD753" s="92"/>
      <c r="AE753" s="92"/>
      <c r="AF753" s="92"/>
      <c r="AG753" s="92"/>
      <c r="AH753" s="92"/>
    </row>
    <row r="754">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c r="AB754" s="92"/>
      <c r="AC754" s="92"/>
      <c r="AD754" s="92"/>
      <c r="AE754" s="92"/>
      <c r="AF754" s="92"/>
      <c r="AG754" s="92"/>
      <c r="AH754" s="92"/>
    </row>
    <row r="755">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c r="AB755" s="92"/>
      <c r="AC755" s="92"/>
      <c r="AD755" s="92"/>
      <c r="AE755" s="92"/>
      <c r="AF755" s="92"/>
      <c r="AG755" s="92"/>
      <c r="AH755" s="92"/>
    </row>
    <row r="756">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c r="AB756" s="92"/>
      <c r="AC756" s="92"/>
      <c r="AD756" s="92"/>
      <c r="AE756" s="92"/>
      <c r="AF756" s="92"/>
      <c r="AG756" s="92"/>
      <c r="AH756" s="92"/>
    </row>
    <row r="757">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c r="AB757" s="92"/>
      <c r="AC757" s="92"/>
      <c r="AD757" s="92"/>
      <c r="AE757" s="92"/>
      <c r="AF757" s="92"/>
      <c r="AG757" s="92"/>
      <c r="AH757" s="92"/>
    </row>
    <row r="758">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c r="AB758" s="92"/>
      <c r="AC758" s="92"/>
      <c r="AD758" s="92"/>
      <c r="AE758" s="92"/>
      <c r="AF758" s="92"/>
      <c r="AG758" s="92"/>
      <c r="AH758" s="92"/>
    </row>
    <row r="759">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c r="AB759" s="92"/>
      <c r="AC759" s="92"/>
      <c r="AD759" s="92"/>
      <c r="AE759" s="92"/>
      <c r="AF759" s="92"/>
      <c r="AG759" s="92"/>
      <c r="AH759" s="92"/>
    </row>
    <row r="760">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c r="AB760" s="92"/>
      <c r="AC760" s="92"/>
      <c r="AD760" s="92"/>
      <c r="AE760" s="92"/>
      <c r="AF760" s="92"/>
      <c r="AG760" s="92"/>
      <c r="AH760" s="92"/>
    </row>
    <row r="761">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c r="AB761" s="92"/>
      <c r="AC761" s="92"/>
      <c r="AD761" s="92"/>
      <c r="AE761" s="92"/>
      <c r="AF761" s="92"/>
      <c r="AG761" s="92"/>
      <c r="AH761" s="92"/>
    </row>
    <row r="76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c r="AB762" s="92"/>
      <c r="AC762" s="92"/>
      <c r="AD762" s="92"/>
      <c r="AE762" s="92"/>
      <c r="AF762" s="92"/>
      <c r="AG762" s="92"/>
      <c r="AH762" s="92"/>
    </row>
    <row r="763">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c r="AB763" s="92"/>
      <c r="AC763" s="92"/>
      <c r="AD763" s="92"/>
      <c r="AE763" s="92"/>
      <c r="AF763" s="92"/>
      <c r="AG763" s="92"/>
      <c r="AH763" s="92"/>
    </row>
    <row r="764">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c r="AB764" s="92"/>
      <c r="AC764" s="92"/>
      <c r="AD764" s="92"/>
      <c r="AE764" s="92"/>
      <c r="AF764" s="92"/>
      <c r="AG764" s="92"/>
      <c r="AH764" s="92"/>
    </row>
    <row r="765">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c r="AB765" s="92"/>
      <c r="AC765" s="92"/>
      <c r="AD765" s="92"/>
      <c r="AE765" s="92"/>
      <c r="AF765" s="92"/>
      <c r="AG765" s="92"/>
      <c r="AH765" s="92"/>
    </row>
    <row r="766">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c r="AB766" s="92"/>
      <c r="AC766" s="92"/>
      <c r="AD766" s="92"/>
      <c r="AE766" s="92"/>
      <c r="AF766" s="92"/>
      <c r="AG766" s="92"/>
      <c r="AH766" s="92"/>
    </row>
    <row r="767">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c r="AB767" s="92"/>
      <c r="AC767" s="92"/>
      <c r="AD767" s="92"/>
      <c r="AE767" s="92"/>
      <c r="AF767" s="92"/>
      <c r="AG767" s="92"/>
      <c r="AH767" s="92"/>
    </row>
    <row r="768">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c r="AB768" s="92"/>
      <c r="AC768" s="92"/>
      <c r="AD768" s="92"/>
      <c r="AE768" s="92"/>
      <c r="AF768" s="92"/>
      <c r="AG768" s="92"/>
      <c r="AH768" s="92"/>
    </row>
    <row r="769">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c r="AB769" s="92"/>
      <c r="AC769" s="92"/>
      <c r="AD769" s="92"/>
      <c r="AE769" s="92"/>
      <c r="AF769" s="92"/>
      <c r="AG769" s="92"/>
      <c r="AH769" s="92"/>
    </row>
    <row r="770">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c r="AB770" s="92"/>
      <c r="AC770" s="92"/>
      <c r="AD770" s="92"/>
      <c r="AE770" s="92"/>
      <c r="AF770" s="92"/>
      <c r="AG770" s="92"/>
      <c r="AH770" s="92"/>
    </row>
    <row r="771">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c r="AB771" s="92"/>
      <c r="AC771" s="92"/>
      <c r="AD771" s="92"/>
      <c r="AE771" s="92"/>
      <c r="AF771" s="92"/>
      <c r="AG771" s="92"/>
      <c r="AH771" s="92"/>
    </row>
    <row r="77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c r="AB772" s="92"/>
      <c r="AC772" s="92"/>
      <c r="AD772" s="92"/>
      <c r="AE772" s="92"/>
      <c r="AF772" s="92"/>
      <c r="AG772" s="92"/>
      <c r="AH772" s="92"/>
    </row>
    <row r="773">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c r="AB773" s="92"/>
      <c r="AC773" s="92"/>
      <c r="AD773" s="92"/>
      <c r="AE773" s="92"/>
      <c r="AF773" s="92"/>
      <c r="AG773" s="92"/>
      <c r="AH773" s="92"/>
    </row>
    <row r="774">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c r="AB774" s="92"/>
      <c r="AC774" s="92"/>
      <c r="AD774" s="92"/>
      <c r="AE774" s="92"/>
      <c r="AF774" s="92"/>
      <c r="AG774" s="92"/>
      <c r="AH774" s="92"/>
    </row>
    <row r="775">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c r="AB775" s="92"/>
      <c r="AC775" s="92"/>
      <c r="AD775" s="92"/>
      <c r="AE775" s="92"/>
      <c r="AF775" s="92"/>
      <c r="AG775" s="92"/>
      <c r="AH775" s="92"/>
    </row>
    <row r="776">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c r="AB776" s="92"/>
      <c r="AC776" s="92"/>
      <c r="AD776" s="92"/>
      <c r="AE776" s="92"/>
      <c r="AF776" s="92"/>
      <c r="AG776" s="92"/>
      <c r="AH776" s="92"/>
    </row>
    <row r="777">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c r="AB777" s="92"/>
      <c r="AC777" s="92"/>
      <c r="AD777" s="92"/>
      <c r="AE777" s="92"/>
      <c r="AF777" s="92"/>
      <c r="AG777" s="92"/>
      <c r="AH777" s="92"/>
    </row>
    <row r="778">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c r="AB778" s="92"/>
      <c r="AC778" s="92"/>
      <c r="AD778" s="92"/>
      <c r="AE778" s="92"/>
      <c r="AF778" s="92"/>
      <c r="AG778" s="92"/>
      <c r="AH778" s="92"/>
    </row>
    <row r="779">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c r="AB779" s="92"/>
      <c r="AC779" s="92"/>
      <c r="AD779" s="92"/>
      <c r="AE779" s="92"/>
      <c r="AF779" s="92"/>
      <c r="AG779" s="92"/>
      <c r="AH779" s="92"/>
    </row>
    <row r="780">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c r="AB780" s="92"/>
      <c r="AC780" s="92"/>
      <c r="AD780" s="92"/>
      <c r="AE780" s="92"/>
      <c r="AF780" s="92"/>
      <c r="AG780" s="92"/>
      <c r="AH780" s="92"/>
    </row>
    <row r="781">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c r="AB781" s="92"/>
      <c r="AC781" s="92"/>
      <c r="AD781" s="92"/>
      <c r="AE781" s="92"/>
      <c r="AF781" s="92"/>
      <c r="AG781" s="92"/>
      <c r="AH781" s="92"/>
    </row>
    <row r="78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c r="AB782" s="92"/>
      <c r="AC782" s="92"/>
      <c r="AD782" s="92"/>
      <c r="AE782" s="92"/>
      <c r="AF782" s="92"/>
      <c r="AG782" s="92"/>
      <c r="AH782" s="92"/>
    </row>
    <row r="783">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c r="AB783" s="92"/>
      <c r="AC783" s="92"/>
      <c r="AD783" s="92"/>
      <c r="AE783" s="92"/>
      <c r="AF783" s="92"/>
      <c r="AG783" s="92"/>
      <c r="AH783" s="92"/>
    </row>
    <row r="784">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c r="AB784" s="92"/>
      <c r="AC784" s="92"/>
      <c r="AD784" s="92"/>
      <c r="AE784" s="92"/>
      <c r="AF784" s="92"/>
      <c r="AG784" s="92"/>
      <c r="AH784" s="92"/>
    </row>
    <row r="785">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c r="AB785" s="92"/>
      <c r="AC785" s="92"/>
      <c r="AD785" s="92"/>
      <c r="AE785" s="92"/>
      <c r="AF785" s="92"/>
      <c r="AG785" s="92"/>
      <c r="AH785" s="92"/>
    </row>
    <row r="786">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c r="AB786" s="92"/>
      <c r="AC786" s="92"/>
      <c r="AD786" s="92"/>
      <c r="AE786" s="92"/>
      <c r="AF786" s="92"/>
      <c r="AG786" s="92"/>
      <c r="AH786" s="92"/>
    </row>
    <row r="787">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c r="AB787" s="92"/>
      <c r="AC787" s="92"/>
      <c r="AD787" s="92"/>
      <c r="AE787" s="92"/>
      <c r="AF787" s="92"/>
      <c r="AG787" s="92"/>
      <c r="AH787" s="92"/>
    </row>
    <row r="788">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c r="AB788" s="92"/>
      <c r="AC788" s="92"/>
      <c r="AD788" s="92"/>
      <c r="AE788" s="92"/>
      <c r="AF788" s="92"/>
      <c r="AG788" s="92"/>
      <c r="AH788" s="92"/>
    </row>
    <row r="789">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c r="AB789" s="92"/>
      <c r="AC789" s="92"/>
      <c r="AD789" s="92"/>
      <c r="AE789" s="92"/>
      <c r="AF789" s="92"/>
      <c r="AG789" s="92"/>
      <c r="AH789" s="92"/>
    </row>
    <row r="790">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c r="AE790" s="92"/>
      <c r="AF790" s="92"/>
      <c r="AG790" s="92"/>
      <c r="AH790" s="92"/>
    </row>
    <row r="791">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c r="AC791" s="92"/>
      <c r="AD791" s="92"/>
      <c r="AE791" s="92"/>
      <c r="AF791" s="92"/>
      <c r="AG791" s="92"/>
      <c r="AH791" s="92"/>
    </row>
    <row r="7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c r="AB792" s="92"/>
      <c r="AC792" s="92"/>
      <c r="AD792" s="92"/>
      <c r="AE792" s="92"/>
      <c r="AF792" s="92"/>
      <c r="AG792" s="92"/>
      <c r="AH792" s="92"/>
    </row>
    <row r="793">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c r="AB793" s="92"/>
      <c r="AC793" s="92"/>
      <c r="AD793" s="92"/>
      <c r="AE793" s="92"/>
      <c r="AF793" s="92"/>
      <c r="AG793" s="92"/>
      <c r="AH793" s="92"/>
    </row>
    <row r="794">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c r="AB794" s="92"/>
      <c r="AC794" s="92"/>
      <c r="AD794" s="92"/>
      <c r="AE794" s="92"/>
      <c r="AF794" s="92"/>
      <c r="AG794" s="92"/>
      <c r="AH794" s="92"/>
    </row>
    <row r="795">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c r="AC795" s="92"/>
      <c r="AD795" s="92"/>
      <c r="AE795" s="92"/>
      <c r="AF795" s="92"/>
      <c r="AG795" s="92"/>
      <c r="AH795" s="92"/>
    </row>
    <row r="796">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c r="AE796" s="92"/>
      <c r="AF796" s="92"/>
      <c r="AG796" s="92"/>
      <c r="AH796" s="92"/>
    </row>
    <row r="797">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c r="AB797" s="92"/>
      <c r="AC797" s="92"/>
      <c r="AD797" s="92"/>
      <c r="AE797" s="92"/>
      <c r="AF797" s="92"/>
      <c r="AG797" s="92"/>
      <c r="AH797" s="92"/>
    </row>
    <row r="798">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c r="AE798" s="92"/>
      <c r="AF798" s="92"/>
      <c r="AG798" s="92"/>
      <c r="AH798" s="92"/>
    </row>
    <row r="799">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c r="AC799" s="92"/>
      <c r="AD799" s="92"/>
      <c r="AE799" s="92"/>
      <c r="AF799" s="92"/>
      <c r="AG799" s="92"/>
      <c r="AH799" s="92"/>
    </row>
    <row r="800">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c r="AE800" s="92"/>
      <c r="AF800" s="92"/>
      <c r="AG800" s="92"/>
      <c r="AH800" s="92"/>
    </row>
    <row r="801">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c r="AC801" s="92"/>
      <c r="AD801" s="92"/>
      <c r="AE801" s="92"/>
      <c r="AF801" s="92"/>
      <c r="AG801" s="92"/>
      <c r="AH801" s="92"/>
    </row>
    <row r="80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c r="AB802" s="92"/>
      <c r="AC802" s="92"/>
      <c r="AD802" s="92"/>
      <c r="AE802" s="92"/>
      <c r="AF802" s="92"/>
      <c r="AG802" s="92"/>
      <c r="AH802" s="92"/>
    </row>
    <row r="803">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c r="AB803" s="92"/>
      <c r="AC803" s="92"/>
      <c r="AD803" s="92"/>
      <c r="AE803" s="92"/>
      <c r="AF803" s="92"/>
      <c r="AG803" s="92"/>
      <c r="AH803" s="92"/>
    </row>
    <row r="804">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c r="AB804" s="92"/>
      <c r="AC804" s="92"/>
      <c r="AD804" s="92"/>
      <c r="AE804" s="92"/>
      <c r="AF804" s="92"/>
      <c r="AG804" s="92"/>
      <c r="AH804" s="92"/>
    </row>
    <row r="805">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c r="AB805" s="92"/>
      <c r="AC805" s="92"/>
      <c r="AD805" s="92"/>
      <c r="AE805" s="92"/>
      <c r="AF805" s="92"/>
      <c r="AG805" s="92"/>
      <c r="AH805" s="92"/>
    </row>
    <row r="806">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c r="AB806" s="92"/>
      <c r="AC806" s="92"/>
      <c r="AD806" s="92"/>
      <c r="AE806" s="92"/>
      <c r="AF806" s="92"/>
      <c r="AG806" s="92"/>
      <c r="AH806" s="92"/>
    </row>
    <row r="807">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c r="AB807" s="92"/>
      <c r="AC807" s="92"/>
      <c r="AD807" s="92"/>
      <c r="AE807" s="92"/>
      <c r="AF807" s="92"/>
      <c r="AG807" s="92"/>
      <c r="AH807" s="92"/>
    </row>
    <row r="808">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c r="AB808" s="92"/>
      <c r="AC808" s="92"/>
      <c r="AD808" s="92"/>
      <c r="AE808" s="92"/>
      <c r="AF808" s="92"/>
      <c r="AG808" s="92"/>
      <c r="AH808" s="92"/>
    </row>
    <row r="809">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c r="AB809" s="92"/>
      <c r="AC809" s="92"/>
      <c r="AD809" s="92"/>
      <c r="AE809" s="92"/>
      <c r="AF809" s="92"/>
      <c r="AG809" s="92"/>
      <c r="AH809" s="92"/>
    </row>
    <row r="810">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c r="AB810" s="92"/>
      <c r="AC810" s="92"/>
      <c r="AD810" s="92"/>
      <c r="AE810" s="92"/>
      <c r="AF810" s="92"/>
      <c r="AG810" s="92"/>
      <c r="AH810" s="92"/>
    </row>
    <row r="811">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c r="AB811" s="92"/>
      <c r="AC811" s="92"/>
      <c r="AD811" s="92"/>
      <c r="AE811" s="92"/>
      <c r="AF811" s="92"/>
      <c r="AG811" s="92"/>
      <c r="AH811" s="92"/>
    </row>
    <row r="81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c r="AB812" s="92"/>
      <c r="AC812" s="92"/>
      <c r="AD812" s="92"/>
      <c r="AE812" s="92"/>
      <c r="AF812" s="92"/>
      <c r="AG812" s="92"/>
      <c r="AH812" s="92"/>
    </row>
    <row r="813">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c r="AB813" s="92"/>
      <c r="AC813" s="92"/>
      <c r="AD813" s="92"/>
      <c r="AE813" s="92"/>
      <c r="AF813" s="92"/>
      <c r="AG813" s="92"/>
      <c r="AH813" s="92"/>
    </row>
    <row r="814">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c r="AB814" s="92"/>
      <c r="AC814" s="92"/>
      <c r="AD814" s="92"/>
      <c r="AE814" s="92"/>
      <c r="AF814" s="92"/>
      <c r="AG814" s="92"/>
      <c r="AH814" s="92"/>
    </row>
    <row r="815">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c r="AB815" s="92"/>
      <c r="AC815" s="92"/>
      <c r="AD815" s="92"/>
      <c r="AE815" s="92"/>
      <c r="AF815" s="92"/>
      <c r="AG815" s="92"/>
      <c r="AH815" s="92"/>
    </row>
    <row r="816">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c r="AB816" s="92"/>
      <c r="AC816" s="92"/>
      <c r="AD816" s="92"/>
      <c r="AE816" s="92"/>
      <c r="AF816" s="92"/>
      <c r="AG816" s="92"/>
      <c r="AH816" s="92"/>
    </row>
    <row r="817">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c r="AB817" s="92"/>
      <c r="AC817" s="92"/>
      <c r="AD817" s="92"/>
      <c r="AE817" s="92"/>
      <c r="AF817" s="92"/>
      <c r="AG817" s="92"/>
      <c r="AH817" s="92"/>
    </row>
    <row r="818">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c r="AB818" s="92"/>
      <c r="AC818" s="92"/>
      <c r="AD818" s="92"/>
      <c r="AE818" s="92"/>
      <c r="AF818" s="92"/>
      <c r="AG818" s="92"/>
      <c r="AH818" s="92"/>
    </row>
    <row r="819">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c r="AB819" s="92"/>
      <c r="AC819" s="92"/>
      <c r="AD819" s="92"/>
      <c r="AE819" s="92"/>
      <c r="AF819" s="92"/>
      <c r="AG819" s="92"/>
      <c r="AH819" s="92"/>
    </row>
    <row r="820">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c r="AB820" s="92"/>
      <c r="AC820" s="92"/>
      <c r="AD820" s="92"/>
      <c r="AE820" s="92"/>
      <c r="AF820" s="92"/>
      <c r="AG820" s="92"/>
      <c r="AH820" s="92"/>
    </row>
    <row r="821">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c r="AB821" s="92"/>
      <c r="AC821" s="92"/>
      <c r="AD821" s="92"/>
      <c r="AE821" s="92"/>
      <c r="AF821" s="92"/>
      <c r="AG821" s="92"/>
      <c r="AH821" s="92"/>
    </row>
    <row r="82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c r="AB822" s="92"/>
      <c r="AC822" s="92"/>
      <c r="AD822" s="92"/>
      <c r="AE822" s="92"/>
      <c r="AF822" s="92"/>
      <c r="AG822" s="92"/>
      <c r="AH822" s="92"/>
    </row>
    <row r="823">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c r="AB823" s="92"/>
      <c r="AC823" s="92"/>
      <c r="AD823" s="92"/>
      <c r="AE823" s="92"/>
      <c r="AF823" s="92"/>
      <c r="AG823" s="92"/>
      <c r="AH823" s="92"/>
    </row>
    <row r="824">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c r="AB824" s="92"/>
      <c r="AC824" s="92"/>
      <c r="AD824" s="92"/>
      <c r="AE824" s="92"/>
      <c r="AF824" s="92"/>
      <c r="AG824" s="92"/>
      <c r="AH824" s="92"/>
    </row>
    <row r="825">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c r="AB825" s="92"/>
      <c r="AC825" s="92"/>
      <c r="AD825" s="92"/>
      <c r="AE825" s="92"/>
      <c r="AF825" s="92"/>
      <c r="AG825" s="92"/>
      <c r="AH825" s="92"/>
    </row>
    <row r="826">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c r="AB826" s="92"/>
      <c r="AC826" s="92"/>
      <c r="AD826" s="92"/>
      <c r="AE826" s="92"/>
      <c r="AF826" s="92"/>
      <c r="AG826" s="92"/>
      <c r="AH826" s="92"/>
    </row>
    <row r="827">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c r="AB827" s="92"/>
      <c r="AC827" s="92"/>
      <c r="AD827" s="92"/>
      <c r="AE827" s="92"/>
      <c r="AF827" s="92"/>
      <c r="AG827" s="92"/>
      <c r="AH827" s="92"/>
    </row>
    <row r="828">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c r="AB828" s="92"/>
      <c r="AC828" s="92"/>
      <c r="AD828" s="92"/>
      <c r="AE828" s="92"/>
      <c r="AF828" s="92"/>
      <c r="AG828" s="92"/>
      <c r="AH828" s="92"/>
    </row>
    <row r="829">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c r="AB829" s="92"/>
      <c r="AC829" s="92"/>
      <c r="AD829" s="92"/>
      <c r="AE829" s="92"/>
      <c r="AF829" s="92"/>
      <c r="AG829" s="92"/>
      <c r="AH829" s="92"/>
    </row>
    <row r="830">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c r="AE830" s="92"/>
      <c r="AF830" s="92"/>
      <c r="AG830" s="92"/>
      <c r="AH830" s="92"/>
    </row>
    <row r="831">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c r="AB831" s="92"/>
      <c r="AC831" s="92"/>
      <c r="AD831" s="92"/>
      <c r="AE831" s="92"/>
      <c r="AF831" s="92"/>
      <c r="AG831" s="92"/>
      <c r="AH831" s="92"/>
    </row>
    <row r="83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c r="AE832" s="92"/>
      <c r="AF832" s="92"/>
      <c r="AG832" s="92"/>
      <c r="AH832" s="92"/>
    </row>
    <row r="833">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c r="AB833" s="92"/>
      <c r="AC833" s="92"/>
      <c r="AD833" s="92"/>
      <c r="AE833" s="92"/>
      <c r="AF833" s="92"/>
      <c r="AG833" s="92"/>
      <c r="AH833" s="92"/>
    </row>
    <row r="834">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c r="AB834" s="92"/>
      <c r="AC834" s="92"/>
      <c r="AD834" s="92"/>
      <c r="AE834" s="92"/>
      <c r="AF834" s="92"/>
      <c r="AG834" s="92"/>
      <c r="AH834" s="92"/>
    </row>
    <row r="835">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c r="AB835" s="92"/>
      <c r="AC835" s="92"/>
      <c r="AD835" s="92"/>
      <c r="AE835" s="92"/>
      <c r="AF835" s="92"/>
      <c r="AG835" s="92"/>
      <c r="AH835" s="92"/>
    </row>
    <row r="836">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c r="AB836" s="92"/>
      <c r="AC836" s="92"/>
      <c r="AD836" s="92"/>
      <c r="AE836" s="92"/>
      <c r="AF836" s="92"/>
      <c r="AG836" s="92"/>
      <c r="AH836" s="92"/>
    </row>
    <row r="837">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c r="AB837" s="92"/>
      <c r="AC837" s="92"/>
      <c r="AD837" s="92"/>
      <c r="AE837" s="92"/>
      <c r="AF837" s="92"/>
      <c r="AG837" s="92"/>
      <c r="AH837" s="92"/>
    </row>
    <row r="838">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c r="AB838" s="92"/>
      <c r="AC838" s="92"/>
      <c r="AD838" s="92"/>
      <c r="AE838" s="92"/>
      <c r="AF838" s="92"/>
      <c r="AG838" s="92"/>
      <c r="AH838" s="92"/>
    </row>
    <row r="839">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c r="AB839" s="92"/>
      <c r="AC839" s="92"/>
      <c r="AD839" s="92"/>
      <c r="AE839" s="92"/>
      <c r="AF839" s="92"/>
      <c r="AG839" s="92"/>
      <c r="AH839" s="92"/>
    </row>
    <row r="840">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c r="AB840" s="92"/>
      <c r="AC840" s="92"/>
      <c r="AD840" s="92"/>
      <c r="AE840" s="92"/>
      <c r="AF840" s="92"/>
      <c r="AG840" s="92"/>
      <c r="AH840" s="92"/>
    </row>
    <row r="841">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c r="AB841" s="92"/>
      <c r="AC841" s="92"/>
      <c r="AD841" s="92"/>
      <c r="AE841" s="92"/>
      <c r="AF841" s="92"/>
      <c r="AG841" s="92"/>
      <c r="AH841" s="92"/>
    </row>
    <row r="84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c r="AB842" s="92"/>
      <c r="AC842" s="92"/>
      <c r="AD842" s="92"/>
      <c r="AE842" s="92"/>
      <c r="AF842" s="92"/>
      <c r="AG842" s="92"/>
      <c r="AH842" s="92"/>
    </row>
    <row r="843">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c r="AB843" s="92"/>
      <c r="AC843" s="92"/>
      <c r="AD843" s="92"/>
      <c r="AE843" s="92"/>
      <c r="AF843" s="92"/>
      <c r="AG843" s="92"/>
      <c r="AH843" s="92"/>
    </row>
    <row r="844">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c r="AB844" s="92"/>
      <c r="AC844" s="92"/>
      <c r="AD844" s="92"/>
      <c r="AE844" s="92"/>
      <c r="AF844" s="92"/>
      <c r="AG844" s="92"/>
      <c r="AH844" s="92"/>
    </row>
    <row r="845">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c r="AB845" s="92"/>
      <c r="AC845" s="92"/>
      <c r="AD845" s="92"/>
      <c r="AE845" s="92"/>
      <c r="AF845" s="92"/>
      <c r="AG845" s="92"/>
      <c r="AH845" s="92"/>
    </row>
    <row r="846">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c r="AB846" s="92"/>
      <c r="AC846" s="92"/>
      <c r="AD846" s="92"/>
      <c r="AE846" s="92"/>
      <c r="AF846" s="92"/>
      <c r="AG846" s="92"/>
      <c r="AH846" s="92"/>
    </row>
    <row r="847">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c r="AB847" s="92"/>
      <c r="AC847" s="92"/>
      <c r="AD847" s="92"/>
      <c r="AE847" s="92"/>
      <c r="AF847" s="92"/>
      <c r="AG847" s="92"/>
      <c r="AH847" s="92"/>
    </row>
    <row r="848">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c r="AB848" s="92"/>
      <c r="AC848" s="92"/>
      <c r="AD848" s="92"/>
      <c r="AE848" s="92"/>
      <c r="AF848" s="92"/>
      <c r="AG848" s="92"/>
      <c r="AH848" s="92"/>
    </row>
    <row r="849">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c r="AB849" s="92"/>
      <c r="AC849" s="92"/>
      <c r="AD849" s="92"/>
      <c r="AE849" s="92"/>
      <c r="AF849" s="92"/>
      <c r="AG849" s="92"/>
      <c r="AH849" s="92"/>
    </row>
    <row r="850">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c r="AB850" s="92"/>
      <c r="AC850" s="92"/>
      <c r="AD850" s="92"/>
      <c r="AE850" s="92"/>
      <c r="AF850" s="92"/>
      <c r="AG850" s="92"/>
      <c r="AH850" s="92"/>
    </row>
    <row r="851">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c r="AB851" s="92"/>
      <c r="AC851" s="92"/>
      <c r="AD851" s="92"/>
      <c r="AE851" s="92"/>
      <c r="AF851" s="92"/>
      <c r="AG851" s="92"/>
      <c r="AH851" s="92"/>
    </row>
    <row r="85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c r="AB852" s="92"/>
      <c r="AC852" s="92"/>
      <c r="AD852" s="92"/>
      <c r="AE852" s="92"/>
      <c r="AF852" s="92"/>
      <c r="AG852" s="92"/>
      <c r="AH852" s="92"/>
    </row>
    <row r="853">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c r="AB853" s="92"/>
      <c r="AC853" s="92"/>
      <c r="AD853" s="92"/>
      <c r="AE853" s="92"/>
      <c r="AF853" s="92"/>
      <c r="AG853" s="92"/>
      <c r="AH853" s="92"/>
    </row>
    <row r="854">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c r="AB854" s="92"/>
      <c r="AC854" s="92"/>
      <c r="AD854" s="92"/>
      <c r="AE854" s="92"/>
      <c r="AF854" s="92"/>
      <c r="AG854" s="92"/>
      <c r="AH854" s="92"/>
    </row>
    <row r="855">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c r="AB855" s="92"/>
      <c r="AC855" s="92"/>
      <c r="AD855" s="92"/>
      <c r="AE855" s="92"/>
      <c r="AF855" s="92"/>
      <c r="AG855" s="92"/>
      <c r="AH855" s="92"/>
    </row>
    <row r="856">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c r="AE856" s="92"/>
      <c r="AF856" s="92"/>
      <c r="AG856" s="92"/>
      <c r="AH856" s="92"/>
    </row>
    <row r="857">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c r="AB857" s="92"/>
      <c r="AC857" s="92"/>
      <c r="AD857" s="92"/>
      <c r="AE857" s="92"/>
      <c r="AF857" s="92"/>
      <c r="AG857" s="92"/>
      <c r="AH857" s="92"/>
    </row>
    <row r="858">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c r="AB858" s="92"/>
      <c r="AC858" s="92"/>
      <c r="AD858" s="92"/>
      <c r="AE858" s="92"/>
      <c r="AF858" s="92"/>
      <c r="AG858" s="92"/>
      <c r="AH858" s="92"/>
    </row>
    <row r="859">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c r="AB859" s="92"/>
      <c r="AC859" s="92"/>
      <c r="AD859" s="92"/>
      <c r="AE859" s="92"/>
      <c r="AF859" s="92"/>
      <c r="AG859" s="92"/>
      <c r="AH859" s="92"/>
    </row>
    <row r="860">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c r="AB860" s="92"/>
      <c r="AC860" s="92"/>
      <c r="AD860" s="92"/>
      <c r="AE860" s="92"/>
      <c r="AF860" s="92"/>
      <c r="AG860" s="92"/>
      <c r="AH860" s="92"/>
    </row>
    <row r="861">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c r="AB861" s="92"/>
      <c r="AC861" s="92"/>
      <c r="AD861" s="92"/>
      <c r="AE861" s="92"/>
      <c r="AF861" s="92"/>
      <c r="AG861" s="92"/>
      <c r="AH861" s="92"/>
    </row>
    <row r="86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c r="AB862" s="92"/>
      <c r="AC862" s="92"/>
      <c r="AD862" s="92"/>
      <c r="AE862" s="92"/>
      <c r="AF862" s="92"/>
      <c r="AG862" s="92"/>
      <c r="AH862" s="92"/>
    </row>
    <row r="863">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c r="AB863" s="92"/>
      <c r="AC863" s="92"/>
      <c r="AD863" s="92"/>
      <c r="AE863" s="92"/>
      <c r="AF863" s="92"/>
      <c r="AG863" s="92"/>
      <c r="AH863" s="92"/>
    </row>
    <row r="864">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c r="AB864" s="92"/>
      <c r="AC864" s="92"/>
      <c r="AD864" s="92"/>
      <c r="AE864" s="92"/>
      <c r="AF864" s="92"/>
      <c r="AG864" s="92"/>
      <c r="AH864" s="92"/>
    </row>
    <row r="865">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c r="AB865" s="92"/>
      <c r="AC865" s="92"/>
      <c r="AD865" s="92"/>
      <c r="AE865" s="92"/>
      <c r="AF865" s="92"/>
      <c r="AG865" s="92"/>
      <c r="AH865" s="92"/>
    </row>
    <row r="866">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c r="AB866" s="92"/>
      <c r="AC866" s="92"/>
      <c r="AD866" s="92"/>
      <c r="AE866" s="92"/>
      <c r="AF866" s="92"/>
      <c r="AG866" s="92"/>
      <c r="AH866" s="92"/>
    </row>
    <row r="867">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c r="AB867" s="92"/>
      <c r="AC867" s="92"/>
      <c r="AD867" s="92"/>
      <c r="AE867" s="92"/>
      <c r="AF867" s="92"/>
      <c r="AG867" s="92"/>
      <c r="AH867" s="92"/>
    </row>
    <row r="868">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c r="AB868" s="92"/>
      <c r="AC868" s="92"/>
      <c r="AD868" s="92"/>
      <c r="AE868" s="92"/>
      <c r="AF868" s="92"/>
      <c r="AG868" s="92"/>
      <c r="AH868" s="92"/>
    </row>
    <row r="869">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c r="AB869" s="92"/>
      <c r="AC869" s="92"/>
      <c r="AD869" s="92"/>
      <c r="AE869" s="92"/>
      <c r="AF869" s="92"/>
      <c r="AG869" s="92"/>
      <c r="AH869" s="92"/>
    </row>
    <row r="870">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c r="AB870" s="92"/>
      <c r="AC870" s="92"/>
      <c r="AD870" s="92"/>
      <c r="AE870" s="92"/>
      <c r="AF870" s="92"/>
      <c r="AG870" s="92"/>
      <c r="AH870" s="92"/>
    </row>
    <row r="871">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c r="AB871" s="92"/>
      <c r="AC871" s="92"/>
      <c r="AD871" s="92"/>
      <c r="AE871" s="92"/>
      <c r="AF871" s="92"/>
      <c r="AG871" s="92"/>
      <c r="AH871" s="92"/>
    </row>
    <row r="87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c r="AB872" s="92"/>
      <c r="AC872" s="92"/>
      <c r="AD872" s="92"/>
      <c r="AE872" s="92"/>
      <c r="AF872" s="92"/>
      <c r="AG872" s="92"/>
      <c r="AH872" s="92"/>
    </row>
    <row r="873">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c r="AB873" s="92"/>
      <c r="AC873" s="92"/>
      <c r="AD873" s="92"/>
      <c r="AE873" s="92"/>
      <c r="AF873" s="92"/>
      <c r="AG873" s="92"/>
      <c r="AH873" s="92"/>
    </row>
    <row r="874">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c r="AB874" s="92"/>
      <c r="AC874" s="92"/>
      <c r="AD874" s="92"/>
      <c r="AE874" s="92"/>
      <c r="AF874" s="92"/>
      <c r="AG874" s="92"/>
      <c r="AH874" s="92"/>
    </row>
    <row r="875">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c r="AB875" s="92"/>
      <c r="AC875" s="92"/>
      <c r="AD875" s="92"/>
      <c r="AE875" s="92"/>
      <c r="AF875" s="92"/>
      <c r="AG875" s="92"/>
      <c r="AH875" s="92"/>
    </row>
    <row r="876">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c r="AB876" s="92"/>
      <c r="AC876" s="92"/>
      <c r="AD876" s="92"/>
      <c r="AE876" s="92"/>
      <c r="AF876" s="92"/>
      <c r="AG876" s="92"/>
      <c r="AH876" s="92"/>
    </row>
    <row r="877">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c r="AB877" s="92"/>
      <c r="AC877" s="92"/>
      <c r="AD877" s="92"/>
      <c r="AE877" s="92"/>
      <c r="AF877" s="92"/>
      <c r="AG877" s="92"/>
      <c r="AH877" s="92"/>
    </row>
    <row r="878">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c r="AB878" s="92"/>
      <c r="AC878" s="92"/>
      <c r="AD878" s="92"/>
      <c r="AE878" s="92"/>
      <c r="AF878" s="92"/>
      <c r="AG878" s="92"/>
      <c r="AH878" s="92"/>
    </row>
    <row r="879">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c r="AB879" s="92"/>
      <c r="AC879" s="92"/>
      <c r="AD879" s="92"/>
      <c r="AE879" s="92"/>
      <c r="AF879" s="92"/>
      <c r="AG879" s="92"/>
      <c r="AH879" s="92"/>
    </row>
    <row r="880">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c r="AB880" s="92"/>
      <c r="AC880" s="92"/>
      <c r="AD880" s="92"/>
      <c r="AE880" s="92"/>
      <c r="AF880" s="92"/>
      <c r="AG880" s="92"/>
      <c r="AH880" s="92"/>
    </row>
    <row r="881">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c r="AB881" s="92"/>
      <c r="AC881" s="92"/>
      <c r="AD881" s="92"/>
      <c r="AE881" s="92"/>
      <c r="AF881" s="92"/>
      <c r="AG881" s="92"/>
      <c r="AH881" s="92"/>
    </row>
    <row r="88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c r="AB882" s="92"/>
      <c r="AC882" s="92"/>
      <c r="AD882" s="92"/>
      <c r="AE882" s="92"/>
      <c r="AF882" s="92"/>
      <c r="AG882" s="92"/>
      <c r="AH882" s="92"/>
    </row>
    <row r="883">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c r="AB883" s="92"/>
      <c r="AC883" s="92"/>
      <c r="AD883" s="92"/>
      <c r="AE883" s="92"/>
      <c r="AF883" s="92"/>
      <c r="AG883" s="92"/>
      <c r="AH883" s="92"/>
    </row>
    <row r="884">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c r="AB884" s="92"/>
      <c r="AC884" s="92"/>
      <c r="AD884" s="92"/>
      <c r="AE884" s="92"/>
      <c r="AF884" s="92"/>
      <c r="AG884" s="92"/>
      <c r="AH884" s="92"/>
    </row>
    <row r="885">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c r="AB885" s="92"/>
      <c r="AC885" s="92"/>
      <c r="AD885" s="92"/>
      <c r="AE885" s="92"/>
      <c r="AF885" s="92"/>
      <c r="AG885" s="92"/>
      <c r="AH885" s="92"/>
    </row>
    <row r="886">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c r="AB886" s="92"/>
      <c r="AC886" s="92"/>
      <c r="AD886" s="92"/>
      <c r="AE886" s="92"/>
      <c r="AF886" s="92"/>
      <c r="AG886" s="92"/>
      <c r="AH886" s="92"/>
    </row>
    <row r="887">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c r="AG887" s="92"/>
      <c r="AH887" s="92"/>
    </row>
    <row r="888">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c r="AB888" s="92"/>
      <c r="AC888" s="92"/>
      <c r="AD888" s="92"/>
      <c r="AE888" s="92"/>
      <c r="AF888" s="92"/>
      <c r="AG888" s="92"/>
      <c r="AH888" s="92"/>
    </row>
    <row r="889">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c r="AB889" s="92"/>
      <c r="AC889" s="92"/>
      <c r="AD889" s="92"/>
      <c r="AE889" s="92"/>
      <c r="AF889" s="92"/>
      <c r="AG889" s="92"/>
      <c r="AH889" s="92"/>
    </row>
    <row r="890">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c r="AB890" s="92"/>
      <c r="AC890" s="92"/>
      <c r="AD890" s="92"/>
      <c r="AE890" s="92"/>
      <c r="AF890" s="92"/>
      <c r="AG890" s="92"/>
      <c r="AH890" s="92"/>
    </row>
    <row r="891">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c r="AB891" s="92"/>
      <c r="AC891" s="92"/>
      <c r="AD891" s="92"/>
      <c r="AE891" s="92"/>
      <c r="AF891" s="92"/>
      <c r="AG891" s="92"/>
      <c r="AH891" s="92"/>
    </row>
    <row r="8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c r="AB892" s="92"/>
      <c r="AC892" s="92"/>
      <c r="AD892" s="92"/>
      <c r="AE892" s="92"/>
      <c r="AF892" s="92"/>
      <c r="AG892" s="92"/>
      <c r="AH892" s="92"/>
    </row>
    <row r="893">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c r="AB893" s="92"/>
      <c r="AC893" s="92"/>
      <c r="AD893" s="92"/>
      <c r="AE893" s="92"/>
      <c r="AF893" s="92"/>
      <c r="AG893" s="92"/>
      <c r="AH893" s="92"/>
    </row>
    <row r="894">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c r="AB894" s="92"/>
      <c r="AC894" s="92"/>
      <c r="AD894" s="92"/>
      <c r="AE894" s="92"/>
      <c r="AF894" s="92"/>
      <c r="AG894" s="92"/>
      <c r="AH894" s="92"/>
    </row>
    <row r="895">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c r="AB895" s="92"/>
      <c r="AC895" s="92"/>
      <c r="AD895" s="92"/>
      <c r="AE895" s="92"/>
      <c r="AF895" s="92"/>
      <c r="AG895" s="92"/>
      <c r="AH895" s="92"/>
    </row>
    <row r="896">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c r="AB896" s="92"/>
      <c r="AC896" s="92"/>
      <c r="AD896" s="92"/>
      <c r="AE896" s="92"/>
      <c r="AF896" s="92"/>
      <c r="AG896" s="92"/>
      <c r="AH896" s="92"/>
    </row>
    <row r="897">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2"/>
      <c r="AF897" s="92"/>
      <c r="AG897" s="92"/>
      <c r="AH897" s="92"/>
    </row>
    <row r="898">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c r="AB898" s="92"/>
      <c r="AC898" s="92"/>
      <c r="AD898" s="92"/>
      <c r="AE898" s="92"/>
      <c r="AF898" s="92"/>
      <c r="AG898" s="92"/>
      <c r="AH898" s="92"/>
    </row>
    <row r="899">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c r="AB899" s="92"/>
      <c r="AC899" s="92"/>
      <c r="AD899" s="92"/>
      <c r="AE899" s="92"/>
      <c r="AF899" s="92"/>
      <c r="AG899" s="92"/>
      <c r="AH899" s="92"/>
    </row>
    <row r="900">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c r="AB900" s="92"/>
      <c r="AC900" s="92"/>
      <c r="AD900" s="92"/>
      <c r="AE900" s="92"/>
      <c r="AF900" s="92"/>
      <c r="AG900" s="92"/>
      <c r="AH900" s="92"/>
    </row>
    <row r="901">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c r="AB901" s="92"/>
      <c r="AC901" s="92"/>
      <c r="AD901" s="92"/>
      <c r="AE901" s="92"/>
      <c r="AF901" s="92"/>
      <c r="AG901" s="92"/>
      <c r="AH901" s="92"/>
    </row>
    <row r="90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c r="AB902" s="92"/>
      <c r="AC902" s="92"/>
      <c r="AD902" s="92"/>
      <c r="AE902" s="92"/>
      <c r="AF902" s="92"/>
      <c r="AG902" s="92"/>
      <c r="AH902" s="92"/>
    </row>
    <row r="903">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c r="AB903" s="92"/>
      <c r="AC903" s="92"/>
      <c r="AD903" s="92"/>
      <c r="AE903" s="92"/>
      <c r="AF903" s="92"/>
      <c r="AG903" s="92"/>
      <c r="AH903" s="92"/>
    </row>
    <row r="904">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c r="AB904" s="92"/>
      <c r="AC904" s="92"/>
      <c r="AD904" s="92"/>
      <c r="AE904" s="92"/>
      <c r="AF904" s="92"/>
      <c r="AG904" s="92"/>
      <c r="AH904" s="92"/>
    </row>
    <row r="905">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c r="AB905" s="92"/>
      <c r="AC905" s="92"/>
      <c r="AD905" s="92"/>
      <c r="AE905" s="92"/>
      <c r="AF905" s="92"/>
      <c r="AG905" s="92"/>
      <c r="AH905" s="92"/>
    </row>
    <row r="906">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c r="AB906" s="92"/>
      <c r="AC906" s="92"/>
      <c r="AD906" s="92"/>
      <c r="AE906" s="92"/>
      <c r="AF906" s="92"/>
      <c r="AG906" s="92"/>
      <c r="AH906" s="92"/>
    </row>
    <row r="907">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c r="AB907" s="92"/>
      <c r="AC907" s="92"/>
      <c r="AD907" s="92"/>
      <c r="AE907" s="92"/>
      <c r="AF907" s="92"/>
      <c r="AG907" s="92"/>
      <c r="AH907" s="92"/>
    </row>
    <row r="908">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c r="AB908" s="92"/>
      <c r="AC908" s="92"/>
      <c r="AD908" s="92"/>
      <c r="AE908" s="92"/>
      <c r="AF908" s="92"/>
      <c r="AG908" s="92"/>
      <c r="AH908" s="92"/>
    </row>
    <row r="909">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c r="AB909" s="92"/>
      <c r="AC909" s="92"/>
      <c r="AD909" s="92"/>
      <c r="AE909" s="92"/>
      <c r="AF909" s="92"/>
      <c r="AG909" s="92"/>
      <c r="AH909" s="92"/>
    </row>
    <row r="910">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c r="AE910" s="92"/>
      <c r="AF910" s="92"/>
      <c r="AG910" s="92"/>
      <c r="AH910" s="92"/>
    </row>
    <row r="911">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c r="AB911" s="92"/>
      <c r="AC911" s="92"/>
      <c r="AD911" s="92"/>
      <c r="AE911" s="92"/>
      <c r="AF911" s="92"/>
      <c r="AG911" s="92"/>
      <c r="AH911" s="92"/>
    </row>
    <row r="91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c r="AB912" s="92"/>
      <c r="AC912" s="92"/>
      <c r="AD912" s="92"/>
      <c r="AE912" s="92"/>
      <c r="AF912" s="92"/>
      <c r="AG912" s="92"/>
      <c r="AH912" s="92"/>
    </row>
    <row r="913">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c r="AB913" s="92"/>
      <c r="AC913" s="92"/>
      <c r="AD913" s="92"/>
      <c r="AE913" s="92"/>
      <c r="AF913" s="92"/>
      <c r="AG913" s="92"/>
      <c r="AH913" s="92"/>
    </row>
    <row r="914">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c r="AE914" s="92"/>
      <c r="AF914" s="92"/>
      <c r="AG914" s="92"/>
      <c r="AH914" s="92"/>
    </row>
    <row r="915">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c r="AB915" s="92"/>
      <c r="AC915" s="92"/>
      <c r="AD915" s="92"/>
      <c r="AE915" s="92"/>
      <c r="AF915" s="92"/>
      <c r="AG915" s="92"/>
      <c r="AH915" s="92"/>
    </row>
    <row r="916">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c r="AB916" s="92"/>
      <c r="AC916" s="92"/>
      <c r="AD916" s="92"/>
      <c r="AE916" s="92"/>
      <c r="AF916" s="92"/>
      <c r="AG916" s="92"/>
      <c r="AH916" s="92"/>
    </row>
    <row r="917">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c r="AB917" s="92"/>
      <c r="AC917" s="92"/>
      <c r="AD917" s="92"/>
      <c r="AE917" s="92"/>
      <c r="AF917" s="92"/>
      <c r="AG917" s="92"/>
      <c r="AH917" s="92"/>
    </row>
    <row r="918">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c r="AB918" s="92"/>
      <c r="AC918" s="92"/>
      <c r="AD918" s="92"/>
      <c r="AE918" s="92"/>
      <c r="AF918" s="92"/>
      <c r="AG918" s="92"/>
      <c r="AH918" s="92"/>
    </row>
    <row r="919">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c r="AB919" s="92"/>
      <c r="AC919" s="92"/>
      <c r="AD919" s="92"/>
      <c r="AE919" s="92"/>
      <c r="AF919" s="92"/>
      <c r="AG919" s="92"/>
      <c r="AH919" s="92"/>
    </row>
    <row r="920">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c r="AB920" s="92"/>
      <c r="AC920" s="92"/>
      <c r="AD920" s="92"/>
      <c r="AE920" s="92"/>
      <c r="AF920" s="92"/>
      <c r="AG920" s="92"/>
      <c r="AH920" s="92"/>
    </row>
    <row r="921">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c r="AB921" s="92"/>
      <c r="AC921" s="92"/>
      <c r="AD921" s="92"/>
      <c r="AE921" s="92"/>
      <c r="AF921" s="92"/>
      <c r="AG921" s="92"/>
      <c r="AH921" s="92"/>
    </row>
    <row r="92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c r="AB922" s="92"/>
      <c r="AC922" s="92"/>
      <c r="AD922" s="92"/>
      <c r="AE922" s="92"/>
      <c r="AF922" s="92"/>
      <c r="AG922" s="92"/>
      <c r="AH922" s="92"/>
    </row>
    <row r="923">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c r="AB923" s="92"/>
      <c r="AC923" s="92"/>
      <c r="AD923" s="92"/>
      <c r="AE923" s="92"/>
      <c r="AF923" s="92"/>
      <c r="AG923" s="92"/>
      <c r="AH923" s="92"/>
    </row>
    <row r="924">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c r="AB924" s="92"/>
      <c r="AC924" s="92"/>
      <c r="AD924" s="92"/>
      <c r="AE924" s="92"/>
      <c r="AF924" s="92"/>
      <c r="AG924" s="92"/>
      <c r="AH924" s="92"/>
    </row>
    <row r="925">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c r="AB925" s="92"/>
      <c r="AC925" s="92"/>
      <c r="AD925" s="92"/>
      <c r="AE925" s="92"/>
      <c r="AF925" s="92"/>
      <c r="AG925" s="92"/>
      <c r="AH925" s="92"/>
    </row>
    <row r="926">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c r="AB926" s="92"/>
      <c r="AC926" s="92"/>
      <c r="AD926" s="92"/>
      <c r="AE926" s="92"/>
      <c r="AF926" s="92"/>
      <c r="AG926" s="92"/>
      <c r="AH926" s="92"/>
    </row>
    <row r="927">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c r="AB927" s="92"/>
      <c r="AC927" s="92"/>
      <c r="AD927" s="92"/>
      <c r="AE927" s="92"/>
      <c r="AF927" s="92"/>
      <c r="AG927" s="92"/>
      <c r="AH927" s="92"/>
    </row>
    <row r="928">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c r="AB928" s="92"/>
      <c r="AC928" s="92"/>
      <c r="AD928" s="92"/>
      <c r="AE928" s="92"/>
      <c r="AF928" s="92"/>
      <c r="AG928" s="92"/>
      <c r="AH928" s="92"/>
    </row>
    <row r="929">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c r="AB929" s="92"/>
      <c r="AC929" s="92"/>
      <c r="AD929" s="92"/>
      <c r="AE929" s="92"/>
      <c r="AF929" s="92"/>
      <c r="AG929" s="92"/>
      <c r="AH929" s="92"/>
    </row>
    <row r="930">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c r="AB930" s="92"/>
      <c r="AC930" s="92"/>
      <c r="AD930" s="92"/>
      <c r="AE930" s="92"/>
      <c r="AF930" s="92"/>
      <c r="AG930" s="92"/>
      <c r="AH930" s="92"/>
    </row>
    <row r="931">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c r="AB931" s="92"/>
      <c r="AC931" s="92"/>
      <c r="AD931" s="92"/>
      <c r="AE931" s="92"/>
      <c r="AF931" s="92"/>
      <c r="AG931" s="92"/>
      <c r="AH931" s="92"/>
    </row>
    <row r="93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c r="AB932" s="92"/>
      <c r="AC932" s="92"/>
      <c r="AD932" s="92"/>
      <c r="AE932" s="92"/>
      <c r="AF932" s="92"/>
      <c r="AG932" s="92"/>
      <c r="AH932" s="92"/>
    </row>
    <row r="933">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c r="AB933" s="92"/>
      <c r="AC933" s="92"/>
      <c r="AD933" s="92"/>
      <c r="AE933" s="92"/>
      <c r="AF933" s="92"/>
      <c r="AG933" s="92"/>
      <c r="AH933" s="92"/>
    </row>
    <row r="934">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c r="AB934" s="92"/>
      <c r="AC934" s="92"/>
      <c r="AD934" s="92"/>
      <c r="AE934" s="92"/>
      <c r="AF934" s="92"/>
      <c r="AG934" s="92"/>
      <c r="AH934" s="92"/>
    </row>
    <row r="935">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c r="AB935" s="92"/>
      <c r="AC935" s="92"/>
      <c r="AD935" s="92"/>
      <c r="AE935" s="92"/>
      <c r="AF935" s="92"/>
      <c r="AG935" s="92"/>
      <c r="AH935" s="92"/>
    </row>
    <row r="936">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c r="AB936" s="92"/>
      <c r="AC936" s="92"/>
      <c r="AD936" s="92"/>
      <c r="AE936" s="92"/>
      <c r="AF936" s="92"/>
      <c r="AG936" s="92"/>
      <c r="AH936" s="92"/>
    </row>
    <row r="937">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c r="AB937" s="92"/>
      <c r="AC937" s="92"/>
      <c r="AD937" s="92"/>
      <c r="AE937" s="92"/>
      <c r="AF937" s="92"/>
      <c r="AG937" s="92"/>
      <c r="AH937" s="92"/>
    </row>
    <row r="938">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c r="AB938" s="92"/>
      <c r="AC938" s="92"/>
      <c r="AD938" s="92"/>
      <c r="AE938" s="92"/>
      <c r="AF938" s="92"/>
      <c r="AG938" s="92"/>
      <c r="AH938" s="92"/>
    </row>
    <row r="939">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c r="AB939" s="92"/>
      <c r="AC939" s="92"/>
      <c r="AD939" s="92"/>
      <c r="AE939" s="92"/>
      <c r="AF939" s="92"/>
      <c r="AG939" s="92"/>
      <c r="AH939" s="92"/>
    </row>
    <row r="940">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c r="AE940" s="92"/>
      <c r="AF940" s="92"/>
      <c r="AG940" s="92"/>
      <c r="AH940" s="92"/>
    </row>
    <row r="941">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c r="AB941" s="92"/>
      <c r="AC941" s="92"/>
      <c r="AD941" s="92"/>
      <c r="AE941" s="92"/>
      <c r="AF941" s="92"/>
      <c r="AG941" s="92"/>
      <c r="AH941" s="92"/>
    </row>
    <row r="94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c r="AB942" s="92"/>
      <c r="AC942" s="92"/>
      <c r="AD942" s="92"/>
      <c r="AE942" s="92"/>
      <c r="AF942" s="92"/>
      <c r="AG942" s="92"/>
      <c r="AH942" s="92"/>
    </row>
    <row r="943">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c r="AB943" s="92"/>
      <c r="AC943" s="92"/>
      <c r="AD943" s="92"/>
      <c r="AE943" s="92"/>
      <c r="AF943" s="92"/>
      <c r="AG943" s="92"/>
      <c r="AH943" s="92"/>
    </row>
    <row r="944">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c r="AE944" s="92"/>
      <c r="AF944" s="92"/>
      <c r="AG944" s="92"/>
      <c r="AH944" s="92"/>
    </row>
    <row r="945">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c r="AB945" s="92"/>
      <c r="AC945" s="92"/>
      <c r="AD945" s="92"/>
      <c r="AE945" s="92"/>
      <c r="AF945" s="92"/>
      <c r="AG945" s="92"/>
      <c r="AH945" s="92"/>
    </row>
    <row r="946">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c r="AB946" s="92"/>
      <c r="AC946" s="92"/>
      <c r="AD946" s="92"/>
      <c r="AE946" s="92"/>
      <c r="AF946" s="92"/>
      <c r="AG946" s="92"/>
      <c r="AH946" s="92"/>
    </row>
    <row r="947">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c r="AC947" s="92"/>
      <c r="AD947" s="92"/>
      <c r="AE947" s="92"/>
      <c r="AF947" s="92"/>
      <c r="AG947" s="92"/>
      <c r="AH947" s="92"/>
    </row>
    <row r="948">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c r="AB948" s="92"/>
      <c r="AC948" s="92"/>
      <c r="AD948" s="92"/>
      <c r="AE948" s="92"/>
      <c r="AF948" s="92"/>
      <c r="AG948" s="92"/>
      <c r="AH948" s="92"/>
    </row>
    <row r="949">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c r="AC949" s="92"/>
      <c r="AD949" s="92"/>
      <c r="AE949" s="92"/>
      <c r="AF949" s="92"/>
      <c r="AG949" s="92"/>
      <c r="AH949" s="92"/>
    </row>
    <row r="950">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c r="AE950" s="92"/>
      <c r="AF950" s="92"/>
      <c r="AG950" s="92"/>
      <c r="AH950" s="92"/>
    </row>
    <row r="951">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c r="AC951" s="92"/>
      <c r="AD951" s="92"/>
      <c r="AE951" s="92"/>
      <c r="AF951" s="92"/>
      <c r="AG951" s="92"/>
      <c r="AH951" s="92"/>
    </row>
    <row r="95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c r="AB952" s="92"/>
      <c r="AC952" s="92"/>
      <c r="AD952" s="92"/>
      <c r="AE952" s="92"/>
      <c r="AF952" s="92"/>
      <c r="AG952" s="92"/>
      <c r="AH952" s="92"/>
    </row>
    <row r="953">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c r="AC953" s="92"/>
      <c r="AD953" s="92"/>
      <c r="AE953" s="92"/>
      <c r="AF953" s="92"/>
      <c r="AG953" s="92"/>
      <c r="AH953" s="92"/>
    </row>
    <row r="954">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c r="AE954" s="92"/>
      <c r="AF954" s="92"/>
      <c r="AG954" s="92"/>
      <c r="AH954" s="92"/>
    </row>
    <row r="955">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c r="AC955" s="92"/>
      <c r="AD955" s="92"/>
      <c r="AE955" s="92"/>
      <c r="AF955" s="92"/>
      <c r="AG955" s="92"/>
      <c r="AH955" s="92"/>
    </row>
    <row r="956">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c r="AB956" s="92"/>
      <c r="AC956" s="92"/>
      <c r="AD956" s="92"/>
      <c r="AE956" s="92"/>
      <c r="AF956" s="92"/>
      <c r="AG956" s="92"/>
      <c r="AH956" s="92"/>
    </row>
    <row r="957">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c r="AC957" s="92"/>
      <c r="AD957" s="92"/>
      <c r="AE957" s="92"/>
      <c r="AF957" s="92"/>
      <c r="AG957" s="92"/>
      <c r="AH957" s="92"/>
    </row>
    <row r="958">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c r="AB958" s="92"/>
      <c r="AC958" s="92"/>
      <c r="AD958" s="92"/>
      <c r="AE958" s="92"/>
      <c r="AF958" s="92"/>
      <c r="AG958" s="92"/>
      <c r="AH958" s="92"/>
    </row>
    <row r="959">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c r="AC959" s="92"/>
      <c r="AD959" s="92"/>
      <c r="AE959" s="92"/>
      <c r="AF959" s="92"/>
      <c r="AG959" s="92"/>
      <c r="AH959" s="92"/>
    </row>
    <row r="960">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c r="AE960" s="92"/>
      <c r="AF960" s="92"/>
      <c r="AG960" s="92"/>
      <c r="AH960" s="92"/>
    </row>
    <row r="961">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c r="AC961" s="92"/>
      <c r="AD961" s="92"/>
      <c r="AE961" s="92"/>
      <c r="AF961" s="92"/>
      <c r="AG961" s="92"/>
      <c r="AH961" s="92"/>
    </row>
    <row r="96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c r="AB962" s="92"/>
      <c r="AC962" s="92"/>
      <c r="AD962" s="92"/>
      <c r="AE962" s="92"/>
      <c r="AF962" s="92"/>
      <c r="AG962" s="92"/>
      <c r="AH962" s="92"/>
    </row>
    <row r="963">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c r="AC963" s="92"/>
      <c r="AD963" s="92"/>
      <c r="AE963" s="92"/>
      <c r="AF963" s="92"/>
      <c r="AG963" s="92"/>
      <c r="AH963" s="92"/>
    </row>
    <row r="964">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c r="AB964" s="92"/>
      <c r="AC964" s="92"/>
      <c r="AD964" s="92"/>
      <c r="AE964" s="92"/>
      <c r="AF964" s="92"/>
      <c r="AG964" s="92"/>
      <c r="AH964" s="92"/>
    </row>
    <row r="965">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c r="AB965" s="92"/>
      <c r="AC965" s="92"/>
      <c r="AD965" s="92"/>
      <c r="AE965" s="92"/>
      <c r="AF965" s="92"/>
      <c r="AG965" s="92"/>
      <c r="AH965" s="92"/>
    </row>
    <row r="966">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c r="AB966" s="92"/>
      <c r="AC966" s="92"/>
      <c r="AD966" s="92"/>
      <c r="AE966" s="92"/>
      <c r="AF966" s="92"/>
      <c r="AG966" s="92"/>
      <c r="AH966" s="92"/>
    </row>
    <row r="967">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c r="AB967" s="92"/>
      <c r="AC967" s="92"/>
      <c r="AD967" s="92"/>
      <c r="AE967" s="92"/>
      <c r="AF967" s="92"/>
      <c r="AG967" s="92"/>
      <c r="AH967" s="92"/>
    </row>
    <row r="968">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c r="AE968" s="92"/>
      <c r="AF968" s="92"/>
      <c r="AG968" s="92"/>
      <c r="AH968" s="92"/>
    </row>
    <row r="969">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c r="AB969" s="92"/>
      <c r="AC969" s="92"/>
      <c r="AD969" s="92"/>
      <c r="AE969" s="92"/>
      <c r="AF969" s="92"/>
      <c r="AG969" s="92"/>
      <c r="AH969" s="92"/>
    </row>
    <row r="970">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c r="AE970" s="92"/>
      <c r="AF970" s="92"/>
      <c r="AG970" s="92"/>
      <c r="AH970" s="92"/>
    </row>
    <row r="971">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c r="AB971" s="92"/>
      <c r="AC971" s="92"/>
      <c r="AD971" s="92"/>
      <c r="AE971" s="92"/>
      <c r="AF971" s="92"/>
      <c r="AG971" s="92"/>
      <c r="AH971" s="92"/>
    </row>
    <row r="97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c r="AB972" s="92"/>
      <c r="AC972" s="92"/>
      <c r="AD972" s="92"/>
      <c r="AE972" s="92"/>
      <c r="AF972" s="92"/>
      <c r="AG972" s="92"/>
      <c r="AH972" s="92"/>
    </row>
    <row r="973">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c r="AB973" s="92"/>
      <c r="AC973" s="92"/>
      <c r="AD973" s="92"/>
      <c r="AE973" s="92"/>
      <c r="AF973" s="92"/>
      <c r="AG973" s="92"/>
      <c r="AH973" s="92"/>
    </row>
    <row r="974">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c r="AE974" s="92"/>
      <c r="AF974" s="92"/>
      <c r="AG974" s="92"/>
      <c r="AH974" s="92"/>
    </row>
    <row r="975">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c r="AB975" s="92"/>
      <c r="AC975" s="92"/>
      <c r="AD975" s="92"/>
      <c r="AE975" s="92"/>
      <c r="AF975" s="92"/>
      <c r="AG975" s="92"/>
      <c r="AH975" s="92"/>
    </row>
    <row r="976">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c r="AE976" s="92"/>
      <c r="AF976" s="92"/>
      <c r="AG976" s="92"/>
      <c r="AH976" s="92"/>
    </row>
    <row r="977">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c r="AB977" s="92"/>
      <c r="AC977" s="92"/>
      <c r="AD977" s="92"/>
      <c r="AE977" s="92"/>
      <c r="AF977" s="92"/>
      <c r="AG977" s="92"/>
      <c r="AH977" s="92"/>
    </row>
    <row r="978">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c r="AB978" s="92"/>
      <c r="AC978" s="92"/>
      <c r="AD978" s="92"/>
      <c r="AE978" s="92"/>
      <c r="AF978" s="92"/>
      <c r="AG978" s="92"/>
      <c r="AH978" s="92"/>
    </row>
    <row r="979">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c r="AB979" s="92"/>
      <c r="AC979" s="92"/>
      <c r="AD979" s="92"/>
      <c r="AE979" s="92"/>
      <c r="AF979" s="92"/>
      <c r="AG979" s="92"/>
      <c r="AH979" s="92"/>
    </row>
    <row r="980">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c r="AB980" s="92"/>
      <c r="AC980" s="92"/>
      <c r="AD980" s="92"/>
      <c r="AE980" s="92"/>
      <c r="AF980" s="92"/>
      <c r="AG980" s="92"/>
      <c r="AH980" s="92"/>
    </row>
    <row r="981">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c r="AB981" s="92"/>
      <c r="AC981" s="92"/>
      <c r="AD981" s="92"/>
      <c r="AE981" s="92"/>
      <c r="AF981" s="92"/>
      <c r="AG981" s="92"/>
      <c r="AH981" s="92"/>
    </row>
    <row r="98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c r="AB982" s="92"/>
      <c r="AC982" s="92"/>
      <c r="AD982" s="92"/>
      <c r="AE982" s="92"/>
      <c r="AF982" s="92"/>
      <c r="AG982" s="92"/>
      <c r="AH982" s="92"/>
    </row>
    <row r="983">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c r="AB983" s="92"/>
      <c r="AC983" s="92"/>
      <c r="AD983" s="92"/>
      <c r="AE983" s="92"/>
      <c r="AF983" s="92"/>
      <c r="AG983" s="92"/>
      <c r="AH983" s="92"/>
    </row>
    <row r="984">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c r="AB984" s="92"/>
      <c r="AC984" s="92"/>
      <c r="AD984" s="92"/>
      <c r="AE984" s="92"/>
      <c r="AF984" s="92"/>
      <c r="AG984" s="92"/>
      <c r="AH984" s="92"/>
    </row>
    <row r="985">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c r="AB985" s="92"/>
      <c r="AC985" s="92"/>
      <c r="AD985" s="92"/>
      <c r="AE985" s="92"/>
      <c r="AF985" s="92"/>
      <c r="AG985" s="92"/>
      <c r="AH985" s="92"/>
    </row>
    <row r="986">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c r="AB986" s="92"/>
      <c r="AC986" s="92"/>
      <c r="AD986" s="92"/>
      <c r="AE986" s="92"/>
      <c r="AF986" s="92"/>
      <c r="AG986" s="92"/>
      <c r="AH986" s="92"/>
    </row>
    <row r="987">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2"/>
      <c r="AB987" s="92"/>
      <c r="AC987" s="92"/>
      <c r="AD987" s="92"/>
      <c r="AE987" s="92"/>
      <c r="AF987" s="92"/>
      <c r="AG987" s="92"/>
      <c r="AH987" s="92"/>
    </row>
    <row r="988">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2"/>
      <c r="AB988" s="92"/>
      <c r="AC988" s="92"/>
      <c r="AD988" s="92"/>
      <c r="AE988" s="92"/>
      <c r="AF988" s="92"/>
      <c r="AG988" s="92"/>
      <c r="AH988" s="92"/>
    </row>
    <row r="989">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2"/>
      <c r="AB989" s="92"/>
      <c r="AC989" s="92"/>
      <c r="AD989" s="92"/>
      <c r="AE989" s="92"/>
      <c r="AF989" s="92"/>
      <c r="AG989" s="92"/>
      <c r="AH989" s="92"/>
    </row>
    <row r="990">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2"/>
      <c r="AB990" s="92"/>
      <c r="AC990" s="92"/>
      <c r="AD990" s="92"/>
      <c r="AE990" s="92"/>
      <c r="AF990" s="92"/>
      <c r="AG990" s="92"/>
      <c r="AH990" s="92"/>
    </row>
    <row r="991">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c r="AA991" s="92"/>
      <c r="AB991" s="92"/>
      <c r="AC991" s="92"/>
      <c r="AD991" s="92"/>
      <c r="AE991" s="92"/>
      <c r="AF991" s="92"/>
      <c r="AG991" s="92"/>
      <c r="AH991" s="92"/>
    </row>
    <row r="9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c r="AA992" s="92"/>
      <c r="AB992" s="92"/>
      <c r="AC992" s="92"/>
      <c r="AD992" s="92"/>
      <c r="AE992" s="92"/>
      <c r="AF992" s="92"/>
      <c r="AG992" s="92"/>
      <c r="AH992" s="92"/>
    </row>
  </sheetData>
  <autoFilter ref="$A$2:$A$172">
    <sortState ref="A2:A172">
      <sortCondition ref="A2:A172"/>
    </sortState>
  </autoFilter>
  <hyperlinks>
    <hyperlink r:id="rId1" ref="C5"/>
    <hyperlink r:id="rId2" ref="C6"/>
    <hyperlink r:id="rId3" ref="C7"/>
    <hyperlink r:id="rId4" ref="C8"/>
    <hyperlink r:id="rId5" ref="C10"/>
    <hyperlink r:id="rId6" ref="C11"/>
    <hyperlink r:id="rId7" ref="C13"/>
    <hyperlink r:id="rId8" ref="C14"/>
    <hyperlink r:id="rId9" ref="C15"/>
    <hyperlink r:id="rId10" ref="C16"/>
    <hyperlink r:id="rId11" ref="C17"/>
    <hyperlink r:id="rId12" ref="C18"/>
    <hyperlink r:id="rId13" ref="C19"/>
    <hyperlink r:id="rId14" ref="C20"/>
    <hyperlink r:id="rId15" ref="C21"/>
    <hyperlink r:id="rId16" ref="C22"/>
    <hyperlink r:id="rId17" ref="C31"/>
    <hyperlink r:id="rId18" ref="B74"/>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4.13"/>
    <col customWidth="1" min="3" max="3" width="19.13"/>
    <col customWidth="1" min="4" max="4" width="33.88"/>
  </cols>
  <sheetData>
    <row r="1" ht="24.0" customHeight="1">
      <c r="A1" s="93" t="s">
        <v>85</v>
      </c>
      <c r="B1" s="95" t="s">
        <v>92</v>
      </c>
      <c r="C1" s="97" t="s">
        <v>96</v>
      </c>
      <c r="D1" s="97" t="s">
        <v>99</v>
      </c>
    </row>
    <row r="2" ht="70.5" customHeight="1">
      <c r="A2" s="100" t="s">
        <v>101</v>
      </c>
      <c r="B2" s="101" t="s">
        <v>104</v>
      </c>
      <c r="C2" s="105" t="s">
        <v>111</v>
      </c>
      <c r="D2" s="108"/>
    </row>
    <row r="3">
      <c r="A3" s="110" t="s">
        <v>101</v>
      </c>
      <c r="B3" s="113" t="s">
        <v>116</v>
      </c>
      <c r="C3" s="115" t="s">
        <v>118</v>
      </c>
      <c r="D3" s="116"/>
    </row>
    <row r="4">
      <c r="A4" s="110" t="s">
        <v>124</v>
      </c>
      <c r="B4" s="113" t="s">
        <v>126</v>
      </c>
      <c r="C4" s="115" t="s">
        <v>118</v>
      </c>
      <c r="D4" s="116"/>
    </row>
    <row r="5">
      <c r="A5" s="100" t="s">
        <v>98</v>
      </c>
      <c r="B5" s="113" t="s">
        <v>130</v>
      </c>
      <c r="C5" s="115" t="s">
        <v>118</v>
      </c>
      <c r="D5" s="116"/>
    </row>
    <row r="6">
      <c r="A6" s="110" t="s">
        <v>131</v>
      </c>
      <c r="B6" s="113" t="s">
        <v>132</v>
      </c>
      <c r="C6" s="115" t="s">
        <v>118</v>
      </c>
      <c r="D6" s="116"/>
    </row>
    <row r="7">
      <c r="A7" s="100" t="s">
        <v>18</v>
      </c>
      <c r="B7" s="113"/>
      <c r="C7" s="115"/>
      <c r="D7" s="116"/>
    </row>
    <row r="8">
      <c r="A8" s="100" t="s">
        <v>137</v>
      </c>
      <c r="B8" s="113" t="s">
        <v>140</v>
      </c>
      <c r="C8" s="115" t="s">
        <v>118</v>
      </c>
      <c r="D8" s="119"/>
    </row>
    <row r="9">
      <c r="A9" s="100" t="s">
        <v>141</v>
      </c>
      <c r="B9" s="113" t="s">
        <v>142</v>
      </c>
      <c r="C9" s="115" t="s">
        <v>143</v>
      </c>
      <c r="D9" s="116"/>
    </row>
    <row r="10">
      <c r="A10" s="100" t="s">
        <v>31</v>
      </c>
      <c r="B10" s="120" t="s">
        <v>144</v>
      </c>
      <c r="C10" s="115" t="s">
        <v>143</v>
      </c>
      <c r="D10" s="116"/>
    </row>
    <row r="11">
      <c r="A11" s="100" t="s">
        <v>146</v>
      </c>
      <c r="B11" s="113" t="s">
        <v>148</v>
      </c>
      <c r="C11" s="115"/>
      <c r="D11" s="116"/>
    </row>
    <row r="12">
      <c r="A12" s="100" t="s">
        <v>151</v>
      </c>
      <c r="B12" s="113" t="s">
        <v>153</v>
      </c>
      <c r="C12" s="115" t="s">
        <v>143</v>
      </c>
      <c r="D12" s="116"/>
    </row>
    <row r="13">
      <c r="A13" s="110" t="s">
        <v>157</v>
      </c>
      <c r="B13" s="113" t="s">
        <v>159</v>
      </c>
      <c r="C13" s="115" t="s">
        <v>143</v>
      </c>
      <c r="D13" s="116"/>
    </row>
    <row r="14">
      <c r="A14" s="100" t="s">
        <v>13</v>
      </c>
      <c r="B14" s="120" t="s">
        <v>160</v>
      </c>
      <c r="C14" s="115" t="s">
        <v>143</v>
      </c>
      <c r="D14" s="116"/>
    </row>
    <row r="15">
      <c r="A15" s="100" t="s">
        <v>162</v>
      </c>
      <c r="B15" s="113" t="s">
        <v>163</v>
      </c>
      <c r="C15" s="115" t="s">
        <v>118</v>
      </c>
      <c r="D15" s="116"/>
    </row>
    <row r="16">
      <c r="A16" s="123" t="s">
        <v>168</v>
      </c>
      <c r="B16" s="124" t="s">
        <v>171</v>
      </c>
      <c r="C16" s="115" t="s">
        <v>111</v>
      </c>
      <c r="D16" s="116"/>
    </row>
    <row r="17">
      <c r="A17" s="123" t="s">
        <v>174</v>
      </c>
      <c r="B17" s="113" t="s">
        <v>177</v>
      </c>
      <c r="C17" s="115" t="s">
        <v>143</v>
      </c>
      <c r="D17" s="116"/>
    </row>
    <row r="18">
      <c r="A18" s="100" t="s">
        <v>179</v>
      </c>
      <c r="B18" s="113" t="s">
        <v>148</v>
      </c>
      <c r="C18" s="115"/>
      <c r="D18" s="116"/>
    </row>
    <row r="19">
      <c r="A19" s="123" t="s">
        <v>181</v>
      </c>
      <c r="B19" s="113" t="s">
        <v>182</v>
      </c>
      <c r="C19" s="115" t="s">
        <v>143</v>
      </c>
      <c r="D19" s="116"/>
    </row>
    <row r="20">
      <c r="A20" s="100" t="s">
        <v>183</v>
      </c>
      <c r="B20" s="113" t="s">
        <v>184</v>
      </c>
      <c r="C20" s="115" t="s">
        <v>143</v>
      </c>
      <c r="D20" s="116"/>
    </row>
    <row r="21">
      <c r="A21" s="100" t="s">
        <v>185</v>
      </c>
      <c r="B21" s="113" t="s">
        <v>186</v>
      </c>
      <c r="C21" s="115" t="s">
        <v>118</v>
      </c>
      <c r="D21" s="116"/>
    </row>
    <row r="22">
      <c r="A22" s="123" t="s">
        <v>187</v>
      </c>
      <c r="B22" s="113" t="s">
        <v>188</v>
      </c>
      <c r="C22" s="115" t="s">
        <v>143</v>
      </c>
      <c r="D22" s="116"/>
    </row>
    <row r="23">
      <c r="A23" s="100" t="s">
        <v>190</v>
      </c>
      <c r="B23" s="120" t="s">
        <v>191</v>
      </c>
      <c r="C23" s="115" t="s">
        <v>143</v>
      </c>
      <c r="D23" s="116"/>
    </row>
    <row r="24">
      <c r="A24" s="100" t="s">
        <v>195</v>
      </c>
      <c r="B24" s="113" t="s">
        <v>148</v>
      </c>
      <c r="C24" s="115"/>
      <c r="D24" s="116"/>
    </row>
    <row r="25">
      <c r="A25" s="127"/>
      <c r="B25" s="113"/>
      <c r="C25" s="115"/>
      <c r="D25" s="116"/>
    </row>
    <row r="26">
      <c r="A26" s="127"/>
      <c r="B26" s="113"/>
      <c r="C26" s="115"/>
      <c r="D26" s="116"/>
    </row>
    <row r="27">
      <c r="A27" s="127"/>
      <c r="B27" s="113"/>
      <c r="C27" s="115"/>
      <c r="D27" s="116"/>
    </row>
    <row r="28">
      <c r="A28" s="127"/>
      <c r="B28" s="113"/>
      <c r="C28" s="115"/>
      <c r="D28" s="116"/>
    </row>
    <row r="29">
      <c r="A29" s="127"/>
      <c r="B29" s="113"/>
      <c r="C29" s="115"/>
      <c r="D29" s="116"/>
    </row>
    <row r="30">
      <c r="A30" s="127"/>
      <c r="B30" s="113"/>
      <c r="C30" s="115"/>
      <c r="D30" s="116"/>
    </row>
    <row r="31">
      <c r="A31" s="127"/>
      <c r="B31" s="113"/>
      <c r="C31" s="115"/>
      <c r="D31" s="116"/>
    </row>
    <row r="32">
      <c r="A32" s="127"/>
      <c r="B32" s="113"/>
      <c r="C32" s="115"/>
      <c r="D32" s="116"/>
    </row>
    <row r="33">
      <c r="A33" s="127"/>
      <c r="B33" s="113"/>
      <c r="C33" s="115"/>
      <c r="D33" s="116"/>
    </row>
    <row r="34">
      <c r="A34" s="127"/>
      <c r="B34" s="113"/>
      <c r="C34" s="115"/>
      <c r="D34" s="116"/>
    </row>
    <row r="35">
      <c r="A35" s="127"/>
      <c r="B35" s="113"/>
      <c r="C35" s="115"/>
      <c r="D35" s="116"/>
    </row>
    <row r="36">
      <c r="A36" s="127"/>
      <c r="B36" s="113"/>
      <c r="C36" s="115"/>
      <c r="D36" s="116"/>
    </row>
    <row r="37">
      <c r="A37" s="127"/>
      <c r="B37" s="113"/>
      <c r="C37" s="115"/>
      <c r="D37" s="116"/>
    </row>
    <row r="38">
      <c r="A38" s="127"/>
      <c r="B38" s="113"/>
      <c r="C38" s="115"/>
      <c r="D38" s="116"/>
    </row>
    <row r="39">
      <c r="A39" s="127"/>
      <c r="B39" s="131"/>
      <c r="C39" s="131"/>
      <c r="D39" s="132"/>
    </row>
    <row r="40">
      <c r="A40" s="127"/>
      <c r="B40" s="131"/>
      <c r="C40" s="131"/>
      <c r="D40" s="132"/>
    </row>
    <row r="41">
      <c r="A41" s="127"/>
      <c r="B41" s="131"/>
      <c r="C41" s="131"/>
      <c r="D41" s="132"/>
    </row>
    <row r="42">
      <c r="A42" s="127"/>
      <c r="B42" s="131"/>
      <c r="C42" s="131"/>
      <c r="D42" s="132"/>
    </row>
    <row r="43">
      <c r="A43" s="127"/>
      <c r="B43" s="131"/>
      <c r="C43" s="131"/>
      <c r="D43" s="132"/>
    </row>
    <row r="44">
      <c r="A44" s="127"/>
      <c r="B44" s="131"/>
      <c r="C44" s="131"/>
      <c r="D44" s="132"/>
    </row>
    <row r="45">
      <c r="A45" s="127"/>
      <c r="B45" s="131"/>
      <c r="C45" s="131"/>
      <c r="D45" s="132"/>
    </row>
    <row r="46">
      <c r="A46" s="127"/>
      <c r="B46" s="131"/>
      <c r="C46" s="131"/>
      <c r="D46" s="132"/>
    </row>
    <row r="47">
      <c r="A47" s="127"/>
      <c r="B47" s="131"/>
      <c r="C47" s="131"/>
      <c r="D47" s="132"/>
    </row>
    <row r="48">
      <c r="A48" s="127"/>
      <c r="B48" s="131"/>
      <c r="C48" s="131"/>
      <c r="D48" s="132"/>
    </row>
    <row r="49">
      <c r="A49" s="127"/>
      <c r="B49" s="131"/>
      <c r="C49" s="131"/>
      <c r="D49" s="132"/>
    </row>
    <row r="50">
      <c r="A50" s="127"/>
      <c r="B50" s="131"/>
      <c r="C50" s="131"/>
      <c r="D50" s="132"/>
    </row>
    <row r="51">
      <c r="A51" s="127"/>
      <c r="B51" s="131"/>
      <c r="C51" s="131"/>
      <c r="D51" s="132"/>
    </row>
    <row r="52">
      <c r="A52" s="127"/>
      <c r="B52" s="131"/>
      <c r="C52" s="131"/>
      <c r="D52" s="132"/>
    </row>
  </sheetData>
  <autoFilter ref="$A$1:$D$24">
    <sortState ref="A1:D24">
      <sortCondition ref="A1:A24"/>
    </sortState>
  </autoFilter>
  <dataValidations>
    <dataValidation type="list" allowBlank="1" showErrorMessage="1" sqref="C2:C24">
      <formula1>"dicio arq fe,dicio arqui fe,pada"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88"/>
    <col customWidth="1" min="2" max="2" width="44.25"/>
    <col customWidth="1" hidden="1" min="3" max="3" width="21.38"/>
    <col customWidth="1" min="4" max="4" width="19.75"/>
    <col customWidth="1" min="5" max="5" width="23.75"/>
  </cols>
  <sheetData>
    <row r="1">
      <c r="A1" s="142" t="s">
        <v>157</v>
      </c>
      <c r="B1" s="143" t="s">
        <v>236</v>
      </c>
      <c r="C1" s="143" t="s">
        <v>239</v>
      </c>
      <c r="D1" s="143" t="s">
        <v>240</v>
      </c>
      <c r="E1" s="143" t="s">
        <v>241</v>
      </c>
    </row>
    <row r="2">
      <c r="A2" s="146" t="s">
        <v>242</v>
      </c>
      <c r="B2" s="142" t="s">
        <v>243</v>
      </c>
      <c r="C2" s="148" t="s">
        <v>244</v>
      </c>
      <c r="D2" s="142" t="s">
        <v>246</v>
      </c>
      <c r="E2" s="142">
        <v>28675.0</v>
      </c>
    </row>
    <row r="3">
      <c r="B3" s="142" t="s">
        <v>247</v>
      </c>
      <c r="C3" s="148" t="s">
        <v>233</v>
      </c>
      <c r="D3" s="142" t="s">
        <v>248</v>
      </c>
      <c r="E3" s="142">
        <v>9342.0</v>
      </c>
    </row>
    <row r="4">
      <c r="B4" s="151" t="s">
        <v>251</v>
      </c>
      <c r="C4" s="148" t="s">
        <v>253</v>
      </c>
      <c r="D4" s="142" t="s">
        <v>255</v>
      </c>
      <c r="E4" s="142">
        <v>592.0</v>
      </c>
    </row>
    <row r="5">
      <c r="B5" s="142" t="s">
        <v>257</v>
      </c>
      <c r="C5" s="148" t="s">
        <v>233</v>
      </c>
      <c r="D5" s="142" t="s">
        <v>258</v>
      </c>
      <c r="E5" s="142">
        <v>314.0</v>
      </c>
    </row>
    <row r="6">
      <c r="B6" s="142" t="s">
        <v>259</v>
      </c>
      <c r="C6" s="148" t="s">
        <v>244</v>
      </c>
      <c r="D6" s="142" t="s">
        <v>261</v>
      </c>
      <c r="E6" s="142">
        <v>25729.0</v>
      </c>
    </row>
    <row r="7">
      <c r="B7" s="142" t="s">
        <v>264</v>
      </c>
      <c r="C7" s="148" t="s">
        <v>233</v>
      </c>
      <c r="D7" s="153" t="s">
        <v>267</v>
      </c>
      <c r="E7" s="142">
        <v>100.0</v>
      </c>
    </row>
    <row r="8">
      <c r="B8" s="142" t="s">
        <v>268</v>
      </c>
      <c r="C8" s="148" t="s">
        <v>244</v>
      </c>
      <c r="D8" s="153" t="s">
        <v>267</v>
      </c>
      <c r="E8" s="142">
        <v>28800.0</v>
      </c>
    </row>
    <row r="9">
      <c r="B9" s="154" t="s">
        <v>269</v>
      </c>
      <c r="C9" s="155" t="s">
        <v>271</v>
      </c>
      <c r="D9" s="153" t="s">
        <v>267</v>
      </c>
      <c r="E9" s="142">
        <v>890.0</v>
      </c>
    </row>
    <row r="10">
      <c r="A10" s="156" t="s">
        <v>273</v>
      </c>
      <c r="E10" s="157">
        <f>SUM(E2:E9)</f>
        <v>94442</v>
      </c>
    </row>
    <row r="11">
      <c r="A11" s="159" t="s">
        <v>277</v>
      </c>
    </row>
    <row r="12">
      <c r="A12" s="159" t="s">
        <v>279</v>
      </c>
    </row>
    <row r="13">
      <c r="A13" s="142"/>
      <c r="B13" s="148"/>
      <c r="C13" s="142"/>
    </row>
    <row r="26">
      <c r="A26" s="143" t="s">
        <v>282</v>
      </c>
      <c r="B26" s="143" t="s">
        <v>284</v>
      </c>
      <c r="D26" s="160" t="s">
        <v>285</v>
      </c>
      <c r="E26" s="162" t="s">
        <v>288</v>
      </c>
    </row>
    <row r="27">
      <c r="A27" s="142" t="s">
        <v>296</v>
      </c>
      <c r="B27" s="148" t="s">
        <v>239</v>
      </c>
      <c r="D27" s="163" t="s">
        <v>297</v>
      </c>
    </row>
    <row r="28">
      <c r="A28" s="142" t="s">
        <v>298</v>
      </c>
      <c r="B28" s="148" t="s">
        <v>299</v>
      </c>
    </row>
    <row r="29">
      <c r="A29" s="142" t="s">
        <v>300</v>
      </c>
      <c r="B29" s="148" t="s">
        <v>302</v>
      </c>
    </row>
    <row r="30">
      <c r="A30" s="142" t="s">
        <v>305</v>
      </c>
      <c r="B30" s="148" t="s">
        <v>307</v>
      </c>
    </row>
    <row r="31">
      <c r="A31" s="142" t="s">
        <v>308</v>
      </c>
      <c r="B31" s="148" t="s">
        <v>309</v>
      </c>
    </row>
    <row r="32">
      <c r="A32" s="142" t="s">
        <v>311</v>
      </c>
    </row>
    <row r="34">
      <c r="B34" s="143" t="s">
        <v>313</v>
      </c>
    </row>
    <row r="35">
      <c r="B35" s="142" t="s">
        <v>157</v>
      </c>
    </row>
    <row r="36">
      <c r="B36" s="142" t="s">
        <v>315</v>
      </c>
    </row>
    <row r="37">
      <c r="B37" s="142" t="s">
        <v>317</v>
      </c>
    </row>
    <row r="38">
      <c r="B38" s="142" t="s">
        <v>318</v>
      </c>
    </row>
    <row r="39">
      <c r="B39" s="142" t="s">
        <v>298</v>
      </c>
    </row>
    <row r="40">
      <c r="B40" s="142" t="s">
        <v>319</v>
      </c>
    </row>
    <row r="41">
      <c r="B41" s="142" t="s">
        <v>320</v>
      </c>
    </row>
    <row r="42">
      <c r="B42" s="142" t="s">
        <v>321</v>
      </c>
    </row>
    <row r="43">
      <c r="B43" s="142" t="s">
        <v>322</v>
      </c>
    </row>
    <row r="44">
      <c r="B44" s="142" t="s">
        <v>323</v>
      </c>
    </row>
  </sheetData>
  <autoFilter ref="$A$1:$E$12">
    <sortState ref="A1:E12">
      <sortCondition ref="D1:D12"/>
    </sortState>
  </autoFilter>
  <mergeCells count="2">
    <mergeCell ref="A2:A9"/>
    <mergeCell ref="A10:D10"/>
  </mergeCells>
  <hyperlinks>
    <hyperlink r:id="rId1" ref="E26"/>
  </hyperlinks>
  <printOptions gridLines="1" horizontalCentered="1"/>
  <pageMargins bottom="0.75" footer="0.0" header="0.0" left="0.7" right="0.7" top="0.75"/>
  <pageSetup fitToHeight="0" paperSize="9" cellComments="atEnd" orientation="landscape" pageOrder="overThenDown"/>
  <drawing r:id="rId2"/>
</worksheet>
</file>