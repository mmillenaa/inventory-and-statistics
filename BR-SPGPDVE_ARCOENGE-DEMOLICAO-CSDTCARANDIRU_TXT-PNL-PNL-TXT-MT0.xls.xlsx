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ral" sheetId="1" r:id="rId4"/>
    <sheet state="visible" name="0001" sheetId="2" r:id="rId5"/>
    <sheet state="visible" name="0002" sheetId="3" r:id="rId6"/>
    <sheet state="visible" name="0003" sheetId="4" r:id="rId7"/>
    <sheet state="visible" name="0004" sheetId="5" r:id="rId8"/>
    <sheet state="visible" name="Classificação" sheetId="6" r:id="rId9"/>
  </sheets>
  <definedNames/>
  <calcPr/>
  <extLst>
    <ext uri="GoogleSheetsCustomDataVersion2">
      <go:sheetsCustomData xmlns:go="http://customooxmlschemas.google.com/" r:id="rId10" roundtripDataChecksum="bCRbhW9mC0zb2Pq8B+BUDq+MIOT0enKeUJMQARS6SdE="/>
    </ext>
  </extLst>
</workbook>
</file>

<file path=xl/sharedStrings.xml><?xml version="1.0" encoding="utf-8"?>
<sst xmlns="http://schemas.openxmlformats.org/spreadsheetml/2006/main" count="7252" uniqueCount="324">
  <si>
    <t>Local (país)</t>
  </si>
  <si>
    <t>Local (estado)</t>
  </si>
  <si>
    <t>Designação do repositório</t>
  </si>
  <si>
    <t>Designação do conjunto documental</t>
  </si>
  <si>
    <t>Designação do subconjunto documental</t>
  </si>
  <si>
    <t>Gênero documental</t>
  </si>
  <si>
    <t>Espécie/Tipo documental</t>
  </si>
  <si>
    <t>Técnica de registro</t>
  </si>
  <si>
    <t>Forma documental</t>
  </si>
  <si>
    <t>Unidade de descrição</t>
  </si>
  <si>
    <t>BR</t>
  </si>
  <si>
    <t>-</t>
  </si>
  <si>
    <t>SP</t>
  </si>
  <si>
    <t>GPDVE</t>
  </si>
  <si>
    <t>_</t>
  </si>
  <si>
    <t>ARCOENGE</t>
  </si>
  <si>
    <t>DEMOLICAO-CSDTCARANDIRU</t>
  </si>
  <si>
    <t>ICO</t>
  </si>
  <si>
    <t>FOT</t>
  </si>
  <si>
    <t>DGZ</t>
  </si>
  <si>
    <t>MB0</t>
  </si>
  <si>
    <t>0001-</t>
  </si>
  <si>
    <t>001</t>
  </si>
  <si>
    <t>.JPG</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</si>
  <si>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</si>
  <si>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</si>
  <si>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</si>
  <si>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</si>
  <si>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</si>
  <si>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</si>
  <si>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</si>
  <si>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</si>
  <si>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</si>
  <si>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</si>
  <si>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</si>
  <si>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</si>
  <si>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</si>
  <si>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</si>
  <si>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</si>
  <si>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</si>
  <si>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</si>
  <si>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</si>
  <si>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</si>
  <si>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</si>
  <si>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</si>
  <si>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</si>
  <si>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</si>
  <si>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</si>
  <si>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</si>
  <si>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</si>
  <si>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</si>
  <si>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</si>
  <si>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</si>
  <si>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</si>
  <si>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0002-</t>
  </si>
  <si>
    <t>0003-</t>
  </si>
  <si>
    <t>0004-</t>
  </si>
  <si>
    <t>Cód.</t>
  </si>
  <si>
    <t>Título descritivo (atribuído)</t>
  </si>
  <si>
    <t>Nível de descrição</t>
  </si>
  <si>
    <t>Data da fotografia</t>
  </si>
  <si>
    <t>Tamanho</t>
  </si>
  <si>
    <t>Suporte</t>
  </si>
  <si>
    <t>Local</t>
  </si>
  <si>
    <t xml:space="preserve">Autor/Responsável </t>
  </si>
  <si>
    <t>Denominação do catálogo temático (GPDVE ARCOENGE)</t>
  </si>
  <si>
    <t>Localização</t>
  </si>
  <si>
    <t xml:space="preserve">Código de referência </t>
  </si>
  <si>
    <t>História arquivística</t>
  </si>
  <si>
    <t>Conteúdo/Assunto</t>
  </si>
  <si>
    <t xml:space="preserve">Condições de acesso e reprodução </t>
  </si>
  <si>
    <t>Palavras-chave</t>
  </si>
  <si>
    <t>Gênero</t>
  </si>
  <si>
    <t>Legenda para publicações</t>
  </si>
  <si>
    <t>Citação ABNT</t>
  </si>
  <si>
    <t>Notas</t>
  </si>
  <si>
    <t>Corredor de terra ladeado por muro de concreto e pavilhão com roupas estendidas, com silhuetas urbanas ao fundo.</t>
  </si>
  <si>
    <t>Item</t>
  </si>
  <si>
    <t>Sem data</t>
  </si>
  <si>
    <t>Gerado pelo Dataverse</t>
  </si>
  <si>
    <t>Fotografia digitalizada; colorida; suporte em papel fotográfico</t>
  </si>
  <si>
    <t>São Paulo, Brasil</t>
  </si>
  <si>
    <t>Grupo de Pesquisa em Direito e Violência de Estado</t>
  </si>
  <si>
    <t>Arcoenge - Demolição - Casa de Detenção do Carandiru (Fotografias)</t>
  </si>
  <si>
    <t>Pasta: 0001</t>
  </si>
  <si>
    <r>
      <rPr>
        <rFont val="Roboto"/>
        <color theme="1"/>
        <sz val="12.0"/>
      </rPr>
      <t xml:space="preserve">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t>
    </r>
    <r>
      <rPr>
        <rFont val="Roboto"/>
        <color rgb="FFFF0000"/>
        <sz val="12.0"/>
      </rPr>
      <t xml:space="preserve">164 </t>
    </r>
    <r>
      <rPr>
        <rFont val="Roboto"/>
        <color theme="1"/>
        <sz val="12.0"/>
      </rPr>
      <t xml:space="preserve">peças documentais. </t>
    </r>
  </si>
  <si>
    <t>Corredor longo e estreito de terra. À esquerda, um muro alto e contínuo de concreto. À direita, a fachada de um pavilhão com diversas roupas estendidas para fora das janelas. Na parte central da imagem, ao longe, pessoas caminham pelo espaço térreo. Ao fundo, despontam silhuetas de prédios modernos da cidade.</t>
  </si>
  <si>
    <r>
      <rPr>
        <rFont val="Roboto"/>
        <color theme="1"/>
        <sz val="12.0"/>
      </rPr>
      <t xml:space="preserve">O acesso aos documentos deste acervo está condicionado ao compromisso de não repassá-los a terceiros, à obrigatoriedade de mencionar que os originais pertencem ao </t>
    </r>
    <r>
      <rPr>
        <rFont val="Roboto"/>
        <color rgb="FFFF0000"/>
        <sz val="12.0"/>
      </rPr>
      <t>GPDVE (?)</t>
    </r>
    <r>
      <rPr>
        <rFont val="Roboto"/>
        <color theme="1"/>
        <sz val="12.0"/>
      </rPr>
      <t xml:space="preserve">,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t>
    </r>
    <r>
      <rPr>
        <rFont val="Roboto"/>
        <color rgb="FFFF0000"/>
        <sz val="12.0"/>
      </rPr>
      <t>GPDVE</t>
    </r>
    <r>
      <rPr>
        <rFont val="Roboto"/>
        <color theme="1"/>
        <sz val="12.0"/>
      </rPr>
      <t xml:space="preserve"> de qualquer responsabilidade.</t>
    </r>
  </si>
  <si>
    <t>Sistema prisional; Arquitetura prisional; Casa de Detenção de São Paulo; Carandiru</t>
  </si>
  <si>
    <t>Fotografia (Iconográfico)</t>
  </si>
  <si>
    <t>Digitalização de fotografia colorida 
(analógica original)</t>
  </si>
  <si>
    <t>Este item pertencia à pasta intitulada "fotos escaneadas".</t>
  </si>
  <si>
    <t>Fachada de edifício retangular de cinco andares com janelas padronizadas e guarda-corpo metálico em primeiro plano.</t>
  </si>
  <si>
    <t>Plano fechado focado na fachada de um grande edifício retangular de concreto, com cinco andares de janelas visíveis, padronizadas e recuadas. Em primeiro plano, um muro com guarda-corpo de metal margeia o que aparenta ser um pátio rebaixado.</t>
  </si>
  <si>
    <t>Corredor de concreto com pessoas em trânsito, ladeado por muro alto e pavilhão com roupas penduradas.</t>
  </si>
  <si>
    <t>Ângulo e composição muito semelhantes à foto BR-SPGPDVE_ARCOENGE-DEMOLICAO-CSDTCARANDIRU_ICO-FOT-DGZ-MB0_0001-001.JPG. Vista em perspectiva de um corredor de concreto margeado por um muro alto à esquerda e um pavilhão com roupas penduradas à direita. Pessoas transitam pelo térreo.</t>
  </si>
  <si>
    <t>Vista superior de telhados de fibrocimento e amplo pavilhão com bloco central elevado.</t>
  </si>
  <si>
    <t>Enquadramento voltado para as partes superiores das estruturas. Telhados de fibrocimento compõem o primeiro plano inferior. Ao fundo, um amplo pavilhão de concreto que possui um bloco central arquitetonicamente mais alto do que suas alas laterais.</t>
  </si>
  <si>
    <t>Pátio arborizado com reboque azul em primeiro plano, van estacionada e pavilhão ao fundo.</t>
  </si>
  <si>
    <t>Pátio arborizado com composição semelhante à foto BR-SPGPDVE_ARCOENGE-DEMOLICAO-CSDTCARANDIRU_ICO-FOT-DGZ-MB0_0001-010.JPG, contendo a van branca estacionada e as mesmas edificações ao fundo. A imagem se diferencia pela presença de um reboque ou equipamento azul estacionado no pátio em destaque no primeiro plano.</t>
  </si>
  <si>
    <t>Área externa com lajes de concreto, varal transversal de cobertores e campo de terra com pessoas distribuídas.</t>
  </si>
  <si>
    <t>Ampla área externa. Em primeiro plano, lajes de concreto no chão com recortes quadrados e circulares. Uma separação visual é formada por cobertores e tecidos escuros pendurados transversalmente. Atrás dessa barreira, há um grande campo de terra onde diversas pessoas estão distribuídas. A lateral de um pavilhão preenche o canto superior direito.</t>
  </si>
  <si>
    <t>Pessoa encostada em parapeito diante de amplo pátio de terra e pavilhão retangular ao fundo.</t>
  </si>
  <si>
    <t>Fotografia horizontal. Em primeiro plano, à direita, parte do braço e tronco de uma pessoa de camisa clara encostada em um parapeito. Ao centro, um amplo pátio liso de terra. Ao fundo, um pavilhão retangular de concreto com fileiras regulares de janelas pequenas.</t>
  </si>
  <si>
    <t>Pátio de terra dividido por muro baixo, com trave de futebol ao centro e ladeado por dois pavilhões.</t>
  </si>
  <si>
    <t>Pátio de terra contendo uma trave de futebol metálica no centro. O espaço é ladeado por dois grandes pavilhões de concreto. Há roupas penduradas em várias janelas do prédio à esquerda. Um muro baixo divide horizontalmente o terreno.</t>
  </si>
  <si>
    <t>Vista de passarela elevada com pessoa caminhando de costas, pátio com portão verde e torre de vigilância ao fundo.</t>
  </si>
  <si>
    <t>Vista a partir de uma passarela elevada de concreto. Uma pessoa vestindo camisa clara e calça caminha de costas pela passarela. Abaixo, vê-se um pátio com uma pequena estrutura e um portão verde. Ao fundo, um longo pavilhão e uma torre de vigilância.</t>
  </si>
  <si>
    <t>Pátio interno arborizado com van branca estacionada diante de construção térrea e grande pavilhão ao fundo.</t>
  </si>
  <si>
    <t>Pátio interno. À esquerda, copas de árvores. Ao centro, uma van branca estacionada em frente a uma construção térrea clara (que exibe um mural ou pintura na parede direita). Atrás dessa construção térrea, ergue-se um grande pavilhão de concreto. No limite inferior da foto, nota-se a borda de um telhado de fibrocimento.</t>
  </si>
  <si>
    <t>Pátio externo subdividido por alambrado, com quadra de terra, aglomeração de pessoas e dois pavilhões ao fundo.</t>
  </si>
  <si>
    <t>Amplo pátio externo subdividido. Em primeiro plano, à esquerda, uma quadra de terra demarcada por linhas brancas e cercada por alambrado. Atrás do alambrado, uma extensa área de terra abriga dezenas de pessoas espalhadas em meio a pequenas estruturas improvisadas e varais com roupas. Ao fundo, um longo muro escuro divide o terreno, atrás do qual se erguem dois grandes edifícios de concreto (pavilhões) com diversas janelas retangulares. Um alto poste de iluminação ergue-se à direita, com uma torre de vigilância visível ao extremo fundo direito.</t>
  </si>
  <si>
    <t>. Amplo campo de terra com pessoas distribuídas pelo espaço, ladeado por muro alto e pavilhão ao fundo.</t>
  </si>
  <si>
    <t>Amplo campo de terra liso ocupando quase toda a imagem, com diversas pessoas distribuídas pelo espaço, jogando futebol. No canto inferior esquerdo, vê-se parte da estrutura tubular de uma trave esportiva. O campo é delimitado à esquerda e à direita por altos muros escuros contínuos. Ao centro, no fundo do terreno, ergue-se um grande pavilhão retangular de concreto com cinco andares visíveis de janelas, muitas delas exibindo roupas penduradas.</t>
  </si>
  <si>
    <t>Fachada de pavilhão e topo de muro com grade em primeiro plano.</t>
  </si>
  <si>
    <t>Plano fechado focado exclusivamente na fachada de um pavilhão de concreto. Na margem inferior da imagem, cruzando horizontalmente o primeiro plano, nota-se o topo de um muro escuro encimado por uma grade de metal.</t>
  </si>
  <si>
    <t>Perspectiva da quina de um grande pavilhão de concreto com roupas estendidas em janelas de cinco andares.</t>
  </si>
  <si>
    <t>Vista em perspectiva angular destacando a quina de um edifício de concreto de cinco andares. A fachada apresenta uma malha regular de janelas, com uma grande quantidade de roupas brancas e coloridas penduradas para o lado de fora em quase todos os andares. Em primeiro plano, uma faixa estreita de terreno térreo expõe pequenos grupos de pessoas em pé.</t>
  </si>
  <si>
    <t>Passarela elevada de concreto com pessoa caminhando de costas em direção a uma alta torre de vigilância de tijolos.</t>
  </si>
  <si>
    <t>Imagem capturada de um ponto de vista elevado sobre uma passarela restrita. Uma pessoa de camisa clara de mangas curtas e calça escura caminha de costas pela passarela de concreto, afastando-se da câmera. A passarela é delimitada à esquerda por um muro baixo e conduz a uma alta torre de vigilância ao fundo, que possui base quadrada e cabine superior com grandes janelas. À direita da torre, veem-se densas copas de árvores e, mais ao longe, no horizonte à esquerda, a silhueta de diversos prédios urbanos.</t>
  </si>
  <si>
    <t>Alta torre de água com estrutura central vazada, ladeada por quadra esportiva em primeiro plano e prédios ao fundo.</t>
  </si>
  <si>
    <t>Destaque central para uma alta torre de água (reservatório). Ela possui uma base cônica de concreto sólido, um corpo cilíndrico aberto formado por uma armação vazada de vigas de concreto, e é finalizada por um grande tanque cilíndrico fechado no topo. Ao redor da torre há um gramado e partes em terra, delimitados por alambrados. No canto inferior esquerdo, aparece a ponta de uma quadra esportiva com uma trave metálica e pessoas ao longe. Ao fundo da estrutura, um longo muro escuro separa a área de contornos de edifícios industriais e urbanos.</t>
  </si>
  <si>
    <t>Estrutura retangular alongada de concreto em degradação com mato alto em primeiro plano e cortina de árvores atrás.</t>
  </si>
  <si>
    <t>Fotografia registrando uma longa estrutura de concreto, de um único pavimento, cortando a imagem em diagonal. Em primeiro plano, o terreno é dominado por densa vegetação rasteira e mato alto. Logo atrás do muro da construção em ruínas, ergue-se uma densa cortina de árvores de folhagens verdes.</t>
  </si>
  <si>
    <t>Vista elevada margeada por estrutura escura à esquerda, mostrando laje, pátio com pessoas e dois pavilhões ao fundo.</t>
  </si>
  <si>
    <t>Vista superior a partir de um ângulo alto. No extremo esquerdo, no primeiro plano, uma espessa estrutura inclinada de concreto escuro obscurece parte da visão. Logo abaixo, observa-se uma laje clara com aberturas e marcações. Em seguida, um amplo pátio de terra clara exibe dezenas de pessoas reunidas próximas a varais e estruturas improvisadas. Ao fundo da cena, cercados por um extenso muro de divisão vertical, estão as fachadas de dois edifícios de concreto de múltiplos andares, com janelas e roupas penduradas.</t>
  </si>
  <si>
    <t>Perspectiva de corredor térreo ladeado por guarda-corpo metálico e grande fachada de pavilhão à direita.</t>
  </si>
  <si>
    <t>Perspectiva em profundidade acompanhando um corredor estreito e sombreado no nível térreo, visualizado a partir de uma estrutura superior com guarda-corpos metálicos à esquerda. O corredor é flanqueado, do lado direito, pela imensa fachada contínua de um pavilhão com quatro andares de janelas padronizadas (muitas com roupas secando). Abaixo, no chão claro, figuras humanas caminham em direção ao fundo. No limite do ponto de fuga do corredor, recorta-se no céu uma concentração de edifícios verticais de uma área urbana externa.</t>
  </si>
  <si>
    <t>Corredor estreito entre parede de concreto escura à direita e fachada de pavilhão exibindo tecido avermelhado à esquerda.</t>
  </si>
  <si>
    <t>Cena capturada em um corredor alongado. O lado esquerdo é integralmente preenchido pela lateral vertical de um grande edifício de concreto (pavilhão) com janelas regulares recuadas. Sobressai-se uma grande peça de tecido estampado e avermelhado pendurada na parte central da parede. O lado direito da fotografia é tomado por um pilar ou extremidade de parede espessa de concreto, em primeiro plano, criando uma moldura para o corredor central claro. Pessoas caminham ou permanecem em pé ao longo da via no nível do solo.</t>
  </si>
  <si>
    <t>Vista elevada de corredor estreito ladeado por pavilhão e muro alto, com pessoas ao fundo.</t>
  </si>
  <si>
    <t>Vista em ângulo alto de um longo corredor profundo e estreito. À esquerda, ergue-se a fachada de um imenso pavilhão de concreto com dezenas de janelas retangulares exibindo roupas penduradas. Ao centro, dividindo verticalmente o espaço, há um muro alto e espesso. À direita, projeta-se a sombra escura de outra grande edificação. No fundo do corredor rebaixado, pequenas figuras de pessoas caminham ou permanecem de pé ao longo do trajeto. Ao longe, no ponto de fuga do corredor, veem-se silhuetas de arranha-céus da cidade.</t>
  </si>
  <si>
    <t>Pátio interno com falhas na grama, flanqueado por pavilhão e guarda-corpo.</t>
  </si>
  <si>
    <t>Fotografia em plano picado (de cima para baixo) mostrando um pátio interno estreito. À esquerda e ao fundo, dominam as fachadas de um grande pavilhão, com múltiplas janelas quadradas e roupas penduradas. À direita, cruzando a imagem em diagonal, há um guarda-corpo metálico sobre uma estrutura escura. Abaixo, o pátio possui um terreno com falhas na grama, terra aparente, sujeira espalhada e algumas pessoas sentadas ou agachadas junto à base do prédio.</t>
  </si>
  <si>
    <t>Campo de terra com pessoas, dividido por muro longo, com dois pavilhões ao fundo.</t>
  </si>
  <si>
    <t>Ampla visão de um campo de terra batida, iluminado pelo sol. Diversas pessoas estão espalhadas pelo espaço amplo, algumas agrupadas, outras sozinhas. Um longo muro de base clara e topo escuro cruza horizontalmente o meio da imagem, separando o campo. Atrás do muro, erguem-se simetricamente dois grandes edifícios retangulares de concreto (pavilhões) com cinco andares de janelas pequenas, a maioria exibindo roupas estendidas.</t>
  </si>
  <si>
    <t>Vista elevada atrás de grade metálica mostrando terreno irregular, pavilhão extenso e prédios urbanos.</t>
  </si>
  <si>
    <t>Vista a partir de uma área coberta e elevada, evidenciada por uma pilastra espessa e teto escuros que formam uma moldura à direita, além de um guarda-corpo tubular metálico cruzando o primeiro plano. Abaixo, estende-se um grande terreno rústico com capim irregular e dezenas de pessoas espalhadas. Ao fundo, dominando a cena, um extenso pavilhão de concreto com fileiras contínuas de janelas e muitas roupas secando. No horizonte, por trás do pavilhão, avistam-se arranha-céus do tecido urbano.</t>
  </si>
  <si>
    <t>Perspectiva de pátio a partir de passarela com grade, exibindo pavilhão e horizonte da cidade.</t>
  </si>
  <si>
    <t>Composição e ângulo quase idênticos à foto 024. Ponto de vista elevado, resguardado por uma grade metálica de duas barras. Abaixo, um grande pátio de terra e mato ralo com vários grupos de pessoas em escala miúda. Ao fundo, estende-se o mesmo imenso pavilhão de concreto de múltiplos andares, marcado pelas roupas penduradas nas janelas. O horizonte à direita exibe nitidamente um aglomerado de altos edifícios urbanos sob um céu claro.</t>
  </si>
  <si>
    <t>Edifícios de concreto cru com vãos vazios, isolados por muro e ladeados por mato alto.</t>
  </si>
  <si>
    <t>Paisagem com vegetação rasteira e mato alto dominando o primeiro plano. Atrás de um muro texturizado que cruza o terreno, erguem-se dois blocos retangulares de concreto cru, desprovidos de acabamento. Em vez de janelas, os edifícios possuem grandes vãos escuros abertos e retangulares, aparentando ser construções inacabadas ou em abandono. Árvores e arbustos ladeiam as estruturas de concreto sob um céu liso.</t>
  </si>
  <si>
    <t>Bloco maciço de concreto com aberturas sem esquadrias, cercado por vegetação rasteira e arbustos.</t>
  </si>
  <si>
    <t>Terreno coberto por terra e arbustos secos em primeiro plano, com uma pequena árvore de galhos finos isolada no lado direito. Ao fundo, destaca-se um longo e maciço bloco de concreto com dois pavimentos de aberturas retangulares simétricas e totalmente vazias, sem esquadrias.</t>
  </si>
  <si>
    <t>Fachada de prédio em concreto bruto com vão livre no térreo, ladeada por arbustos e galhos secos.</t>
  </si>
  <si>
    <t>Plano mais fechado da fachada de um edifício de concreto bruto e aspecto rústico, com dezenas de aberturas retangulares escuras dispostas de maneira uniforme em três andares. O andar térreo não possui paredes, formando um grande vão livre sustentado por pilares quadrados. Em primeiro plano, protegendo a visão da base do prédio, há uma densa barreira de arbustos verdes à esquerda e um grande amontoado de galhos secos e troncos empilhados à direita.</t>
  </si>
  <si>
    <t>Vista a partir de laje com guarda-corpo focada na perspectiva lateral de longo pavilhão com janelas.</t>
  </si>
  <si>
    <t>Vista elevada e lateral. Em primeiro plano, à extrema esquerda, a ponta de um telhado de cerâmica e o topo de uma laje delimitada por um longo guarda-corpo de metal negro. Do outro lado da via, projetando-se em diagonal rumo ao fundo da imagem, há um longo pavilhão de concreto pintado de claro. A fachada é repleta de janelas retangulares recuadas. Um muro e passarelas conectam este bloco a outras edificações secundárias menores no fundo esquerdo.</t>
  </si>
  <si>
    <t>Campo de quadra de terra subdividido por muro escuro, com dois pavilhões ao fundo.</t>
  </si>
  <si>
    <t>Ampla área externa com um campo de terra batida no primeiro plano, delimitado por alambrados brancos de uma quadra esportiva. Pequenas figuras humanas espalham-se pela quadra e pelo campo de terra. Um longo muro horizontal escuro divide o terreno ao meio. Atrás do muro, destacam-se em bloco as fachadas de dois grandes pavilhões de concreto de cinco andares. O pavilhão da direita apresenta uma ampla mancha ou pintura avermelhada desbotada que cobre parte das janelas e da parede.</t>
  </si>
  <si>
    <t>Vista elevada de campo de terra com trave de futebol e pessoas, ladeado por grande pavilhão e muro longo.</t>
  </si>
  <si>
    <t>Fotografia em vista elevada. No primeiro plano, à esquerda, desponta o topo texturizado de um muro de concreto espesso que cruza o canto em diagonal. O centro da imagem é tomado por um amplo pátio de terra batida onde dezenas de pessoas estão distribuídas. Algumas agrupam-se e interagem próximas a uma trave metálica de futebol instalada no meio do campo, enquanto outras caminham ou descansam nas margens. À direita, domina a cena a extensa fachada de um grande pavilhão de concreto com cinco andares de janelas retangulares recuadas, muitas exibindo roupas estendidas. Ao fundo, do lado esquerdo, um longo muro escuro separa o pátio de outras construções com telhados alongados côncavos.</t>
  </si>
  <si>
    <t>Data de criação da fotografia</t>
  </si>
  <si>
    <t>Vista geral da torre de água e bairro residencial ao fundo.</t>
  </si>
  <si>
    <t>Pasta: 0002</t>
  </si>
  <si>
    <t>Fotografia de uma ampla área de terreno em terra batida, com marcas de escavação e entulho em primeiro plano. À esquerda, destaca-se uma alta torre de água cilíndrica de concreto com escada externa. Próximo à base da torre, observam-se equipamentos e trabalhadores da construção civil utilizando capacetes de segurança. Ao fundo, vê-se o perfil de construções de um bairro residencial sob um céu parcialmente nublado. A imagem possui um Marcador numérico "3 3 '03" no canto inferior direito.</t>
  </si>
  <si>
    <t>Este item pertencia à pasta intitulada "caixa-d'água 1".
Com relação à data de produção da fotografia, embora a lateral das fotografias indiquem 03/03/03, optou-se por utilizar a data mais antiga contida nos metadados do arquivo digital.</t>
  </si>
  <si>
    <t>Torre de água de concreto e trabalhadores.</t>
  </si>
  <si>
    <t>Imagem com enquadramento focado na alta torre de água de concreto, posicionada à direita, com tubulações e escada metálica visíveis. À esquerda, uma árvore de grande porte compõe o primeiro plano. No solo de terra revirada, identificam-se trabalhadores da construção civil caminhando. Ao fundo, observam-se as fachadas traseiras e telhados de edificações baixas, além de torres de transmissão elétrica no horizonte. Marcador numérico "3 3 '03" no canto inferior direito.</t>
  </si>
  <si>
    <t>Telhados residenciais e pavilhões da Casa de Detenção do Carandiru.</t>
  </si>
  <si>
    <t>Fotografia em ângulo mergulhante que contrapõe o ambiente residencial à arquitetura prisional. Em primeiro e médio plano, vê-se um aglomerado de telhados de casas, intercalando telhas cerâmicas e de fibrocimento. Ao fundo, estendem-se os muros de contenção e os longos pavilhões paralelos da Casa de Detenção do Carandiru, caracterizados por pequenas janelas enfileiradas. Um campo de futebol e áreas gramadas são visíveis entre os limites do presídio e o bairro. Marcador numérico "3 3 '03" no canto inferior direito.</t>
  </si>
  <si>
    <t>Vista superior de imóveis residenciais contíguos.</t>
  </si>
  <si>
    <t>Vista em ângulo fortemente mergulhante focada na malha de telhados do bairro vizinho ao complexo prisional. Observa-se a densa justaposição de coberturas predominantemente de telhas cerâmicas vermelhas, intercaladas com algumas extensões de fibrocimento. À esquerda, registra-se um trecho de rua asfaltada com poste de fiação elétrica, árvores e um veículo estacionado. Marcador numérico "3 3 '03" no canto inferior direito.</t>
  </si>
  <si>
    <t>Edificação com laje e alvenaria expostas.</t>
  </si>
  <si>
    <t>Imagem aérea detalhando uma propriedade inserida na malha urbana que passa por intervenção estrutural. O telhado está ausente em um setor central, revelando a laje de piso, paredes de tijolos expostos sem reboco, restos de madeiramento e materiais de construção acumulados. A rua asfaltada contígua ao lote é visível na parte superior do quadro. Marcador numérico "3 3 '03" na lateral esquerda inferior.</t>
  </si>
  <si>
    <t>Detalhe superior de imóvel parcialmente destelhado.</t>
  </si>
  <si>
    <t>Fotografia semelhante à anterior, com variação leve de ângulo, mantendo o foco na edificação com o telhado parcialmente ausente. Destacam-se as paredes de alvenaria interna expostas, caçilhos vazios e uma área de laje contendo tábuas de madeira empilhadas, entulho e um balde. A estrutura contrasta com os telhados intactos (cerâmicos e de fibrocimento) das construções imediatamente adjacentes. Marcador numérico "3 3 '03" no canto inferior direito.</t>
  </si>
  <si>
    <t>Cobertura de fibrocimento de galpão e via pública.</t>
  </si>
  <si>
    <t>Vista aérea perpendicular focada em uma extensa cobertura retangular de fibrocimento, típica de galpões ou imóveis comerciais/industriais de médio porte, que preenche grande parte do enquadramento. Na extremidade superior da imagem, visualiza-se um trecho linear de calçada e rua asfaltada, além da fachada de propriedades vizinhas do outro lado da via. Marcador numérico "3 3 '03" na lateral esquerda inferior.</t>
  </si>
  <si>
    <t>Justaposição de coberturas de fibrocimento e terreno descampado.</t>
  </si>
  <si>
    <t>Fotografia em vista superior registrando predominantemente telhados de fibrocimento em diferentes níveis estruturais. À direita da composição, capta-se uma faixa de terreno não pavimentado de terra avermelhada. Marcador numérico "3 3 '03" no canto inferior direito.</t>
  </si>
  <si>
    <t>Edificação estreita e corredor de acesso lateral.</t>
  </si>
  <si>
    <t>Vista em ângulo mergulhante de uma edificação residencial ou de serviço de formato estreito e alongado, coberta por telhas de fibrocimento que apresentam sinais de desgaste e reparos. Lateralmente ao imóvel, observa-se um corredor/quintal parcialmente gramado que conecta os fundos do lote ao portão de acesso na via pública, visível no topo da imagem. Marcador numérico "3 3 '03" no canto inferior direito.</t>
  </si>
  <si>
    <t>Cobertura de telhas cerâmicas com colapso parcial.</t>
  </si>
  <si>
    <t>Fotografia aérea detalhando um adensamento de telhados no limite da área de demolição. O elemento central é um telhado de duas águas em telha cerâmica que apresenta um dano estrutural significativo ou colapso parcial na sua lateral direita, com telhas quebradas e madeiramento escuro exposto. A estrutura é circundada por outras coberturas de fibrocimento e elementos urbanos como uma caixa d'água azul. Marcador numérico "3 3 '03" no canto inferior direito.</t>
  </si>
  <si>
    <t>Vista superior de telhados e escavação em canteiro de obras.</t>
  </si>
  <si>
    <t>Fotografia em ângulo mergulhante mostrando um adensamento de telhados cerâmicos e de fibrocimento de edificações residenciais. Ao centro, destaca-se uma estrutura inacabada ou em desmanche com vigas de concreto expostas. À direita, observa-se uma via pública asfaltada com um veículo escuro estacionado e um pedestre. À extrema esquerda, nota-se uma borda de área de escavação em terra nua com a presença de um trabalhador utilizando capacete de segurança amarelo. Marcador numérico "3 3 '03" no canto inferior direito.</t>
  </si>
  <si>
    <t>Telhados residenciais adjacentes a canteiro de obras e via pública.</t>
  </si>
  <si>
    <t>Vista aérea similar à imagem anterior, com ligeira variação de enquadramento, detalhando a justaposição de imóveis residenciais. No centro, uma edificação apresenta laje descoberta com vigamento aparente e uma pequena piscina de lona azul. À esquerda, a margem do canteiro de obras exibe solo escavado e trabalhadores. À direita, a rua asfaltada com calçadas e arborização. Marcador numérico "3 3 '03" no canto inferior direito.</t>
  </si>
  <si>
    <t>Perspectiva de casas enfileiradas e área de demolição com maquinário.</t>
  </si>
  <si>
    <t>Fotografia em ângulo mergulhante que abrange uma extensa fileira de imóveis residenciais com telhados predominantes de cerâmica, margeados por uma via pública à direita. À esquerda, separada por um longo muro de contenção em diferentes níveis, estende-se uma ampla área de terra correspondente ao canteiro de obras. No terreno, visualiza-se uma retroescavadeira amarela e operários trabalhando junto à base do muro. Marcador numérico "3 3 '03" no canto inferior direito.</t>
  </si>
  <si>
    <t>Vista panorâmica do bairro, canteiro de obras e horizonte da cidade.</t>
  </si>
  <si>
    <t>Imagem aérea de grande amplitude registrando a extensão do bairro residencial à direita e a vasta área de terra batida do canteiro de obras à esquerda, ambos separados de forma linear por um muro contínuo. No canteiro, visualiza-se maquinário pesado (retroescavadeira). Ao fundo, no horizonte, destaca-se o perfil urbano verticalizado da cidade de São Paulo, sob céu claro. Marcador numérico "3 3 '03" alinhado verticalmente na lateral inferior esquerda.</t>
  </si>
  <si>
    <t>Contraste entre telhados de imóveis e os pavilhões da Casa de Detenção.</t>
  </si>
  <si>
    <t>Fotografia em ângulo mergulhante retratando o adensamento de coberturas residenciais (mesclando cerâmica e fibrocimento) em primeiro plano. Ao fundo, compondo a metade superior da imagem, observam-se os altos muros de contenção e os blocos prisionais da Casa de Detenção do Carandiru, acompanhados por uma ampla área de campo de futebol e gramado. Marcador numérico "3 3 '03" no canto inferior direito.</t>
  </si>
  <si>
    <t>Detalhe superior de telhado cerâmico avariado e muro divisório.</t>
  </si>
  <si>
    <t>Imagem em plano mais fechado e ângulo superior focando no encontro estrutural entre o telhado cerâmico de uma edificação residencial e um muro divisório de alvenaria com acabamento rústico. Observam-se áreas com telhas quebradas, falhas na cobertura, madeiramento exposto e uma haste/tubulação metálica vertical apoiada no muro. Marcador numérico "3 3 '03" no canto inferior direito.</t>
  </si>
  <si>
    <t>Muro de divisa desgastado e tapume de madeira em primeiro plano.</t>
  </si>
  <si>
    <t>Fotografia capturada próxima ao nível do solo retratando um longo muro de alvenaria com sinais visíveis de desgaste, umidade e variação de pintura, que oculta parcialmente os telhados de fibrocimento das propriedades vizinhas. À direita, nota-se uma grande estrutura em tapume de madeira. O primeiro plano é dominado por solo de terra batida, pedregulhos e entulho disperso, típico de área de demolição. Marcador numérico "3 3 '03" no canto inferior direito.</t>
  </si>
  <si>
    <t>Grupo de trabalhadores junto a muro.</t>
  </si>
  <si>
    <t>Fotografia ao nível do solo registrando um grupo de cinco trabalhadores da construção civil, equipados com capacetes de segurança (amarelos e brancos), parados junto a um longo muro de divisa. O muro apresenta uma estética fragmentada, exibindo áreas com blocos de concreto aparentes, tijolos de barro expostos e diferentes texturas de reboco e pintura. Por trás da barreira, despontam os telhados das casas do entorno. O solo em primeiro plano contém terra revolvida e restos estruturais. Marcador numérico "3 3 '03" no canto inferior direito.</t>
  </si>
  <si>
    <t>Trabalhadores e caixa d'água visível sobre extenso muro de divisa.</t>
  </si>
  <si>
    <t>Imagem semelhante à anterior, mostrando um trecho adjacente do mesmo longo muro de separação, caracterizado por diferentes camadas e colorações de alvenaria envelhecida. À direita, três trabalhadores com capacetes são parcialmente enquadrados operando ferramentas manuais. Destaca-se na silhueta superior esquerda uma caixa d'água retangular apoiada em estrutura metálica sobre a cobertura de um dos imóveis vizinhos. Marcador numérico "3 3 '03" no canto inferior direito.</t>
  </si>
  <si>
    <t>Trecho de muro divisório com faixas de coloração e antenas.</t>
  </si>
  <si>
    <t>Fotografia ao nível do solo detalhando outro segmento do extenso muro que separa o canteiro de obras das propriedades residenciais. O muro apresenta faixas longitudinais de coloração amarelada e branca, indicando desgaste histórico da pintura e reboco. No contorno superior da construção, avistam-se elementos das edificações ocultas, como coberturas secundárias, antenas de televisão e uma caixa d'água à direita. O primeiro plano é composto por terra nua e pedaços de entulho. Marcador numérico "3 3 '03" no canto inferior direito.</t>
  </si>
  <si>
    <t>Fachada lateral de edificação vizinha e base de torre.</t>
  </si>
  <si>
    <t>Fotografia capturada ao nível do solo retratando extensa parede lateral sem aberturas, de uma edificação de alvenaria, com acabamento em reboco acinzentado e marcas de desgaste. À extrema esquerda, observa-se a base e parte da estrutura cilíndrica da torre de água de concreto ou amianto. No topo do edifício vizinho, há uma estrutura abrigando caixas d'água de amianto ou cobertura de fibrocimento e a inscrição "Eternit". O primeiro plano é dominado por um terreno de terra batida, pedras e entulhos. Marcador numérico "3 3 '03" no canto inferior direito.</t>
  </si>
  <si>
    <t>Muro divisório escurecido e materiais de construção em solo de terra.</t>
  </si>
  <si>
    <t>Imagem frontal e ao nível do solo focada em um longo muro de delimitação construído em blocos de concreto e alvenaria. A superfície do muro apresenta extensas manchas escuras, indicativas de umidade e envelhecimento. Atrás da barreira física, despontam as partes superiores e telhados de residências contíguas. No lado correspondente ao canteiro de obras, o solo de terra vermelha expõe madeiras empilhadas, à direita e restos de entulho dispersos. Marcador numérico "3 3 '03" no canto inferior direito.</t>
  </si>
  <si>
    <t>Muro de blocos de concreto com equipamentos industriais superiores.</t>
  </si>
  <si>
    <t>Fotografia detalhando um trecho específico do muro divisório feito de blocos de concreto sem revestimento, que apresenta pequenos furos em sua extensão e uma fenda/junção vertical perceptível à direita. Acima do nível do muro, na propriedade adjacente, destacam-se equipamentos de configuração industrial ou comercial, incluindo uma torre de resfriamento azul com a marca "ALFATERM" e tanques metálicos. O chão exibe terra avermelhada revolvida. Marcador numérico "3 3 '03" no canto inferior direito.</t>
  </si>
  <si>
    <t>Vistoria técnica apontando fissura em muro divisório (plano aberto).</t>
  </si>
  <si>
    <t>Fotografia em orientação retrato (vertical) mostrando um homem realizando uma vistoria. Ele veste camisa polo branca, calça jeans e óculos escuros. O indivíduo segura uma prancheta sob o braço esquerdo enquanto aponta com um objeto pontiagudo (caneta) na mão direita para uma fissura estrutural vertical presente no muro de blocos de concreto. O solo no entorno contém terra, mato e entulho. Marcador numérico "3 3 '03" alinhado verticalmente na lateral inferior esquerda.</t>
  </si>
  <si>
    <t>Vistoria técnica apontando fissura em muro divisório (plano fechado).</t>
  </si>
  <si>
    <t>Imagem muito semelhante à anterior, com variação sutil de enquadramento, aproximando-se do sujeito e da área inspecionada. O mesmo profissional é registrado apontando para a rachadura vertical no muro divisório de blocos de concreto. No limite superior da imagem, são visíveis as bases dos reservatórios e equipamentos (identificados na foto 23) pertencentes ao lote vizinho. O contexto do terreno permanece com aspecto de canteiro incipiente. Marcador numérico "3 3 '03" alinhado verticalmente na lateral inferior esquerda.</t>
  </si>
  <si>
    <t>Fachada cega com manchas de umidade e técnico em deslocamento.</t>
  </si>
  <si>
    <t>Pasta: 0004</t>
  </si>
  <si>
    <t>Vista ao nível do solo de uma grande parede lateral com intensas manchas escuras de umidade formando um padrão reticular horizontal. À esquerda, um técnico vestindo camisa clara e calça escura caminha de costas pelo terreno de terra batida, carregando uma prancheta. À direita, sobre um muro mais baixo, visualiza-se aparato azul com o texto/rótulo ALFATERM. Marcador numérico "3 3 '03" no canto inferior direito.</t>
  </si>
  <si>
    <t>Este item pertencia à pasta intitulada "caixa-d'água 2".</t>
  </si>
  <si>
    <t>Muro divisório com pichações sutis e técnico apontando fissura.</t>
  </si>
  <si>
    <t>Fotografia panorâmica de um extenso muro divisório com pintura clara desgastada, apresentando manchas escuras de umidade no topo e na base, além de pichações esmaecidas. À direita, um técnico de camisa branca, calça jeans e óculos escuros segura uma prancheta e aponta fissura vertical no muro. À esquerda, outro homem caminha em direção oposta. O primeiro plano é de terra vermelha irregular. Marcador numérico "3 3 '03" no canto inferior direito.</t>
  </si>
  <si>
    <t>Vistoria de fenda estrutural entre muros de divisa.</t>
  </si>
  <si>
    <t>Imagem detalhando o encontro entre duas estruturas de alvenaria: um muro de revestimento claro à esquerda e uma parede com pintura escura à direita. O técnico responsável, portando prancheta, utiliza uma caneta para apontar fenda que separa fisicamente as duas construções. O solo contém terra avermelhada e restos de vegetação. Marcador numérico "3 3 '03" alinhado verticalmente na lateral inferior esquerda.</t>
  </si>
  <si>
    <t>Detalhe de avarias no reboco com exposição de alvenaria.</t>
  </si>
  <si>
    <t>Plano fechado de um trecho de muro com revestimento claro envelhecido. A superfície apresenta falhas do reboco, expondo a estrutura interna de tijolos avermelhados. Observam-se também respingos de tinta preta espessos na parede. A base do muro é margeada por vegetação rasteira crescendo sobre o solo. Marcador numérico "3 3 '03" alinhado verticalmente na lateral inferior esquerda.</t>
  </si>
  <si>
    <t>Técnico apontando extensa fissura vertical em muro.</t>
  </si>
  <si>
    <t>Fotografia focada no técnico realizando vistoria estrutural. Ele aponta com uma caneta para uma longa e sinuosa trinca vertical que se estende do topo (onde há telhas e manchas de umidade escuras) até o centro de um muro claro. Na parte inferior da parede, há inscrições grossas em tinta preta. Marcador numérico "3 3 '03" alinhado verticalmente na lateral inferior esquerda.</t>
  </si>
  <si>
    <t>Vistoria de trinca vertical.</t>
  </si>
  <si>
    <t>Imagem muito semelhante à 0004-005, com pequena alteração de ângulo, mostrando o mesmo profissional apontando para um trecho inferior da mesma fissura vertical no muro claro. Na base da imagem, sobressai uma pichação em tinta avermelhada com os dizeres parciais "AQUEIRO". Marcador numérico "3 3 '03" alinhado verticalmente na lateral inferior esquerda.</t>
  </si>
  <si>
    <t>Técnico indicando ruptura com desprendimento de reboco.</t>
  </si>
  <si>
    <t>Fotografia de corpo inteiro do técnico inspecionando um dano severo no muro divisório. Ele aponta para uma falha estrutural diagonal/vertical onde grande parte do reboco cedeu, expondo os tijolos de forma irregular. No solo, junto ao muro, há terra escavada, uma estaca de madeira, uma mangueira de nível transparente e um saco plástico com materiais. Marcador numérico "3 3 '03" alinhado verticalmente na lateral inferior esquerda.</t>
  </si>
  <si>
    <t>Técnico encostado em quina de muro com buracos profundos.</t>
  </si>
  <si>
    <t>O técnico apoia-se e aponta para a quina divisória de um muro de revestimento claro. No trecho adjacente do muro frontal, registram-se duas falhas significativas e profundas no reboco, que deixam exposta a alvenaria de tijolos e tubulações/ferragens internas. O primeiro plano é uma vala escavada com pedaços de madeira e vegetação solta. Marcador numérico "3 3 '03" alinhado verticalmente na lateral inferior esquerda.</t>
  </si>
  <si>
    <t>Extensa fachada lateral com equipe em terreno de obras.</t>
  </si>
  <si>
    <t>Imagem em plano muito aberto capturando uma longa e alta fachada lateral (empena) de reboco acinzentado, arrematada por telhas no topo. A parede exibe desgaste, umidade e pichações brancas quase apagadas. À esquerda, o técnico conversa com outro indivíduo de camisa clara. À direita, um operário de capacete amarelo é registrado de costas. O canteiro incipiente apresenta terra revolvida e formas de madeira no solo. Marcador numérico "3 3 '03" no canto inferior direito.</t>
  </si>
  <si>
    <t>Detalhe superior de empena cega com tijolos laterais expostos.</t>
  </si>
  <si>
    <t>Plano fechado no canto superior direito de uma empena de alvenaria. A superfície cinza apresenta forte acúmulo de manchas de umidade escuras na faixa rente ao telhado. Ao longo de toda a borda lateral direita, o reboco está quebrado, expondo os tijolos vermelhos estruturais de forma irregular. Fundo composto por céu azul e nuvens claras. Marcador numérico "3 3 '03" no canto inferior direito.</t>
  </si>
  <si>
    <t>Detalhe de revestimento de muro divisório com manchas e escorrimentos escuros.</t>
  </si>
  <si>
    <t>Plano fechado detalhando a superfície de um muro divisório de alvenaria. O reboco claro apresenta forte degradação, exibindo extensas manchas de umidade, escorrimentos verticais de substância escura (possivelmente piche ou tinta), manchas avermelhadas indicativas de oxidação, fissuras estruturais e duas áreas com pintura azul sobreposta irregularmente. Marcador numérico "3 3 '03" no canto inferior direito.</t>
  </si>
  <si>
    <t>Detalhe de avarias, umidade e oxidação em superfície de muro.</t>
  </si>
  <si>
    <t>Imagem em plano fechado retratando outra seção do muro divisório degradado. A superfície texturizada revela marcas e sulcos horizontais no reboco, manchas espessas de escorrimento escuro concentradas na parte inferior, manchas de oxidação avermelhada na lateral direita e uma mancha escura isolada no centro. Marcador numérico "3 3 '03" no canto inferior direito.</t>
  </si>
  <si>
    <t>Muro divisório bipartido e vala para fundação no canteiro.</t>
  </si>
  <si>
    <t>Fotografia focada em um longo muro de divisa que apresenta duas metades com estéticas distintas: a inferior com reboco claro descascado e a superior composta por blocos de concreto escurecidos. No primeiro plano, observa-se o solo do canteiro de obras, contendo uma vala linear, formas de madeira e armações de ferro (ferragens) preparadas para a concretagem de fundações (baldrames). Marcador numérico "3 3 '03" no canto inferior direito.</t>
  </si>
  <si>
    <t>Muro de divisa com proteção superior e vala de fundação.</t>
  </si>
  <si>
    <t>Vista ao nível do solo mostrando a continuidade do muro divisório, cuja borda superior é arrematada por uma estrutura protetora linear (possível rufo metálico ou calha). Atrás do muro, desponta o telhado de telhas cerâmicas de uma residência contígua. À esquerda, ergue-se uma empena com pintura clara envelhecida. O primeiro plano mantém o registro da vala de escavação com formas de madeira e ferragens estruturais expostas no terreno avermelhado. Marcador numérico "3 3 '03" no canto inferior direito.</t>
  </si>
  <si>
    <t>Amplo muro divisório degradado e ferragens dispersas no solo.</t>
  </si>
  <si>
    <t>Imagem em plano aberto registrando a extensão de um alto muro de divisa. A estrutura apresenta intenso escurecimento na metade superior e reboco claro desgastado na inferior, além de uma marcação em tinta vermelha à direita. Atrás do muro, à esquerda, vê-se o telhado de um imóvel. O canteiro de obras em primeiro plano exibe o solo de terra com escavações e diversas armações de ferro cilíndricas e retangulares (gaiolas) posicionadas para o início das fundações. Marcador numérico "3 3 '03" no canto inferior direito.</t>
  </si>
  <si>
    <t>Ruptura de revestimento em muro revelando blocos de concreto.</t>
  </si>
  <si>
    <t>Fotografia detalhando um trecho do muro divisório. No entorno, observam-se tijolos avermelhados igualmente expostos. Acima, visualizam-se telhados das casas vizinhas. No primeiro plano, valas e armações de ferro compõem a preparação da obra. Marcador numérico "3 3 '03" no canto inferior direito.</t>
  </si>
  <si>
    <t>Exposição de alvenaria estrutural e tubulações em muro divisório.</t>
  </si>
  <si>
    <t>Vista de um segmento do muro de separação caracterizado por múltiplas camadas construtivas e avarias. Destacam-se grandes áreas sem reboco na parte superior e central, revelando tijolos cerâmicos de diferentes tipos. Duas extremidades de tubos de PVC projetam-se horizontalmente da parede. O trecho à esquerda apresenta revestimento texturizado amarelado. O solo em primeiro plano contém terra revolvida, restos de madeira e ferragens. Marcador numérico "3 3 '03" no canto inferior direito.</t>
  </si>
  <si>
    <t>Operários trabalhando em escavação junto a muros de divisa.</t>
  </si>
  <si>
    <t>Fotografia registrando dois trabalhadores da construção civil operando na base de um muro divisório em uma área escavada. Eles utilizam capacetes de segurança (vermelho e amarelo) e manuseiam o solo revolvido. O ambiente é delimitado por muros de diferentes acabamentos (reboco liso e texturizado amarelo) e uma grande extensão superior de tijolos expostos pertencente à edificação vizinha. Pilhas de terra e armações de ferro dominam o primeiro plano. Marcador numérico "3 3 '03" no canto inferior direito.</t>
  </si>
  <si>
    <t>Fachada de imóvel residencial com placa de venda na via pública.</t>
  </si>
  <si>
    <t>Vista a partir da rua retratando a fachada de propriedades residenciais no bairro adjacente à área de intervenção. O imóvel central possui acabamento frontal em tijolos aparentes, telhado cerâmico, porta e portão gradeado com molduras brancas, exibindo uma placa de "VENDE". À esquerda, observa-se uma área coberta em obras; à direita, um muro branco com portão metálico verde. Via asfaltada e fiação elétrica compõem o cenário urbano. Marcador numérico "3 3 '03" no canto inferior direito.</t>
  </si>
  <si>
    <t>Residência em reforma com escoramento de laje e caçamba de entulho.</t>
  </si>
  <si>
    <t>Fotografia capturada na via pública registrando uma residência vizinha em processo de reforma. A fachada apresenta a estrutura de uma laje frontal recém-concretada ou em preparação, sustentada por diversas escoras de madeira improvisadas atrás de um portão de grades escuras. Uma pessoa é parcialmente visível no interior. No primeiro plano, ocupando parte do asfalto, há uma grande caçamba metálica branca e laranja cheia de entulhos. Marcador numérico "3 3 '03" no canto inferior direito.</t>
  </si>
  <si>
    <t>Fachada de garagem residencial com dois veículos.</t>
  </si>
  <si>
    <t>Pasta: 0003</t>
  </si>
  <si>
    <t>Vista a partir da rua de uma propriedade residencial com fachada clara. Destaca-se uma garagem ampla fechada por um portão metálico gradeado de cor clara, através do qual são visíveis dois automóveis estacionados. À esquerda, observa-se a fachada de um edifício adjacente com um portão metálico liso e cinzento. Marcador numérico "3 3 '03" no canto inferior direito.</t>
  </si>
  <si>
    <t>Fachada contínua de edificações na via pública.</t>
  </si>
  <si>
    <t>Fotografia captada ao nível da rua mostrando a fachada contínua e branca de uma edificação de feição comercial ou de serviços. Apresenta dois acessos principais: à esquerda, portas metálicas de enrolar com sinais de oxidação e, à direita, um portão metálico duplo de cor cinzenta. Estacionado na via, do lado esquerdo, encontra-se um veículo ligeiro branco. Sinais de trânsito e postes com cablagem elétrica são visíveis no passeio. Marcador numérico "3 3 '03" no canto inferior direito.</t>
  </si>
  <si>
    <t>Fachada de habitação térrea com portão gradeado.</t>
  </si>
  <si>
    <t>Vista frontal de uma habitação térrea localizada no bairro adjacente à área de demolição. A casa apresenta telhado cerâmico e um alpendre coberto por chapas onduladas (fibrocimento). O acesso é delimitado por um portão metálico gradeado de cor clara, revelando paredes revestidas com azulejos de padrão geométrico no interior do pátio. Marcador numérico "3 3 '03" no canto inferior direito.</t>
  </si>
  <si>
    <t>Entrada de moradia parcialmente encoberta por árvore.</t>
  </si>
  <si>
    <t>Fotografia ao nível da via pública registando as fachadas de residências vizinhas. Do lado esquerdo, a imagem é dominada pela copa volumosa de uma árvore que oculta parcialmente um portão metálico branco com desenhos diagonais. À direita, observa-se outro portão gradeado sob uma pala de fibrocimento, dando acesso a um pátio residencial. Marcador numérico "3 3 '03" no canto inferior direito.</t>
  </si>
  <si>
    <t>Portão residencial metálico com veículo no interior.</t>
  </si>
  <si>
    <t>Imagem muito semelhante à 0003-024, focando no portão metálico branco de uma moradia, o qual apresenta um design com elementos vazados em linhas diagonais que formam losangos. No interior da garagem, percebe-se a presença de um automóvel branco. O lado direito do enquadramento é parcialmente preenchido pelo tronco e ramagem de uma árvore situada na calçada. Marcador numérico "3 3 '03" no canto inferior direito.</t>
  </si>
  <si>
    <t>Vista dos pavilhões prisionais preparados para demolição.</t>
  </si>
  <si>
    <t>Fotografia ao nível do solo revelando um amplo canteiro de obras em terra vermelha nivelada no primeiro plano. Ao fundo, erguem-se três pavilhões da Casa de Detenção do Carandiru. Os dois edifícios mais próximos têm a sua metade inferior envolvida por extensas telas brancas de proteção (pavilhões 2 e 5), evidenciando a preparação estrutural para o processo de implosão controlada. Fundo composto por céu azul sem nuvens. Existe um outdoor retangular largo vermelho na área externa, anunciando o "Parque da Juventude" e os dizeres "venha praticar a liberdade". Na lateral dele, o logo do governo do estado de São Paulo.</t>
  </si>
  <si>
    <t>A foto "car15" não existe no diretório original. 
Este item pertencia ao caminho: "Carandiru -Nico (seleção 2005)" &gt; "fotos".
Nos metadados da fotografia (campo Data de criação), indica-se que sua criação se deu no 22/09/2005. A data indicada no campo "Data da fotografia" do presente dataset retrata o data exata do clique fotográfico.</t>
  </si>
  <si>
    <t>Acionamento do comando de implosão pelas autoridades.</t>
  </si>
  <si>
    <t>Fotografia captada ao nível do solo mostrando um grupo de homens, de costas e de perfil, a observar os pavilhões prisionais. No centro, destaca-se uma figura institucional (identificável como o então governador do Estado de São Paulo, Geraldo Alkimin) a operar um dispositivo detonador de comando manual, colocado sobre um suporte metálico. Ao fundo, vislumbram-se os blocos prisionais envoltos nas telas brancas de proteção, instantes antes da demolição. Existe um outdoor retangular largo vermelho na área externa, anunciando o "Parque da Juventude" e os dizeres "venha praticar a liberdade". Na lateral dele, o logo do governo do estado de São Paulo.</t>
  </si>
  <si>
    <t>Vista aérea panorâmica do complexo prisional antes da implosão.</t>
  </si>
  <si>
    <t>Imagem aérea em plano geral abrangendo o complexo da Casa de Detenção do Carandiru e a envolvente urbana de São Paulo. No pátio interno, delimitado por muros, encontram-se quatro grandes blocos prisionais. Os dois edifícios no primeiro plano têm as coberturas e as bases envolvidas por telas brancas contendo as inscrições "ARCOENGE" e "CDI". Em baixo, visualiza-se o muro perimetral confrontante com a via pública. Existe um outdoor retangular largo vermelho na área externa, anunciando o "Parque da Juventude" e os dizeres "venha praticar a liberdade". Na lateral dele, o logo do governo do estado de São Paulo.</t>
  </si>
  <si>
    <t>Início do processo de implosão dos pavilhões prisionais.</t>
  </si>
  <si>
    <t>Fotografia aérea captada no exato momento da detonação dos pavilhões 2 e 5. O edifício situado à direita encontra-se na fase inicial de colapso estrutural, com a tela branca da cobertura a insuflar acentuadamente devido à pressão do ar interno. Simultaneamente, densas nuvens de poeira e detritos expandem-se rapidamente a partir das bases e das janelas de ambos os blocos do primeiro plano. O horizonte urbano ao fundo permanece inalterado. Existe um outdoor retangular largo vermelho na área externa, anunciando o "Parque da Juventude" e os dizeres "venha praticar a liberdade". Na lateral dele, o logo do governo do estado de São Paulo.</t>
  </si>
  <si>
    <t>Colapso estrutural dos pavilhões prisionais durante a implosão.</t>
  </si>
  <si>
    <t>Imagem aérea sequencial à anterior, documentando o progresso da implosão. Os pavilhões 2 e 5 no primeiro plano encontram-se em colapso evidente, a ceder sobre as próprias fundações num movimento vertical. Grandes volumes de poeira espessa dominam a base e o perímetro das estruturas, ocultando os andares inferiores, enquanto as enormes telas brancas de proteção nas coberturas continuam fortemente insufladas e a deformar-se à medida que os edifícios colapsam. Existe um outdoor retangular largo vermelho, na área externa, anunciando o "Parque da Juventude" e os dizeres "venha praticar a liberdade". Na lateral dele, o logo do governo do estado de São Paulo.</t>
  </si>
  <si>
    <t>Vista aérea panorâmica do colapso dos pavilhões durante a implosão.</t>
  </si>
  <si>
    <t>Imagem aérea registrando o momento avançado da implosão dos pavilhões 2 e 5 da Casa de Detenção do Carandiru. As estruturas colapsam sobre si mesmas, gerando imensas nuvens de poeira que se expandem rapidamente pelo terreno avermelhado. As telas brancas de proteção continuam visíveis, inflando sobre as lajes em queda. Ao fundo, a malha urbana da cidade, o muro de contenção e os edifícios remanescentes do complexo permanecem visíveis. Existe um outdoor retangular largo vermelho, na área externa, anunciando o "Parque da Juventude" e os dizeres "venha praticar a liberdade". Na lateral dele, o logo do governo do estado de São Paulo.</t>
  </si>
  <si>
    <t>Autoridades observam a nuvem de poeira gerada pela implosão.</t>
  </si>
  <si>
    <t>Fotografia ao nível do solo capturando autoridades (incluindo o então governador de São Paulo) de costas, observando os instantes imediatamente após o acionamento dos explosivos. Uma densa nuvem de poeira marrom domina o fundo da imagem, encobrindo quase totalmente os edifícios em colapso. Um dos observadores à esquerda ergue o braço com o punho cerrado, em um gesto de celebração ou ênfase.</t>
  </si>
  <si>
    <t>Pavilhões reduzidos a escombros sob nuvem de poeira dissipando.</t>
  </si>
  <si>
    <t>Vista aérea retratando o cenário logo após a queda total dos dois pavilhões frontais. As estruturas encontram-se reduzidas a montanhas de escombros e lajes empilhadas sobre o terreno. Uma espessa nuvem de poeira ainda encobre grande parte do cenário e se desloca para a esquerda, impulsionada pelo vento, ocultando parcialmente a cidade ao fundo.</t>
  </si>
  <si>
    <t>Ruínas dos pavilhões após a completa dissipação da poeira.</t>
  </si>
  <si>
    <t>Fotografia aérea do canteiro de obras documentando o resultado final da implosão após a poeira baixar. Os dois pavilhões frontais estão completamente colapsados, restando apenas amontoados de escombros estruturais misturados às enormes telas brancas de proteção da empresa responsável. Ao fundo, isolados no pátio de terra cercado pelo muro perimetral, os outros pavilhões permanecem de pé.</t>
  </si>
  <si>
    <t>Compressor de ar industrial posicionado no canteiro de obras.</t>
  </si>
  <si>
    <t>Fotografia ao nível do solo detalhando um grande equipamento industrial rebocável, pintado de amarelo e preto, com as inscrições "ARCOENGE" e "XA 420 900 PCM" (tratando-se de um compressor de ar). O maquinário encontra-se estacionado sobre o terreno de terra batida e pedras, em frente à fachada de um pavilhão prisional parcialmente descaracterizado.</t>
  </si>
  <si>
    <t>Escavadeira com rompedor hidráulico demolindo paredes do pavilhão.</t>
  </si>
  <si>
    <t>Imagem registrando uma escavadeira de esteira laranja da empresa Arcoenge, equipada com um rompedor hidráulico, em atividade de demolição mecânica. O equipamento destrói a alvenaria da fachada de um pátio interno do pavilhão, gerando poeira e entulho na base. Na parede desgastada e esburacada, observam-se pinturas antigas feitas por detentos com inscrições como "Equipe Campeã do Circuito Paulista", "Luciano Caravalho-Pernambuco", "Academia", "Competição Freestyle" e "Vale Tudo".</t>
  </si>
  <si>
    <t>Demolição mecânica da estrutura de concreto de pavilhão prisional.</t>
  </si>
  <si>
    <t>Fotografia semelhante à 0004-011, mostrando a escavadeira laranja operando o rompedor hidráulico nos andares superiores do pavilhão prisional. O trabalho mecânico contínuo já removeu as paredes, expondo o "esqueleto" estrutural em formato de grelha de concreto do edifício (pilares e vigas). Uma coluna de poeira cai em direção ao solo repleto de escombros cerâmicos e concreto.</t>
  </si>
  <si>
    <t>Placa informativa sobre a implosão e demolição dos pavilhões.</t>
  </si>
  <si>
    <t>Imagem em plano fechado documentando uma placa de sinalização amarela da empresa Arcoenge. O texto institucional anuncia a "IMPLOSÃO E DEMOLIÇÃO ESPECIALIZADA DOS PAVILHÕES 2 E 5". A lona lista os nomes e os números de registro no CREA dos engenheiros responsáveis pela operação, além do telefone de contato e endereço eletrônico da empresa contratada.</t>
  </si>
  <si>
    <t>Vista externa de dois pavilhões da Casa de Detenção intactos.</t>
  </si>
  <si>
    <t>Fotografia captada ao nível do solo exibindo dois blocos prisionais de formato retangular, caracterizados por uma arquitetura rígida com múltiplas pequenas janelas quadradas gradeadas. O primeiro plano é dominado por um terreno em fase de obras preparatórias, apresentando terra revolvida, restos de entulho, mato rasteiro e barras de ferro espalhadas, compondo o cenário pré ou pós-demolição.</t>
  </si>
  <si>
    <t>Escavadeira em operação de desmanche estrutural nos andares superiores.</t>
  </si>
  <si>
    <t>Vista frontal de uma escavadeira laranja com o braço articulado totalmente estendido para o alto, utilizando um rompedor hidráulico para demolir as vigas do último pavimento da estrutura do pavilhão prisional. O edifício encontra-se reduzido ao seu esqueleto de concreto estrutural. O primeiro plano é densamente ocupado por montanhas de entulho, vergalhões de metal torcidos e fragmentos da construção.</t>
  </si>
  <si>
    <t>Trabalhador sobre escombros junto a escavadeira com rompedor hidráulico.</t>
  </si>
  <si>
    <t>Fotografia ao nível do solo mostrando uma escavadeira de esteira laranja da empresa Arcoenge, equipada com rompedor hidráulico, posicionada sobre uma grande montanha de escombros de concreto e ferragens. Um trabalhador com capacete de segurança branco e roupas de obra encontra-se em pé sobre os destroços, sob o braço articulado da máquina. Céu azul com nuvens esparsas ao fundo.</t>
  </si>
  <si>
    <t>Escavadeira fragmentando laje de concreto em canteiro de demolição.</t>
  </si>
  <si>
    <t>Imagem registrando uma escavadeira laranja a operar um rompedor hidráulico para fragmentar uma extensa laje de concreto tombada sobre uma pilha de escombros estruturais. No primeiro plano, nota-se terra batida e telas de proteção brancas recolhidas no solo. Ao fundo, à esquerda, observa-se a fachada de um pavilhão prisional ainda intacto.</t>
  </si>
  <si>
    <t>Demolição mecânica de muro de contenção junto à via pública.</t>
  </si>
  <si>
    <t>Fotografia captada a partir da via pública, que se encontra isolada por fita de segurança zebrada. Duas escavadeiras operam na demolição de um alto muro de contenção prisional. A máquina laranja, ao centro, utiliza um rompedor hidráulico para derrubar a estrutura vertical, enquanto uma escavadeira amarela, à esquerda, atua na movimentação dos escombros com a caçamba. À direita, vê-se a rua com postes de energia elétrica. Ao fundo, um pavilhão do presídio.</t>
  </si>
  <si>
    <t>Escavadeira derrubando segmento de muro de contenção prisional.</t>
  </si>
  <si>
    <t>Vista em plano mais fechado da operação de demolição do muro de contenção. A escavadeira laranja da Arcoenge aplica o rompedor hidráulico contra a estrutura de concreto armado do muro, provocando o colapso de fragmentos e exposição das ferragens internas. Imediatamente atrás da máquina, ergue-se a fachada de um dos pavilhões da Casa de Detenção, exibindo diversas janelas avariadas ou já sem caixilharia.</t>
  </si>
  <si>
    <t>Escavadeiras operando sobre escombros com torre de vigilância ao fundo.</t>
  </si>
  <si>
    <t>Fotografia mostrando duas escavadeiras laranjas da Arcoenge em operação sobre uma vasta montanha de escombros de demolição (concreto, tijolos e ferragens retorcidas). O equipamento em primeiro plano está com o braço articulado recolhido. Ao fundo, o amplo terreno do canteiro encontra-se nivelado com terra vermelha, delimitado pelo muro de contenção perimetral, onde se destaca uma torre de vigilância prisional (guarita). O horizonte é marcado por edifícios da cidade.</t>
  </si>
  <si>
    <t>Demolição de edificação secundária com operário próximo à máquina.</t>
  </si>
  <si>
    <t>Imagem de uma escavadeira laranja utilizando o rompedor hidráulico para demolir a estrutura superior (laje e cornija) de uma edificação prisional de menor porte. Um operário vestido de azul e com capacete caminha próximo às esteiras do equipamento, em meio aos escombros. Ao fundo, observam-se o muro perimetral, uma torre de vigilância e um edifício comercial de cor escura da malha urbana vizinha, sob céu nublado.</t>
  </si>
  <si>
    <t>Pavilhões remanescentes refletidos em poças d'água no canteiro.</t>
  </si>
  <si>
    <t>Fotografia em plano aberto documentando edifícios da Casa de Detenção que permaneceram de pé após a fase inicial de demolições. A luz incide sobre as fachadas marcadas por janelas gradeadas vazias e avarias pontuais. No primeiro plano, o extenso terreno de terra vermelha apresenta poças d'água que refletem a silhueta dos edifícios sob o céu claro. Montes de escombros encontram-se acumulados nas bases das estruturas.</t>
  </si>
  <si>
    <t>Fachada principal de pavilhão prisional com avarias e escombros na base.</t>
  </si>
  <si>
    <t>Vista frontal e aproximada de um dos  pavilhões prisionais remanescentes. A fachada retangular exibe dezenas de pequenas aberturas (celas), diversas delas com danos significativos na alvenaria circundante, indicando o início do desmanche. A base do edifício é rebocada e pintada de branco. O primeiro plano é ocupado por montanhas de terra escura, destroços de concreto, blocos e ferragens retorcidas.</t>
  </si>
  <si>
    <t>Miniescavadeira operando no interior de pavilhão em demolição.</t>
  </si>
  <si>
    <t>Fotografia captada a partir do interior de uma estrutura em processo de demolição mecânica. Um operador, utilizando máscara de proteção contra poeira e capacete, manobra uma miniescavadeira de esteira (branca e cinza) sobre os escombros internos, atuando na derrubada de paredes e lajes. Através das grandes aberturas escavadas na fachada do edifício, avista-se uma escavadeira laranja de grande porte da Arcoenge operando no exterior.</t>
  </si>
  <si>
    <t>Designação do conjunto documental (FUNDO)</t>
  </si>
  <si>
    <t>Conteúdo</t>
  </si>
  <si>
    <t>Obrigatório</t>
  </si>
  <si>
    <t>Opcional</t>
  </si>
  <si>
    <t>Fotografias</t>
  </si>
  <si>
    <t>Brasil</t>
  </si>
  <si>
    <t>São Paulo</t>
  </si>
  <si>
    <t>Demolição da Casa de Detenção Carandiru</t>
  </si>
  <si>
    <t>Iconográfico</t>
  </si>
  <si>
    <t>Fotografia</t>
  </si>
  <si>
    <t>Digitalizado</t>
  </si>
  <si>
    <t>Matriz bruta (produção manual)</t>
  </si>
  <si>
    <t>Pasta</t>
  </si>
  <si>
    <t>MT0</t>
  </si>
  <si>
    <t>0001
0002
0003
0004</t>
  </si>
  <si>
    <t>Vídeos</t>
  </si>
  <si>
    <t>0005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</si>
</sst>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28">
    <font>
      <sz val="10.0"/>
      <color rgb="FF000000"/>
      <name val="Arial"/>
      <scheme val="minor"/>
    </font>
    <font>
      <color theme="1"/>
      <name val="Arial"/>
    </font>
    <font>
      <b/>
      <color theme="1"/>
      <name val="Arial"/>
    </font>
    <font>
      <b/>
      <color rgb="FF000000"/>
      <name val="Arial"/>
    </font>
    <font/>
    <font>
      <color theme="4"/>
      <name val="Roboto Mono"/>
    </font>
    <font>
      <color rgb="FF000000"/>
      <name val="Roboto Mono"/>
    </font>
    <font>
      <color theme="8"/>
      <name val="Roboto Mono"/>
    </font>
    <font>
      <color rgb="FF34A853"/>
      <name val="Roboto Mono"/>
    </font>
    <font>
      <color rgb="FFEA4335"/>
      <name val="Roboto Mono"/>
    </font>
    <font>
      <color theme="5"/>
      <name val="Roboto Mono"/>
    </font>
    <font>
      <color rgb="FF073763"/>
      <name val="Roboto Mono"/>
    </font>
    <font>
      <sz val="10.0"/>
      <color rgb="FF073763"/>
      <name val="Roboto Mono"/>
    </font>
    <font>
      <sz val="11.0"/>
      <color rgb="FFFF6D01"/>
      <name val="Roboto Mono"/>
    </font>
    <font>
      <color rgb="FFFF9900"/>
      <name val="Roboto Mono"/>
    </font>
    <font>
      <color rgb="FFCC0000"/>
      <name val="Roboto Mono"/>
    </font>
    <font>
      <color theme="7"/>
      <name val="Roboto Mono"/>
    </font>
    <font>
      <color rgb="FF1155CC"/>
      <name val="Roboto Mono"/>
    </font>
    <font>
      <sz val="12.0"/>
      <color theme="1"/>
      <name val="Roboto Mono"/>
    </font>
    <font>
      <b/>
      <sz val="12.0"/>
      <color rgb="FFFFFFFF"/>
      <name val="Merriweather"/>
    </font>
    <font>
      <b/>
      <color rgb="FFFFFFFF"/>
      <name val="Merriweather"/>
    </font>
    <font>
      <sz val="12.0"/>
      <color rgb="FF000000"/>
      <name val="Roboto"/>
    </font>
    <font>
      <sz val="12.0"/>
      <color theme="1"/>
      <name val="Roboto"/>
    </font>
    <font>
      <sz val="12.0"/>
      <color rgb="FFFF9900"/>
      <name val="Roboto"/>
    </font>
    <font>
      <sz val="12.0"/>
      <color rgb="FF028BCD"/>
      <name val="Roboto"/>
    </font>
    <font>
      <sz val="11.0"/>
      <color theme="1"/>
      <name val="Cardo"/>
    </font>
    <font>
      <sz val="10.0"/>
      <color theme="1"/>
      <name val="Cardo"/>
    </font>
    <font>
      <sz val="11.0"/>
      <color rgb="FFFF0000"/>
      <name val="Cardo"/>
    </font>
  </fonts>
  <fills count="10">
    <fill>
      <patternFill patternType="none"/>
    </fill>
    <fill>
      <patternFill patternType="lightGray"/>
    </fill>
    <fill>
      <patternFill patternType="solid">
        <fgColor rgb="FFD9D9D9"/>
        <bgColor rgb="FFD9D9D9"/>
      </patternFill>
    </fill>
    <fill>
      <patternFill patternType="solid">
        <fgColor rgb="FFEFEFEF"/>
        <bgColor rgb="FFEFEFEF"/>
      </patternFill>
    </fill>
    <fill>
      <patternFill patternType="solid">
        <fgColor rgb="FFFFFFFF"/>
        <bgColor rgb="FFFFFFFF"/>
      </patternFill>
    </fill>
    <fill>
      <patternFill patternType="solid">
        <fgColor theme="6"/>
        <bgColor theme="6"/>
      </patternFill>
    </fill>
    <fill>
      <patternFill patternType="solid">
        <fgColor theme="4"/>
        <bgColor theme="4"/>
      </patternFill>
    </fill>
    <fill>
      <patternFill patternType="solid">
        <fgColor rgb="FF4285F4"/>
        <bgColor rgb="FF4285F4"/>
      </patternFill>
    </fill>
    <fill>
      <patternFill patternType="solid">
        <fgColor rgb="FFC6DBFF"/>
        <bgColor rgb="FFC6DBFF"/>
      </patternFill>
    </fill>
    <fill>
      <patternFill patternType="solid">
        <fgColor rgb="FFD0E0E3"/>
        <bgColor rgb="FFD0E0E3"/>
      </patternFill>
    </fill>
  </fills>
  <borders count="15">
    <border/>
    <border>
      <bottom style="thick">
        <color rgb="FF999999"/>
      </bottom>
    </border>
    <border>
      <right style="thin">
        <color rgb="FF999999"/>
      </right>
    </border>
    <border>
      <left style="thick">
        <color rgb="FF999999"/>
      </left>
      <right style="thick">
        <color rgb="FF999999"/>
      </right>
      <top style="thick">
        <color rgb="FF999999"/>
      </top>
    </border>
    <border>
      <left style="thick">
        <color rgb="FF999999"/>
      </left>
    </border>
    <border>
      <bottom style="thin">
        <color rgb="FF999999"/>
      </bottom>
    </border>
    <border>
      <top style="thin">
        <color rgb="FF999999"/>
      </top>
      <bottom style="thin">
        <color rgb="FF999999"/>
      </bottom>
    </border>
    <border>
      <top style="thin">
        <color rgb="FF999999"/>
      </top>
    </border>
    <border>
      <left style="thick">
        <color rgb="FF999999"/>
      </left>
      <top style="thick">
        <color rgb="FF999999"/>
      </top>
      <bottom style="thick">
        <color rgb="FF999999"/>
      </bottom>
    </border>
    <border>
      <top style="thick">
        <color rgb="FF999999"/>
      </top>
      <bottom style="thick">
        <color rgb="FF999999"/>
      </bottom>
    </border>
    <border>
      <right style="thick">
        <color rgb="FF999999"/>
      </right>
      <top style="thick">
        <color rgb="FF999999"/>
      </top>
      <bottom style="thick">
        <color rgb="FF999999"/>
      </bottom>
    </border>
    <border>
      <right style="thick">
        <color rgb="FF999999"/>
      </right>
    </border>
    <border>
      <left style="thick">
        <color rgb="FF999999"/>
      </left>
      <top style="thick">
        <color rgb="FF999999"/>
      </top>
    </border>
    <border>
      <left style="thick">
        <color rgb="FF999999"/>
      </left>
      <bottom style="thick">
        <color rgb="FF999999"/>
      </bottom>
    </border>
    <border>
      <right style="thick">
        <color rgb="FF999999"/>
      </right>
      <bottom style="thick">
        <color rgb="FF999999"/>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2" fontId="2" numFmtId="0" xfId="0" applyAlignment="1" applyBorder="1" applyFill="1" applyFont="1">
      <alignment horizontal="center" shrinkToFit="0" vertical="center" wrapText="1"/>
    </xf>
    <xf borderId="1" fillId="2" fontId="3" numFmtId="0" xfId="0" applyAlignment="1" applyBorder="1" applyFont="1">
      <alignment horizontal="center" shrinkToFit="0" vertical="center" wrapText="1"/>
    </xf>
    <xf borderId="1" fillId="0" fontId="4" numFmtId="0" xfId="0" applyBorder="1" applyFont="1"/>
    <xf borderId="1" fillId="2" fontId="1" numFmtId="0" xfId="0" applyAlignment="1" applyBorder="1" applyFont="1">
      <alignment horizontal="left" shrinkToFit="0" vertical="center" wrapText="1"/>
    </xf>
    <xf borderId="0" fillId="2" fontId="1" numFmtId="0" xfId="0" applyAlignment="1" applyFont="1">
      <alignment horizontal="center"/>
    </xf>
    <xf borderId="0" fillId="0" fontId="5" numFmtId="0" xfId="0" applyAlignment="1" applyFont="1">
      <alignment horizontal="center"/>
    </xf>
    <xf borderId="0" fillId="0" fontId="6" numFmtId="0" xfId="0" applyAlignment="1" applyFont="1">
      <alignment horizontal="center"/>
    </xf>
    <xf borderId="0" fillId="0" fontId="7" numFmtId="0" xfId="0" applyAlignment="1" applyFont="1">
      <alignment horizontal="center"/>
    </xf>
    <xf borderId="0" fillId="0" fontId="8" numFmtId="0" xfId="0" applyAlignment="1" applyFont="1">
      <alignment horizontal="center"/>
    </xf>
    <xf borderId="0" fillId="0" fontId="9" numFmtId="0" xfId="0" applyAlignment="1" applyFont="1">
      <alignment horizontal="center"/>
    </xf>
    <xf borderId="0" fillId="0" fontId="10" numFmtId="0" xfId="0" applyAlignment="1" applyFont="1">
      <alignment horizontal="center"/>
    </xf>
    <xf borderId="0" fillId="0" fontId="11" numFmtId="49" xfId="0" applyAlignment="1" applyFont="1" applyNumberFormat="1">
      <alignment horizontal="center"/>
    </xf>
    <xf borderId="2" fillId="0" fontId="11" numFmtId="49" xfId="0" applyAlignment="1" applyBorder="1" applyFont="1" applyNumberFormat="1">
      <alignment horizontal="center"/>
    </xf>
    <xf borderId="0" fillId="3" fontId="5" numFmtId="0" xfId="0" applyAlignment="1" applyFill="1" applyFont="1">
      <alignment horizontal="center"/>
    </xf>
    <xf borderId="0" fillId="3" fontId="6" numFmtId="0" xfId="0" applyAlignment="1" applyFont="1">
      <alignment horizontal="center"/>
    </xf>
    <xf borderId="0" fillId="3" fontId="7" numFmtId="0" xfId="0" applyAlignment="1" applyFont="1">
      <alignment horizontal="center"/>
    </xf>
    <xf borderId="0" fillId="3" fontId="8" numFmtId="0" xfId="0" applyAlignment="1" applyFont="1">
      <alignment horizontal="center"/>
    </xf>
    <xf borderId="0" fillId="3" fontId="10" numFmtId="0" xfId="0" applyAlignment="1" applyFont="1">
      <alignment horizontal="center"/>
    </xf>
    <xf borderId="0" fillId="3" fontId="11" numFmtId="49" xfId="0" applyAlignment="1" applyFont="1" applyNumberFormat="1">
      <alignment horizontal="center"/>
    </xf>
    <xf borderId="2" fillId="3" fontId="11" numFmtId="49" xfId="0" applyAlignment="1" applyBorder="1" applyFont="1" applyNumberFormat="1">
      <alignment horizontal="center"/>
    </xf>
    <xf borderId="2" fillId="0" fontId="12" numFmtId="49" xfId="0" applyAlignment="1" applyBorder="1" applyFont="1" applyNumberFormat="1">
      <alignment horizontal="center"/>
    </xf>
    <xf borderId="2" fillId="3" fontId="12" numFmtId="49" xfId="0" applyAlignment="1" applyBorder="1" applyFont="1" applyNumberFormat="1">
      <alignment horizontal="center"/>
    </xf>
    <xf borderId="0" fillId="0" fontId="13" numFmtId="0" xfId="0" applyAlignment="1" applyFont="1">
      <alignment horizontal="center"/>
    </xf>
    <xf borderId="0" fillId="3" fontId="7" numFmtId="49" xfId="0" applyAlignment="1" applyFont="1" applyNumberFormat="1">
      <alignment horizontal="center"/>
    </xf>
    <xf borderId="2" fillId="3" fontId="14" numFmtId="49" xfId="0" applyAlignment="1" applyBorder="1" applyFont="1" applyNumberFormat="1">
      <alignment horizontal="center"/>
    </xf>
    <xf borderId="0" fillId="0" fontId="7" numFmtId="49" xfId="0" applyAlignment="1" applyFont="1" applyNumberFormat="1">
      <alignment horizontal="center"/>
    </xf>
    <xf borderId="2" fillId="0" fontId="14" numFmtId="49" xfId="0" applyAlignment="1" applyBorder="1" applyFont="1" applyNumberFormat="1">
      <alignment horizontal="center"/>
    </xf>
    <xf borderId="0" fillId="0" fontId="15" numFmtId="49" xfId="0" applyAlignment="1" applyFont="1" applyNumberFormat="1">
      <alignment horizontal="center"/>
    </xf>
    <xf borderId="2" fillId="0" fontId="15" numFmtId="49" xfId="0" applyAlignment="1" applyBorder="1" applyFont="1" applyNumberFormat="1">
      <alignment horizontal="center"/>
    </xf>
    <xf borderId="0" fillId="3" fontId="15" numFmtId="49" xfId="0" applyAlignment="1" applyFont="1" applyNumberFormat="1">
      <alignment horizontal="center"/>
    </xf>
    <xf borderId="2" fillId="3" fontId="15" numFmtId="49" xfId="0" applyAlignment="1" applyBorder="1" applyFont="1" applyNumberFormat="1">
      <alignment horizontal="center"/>
    </xf>
    <xf borderId="0" fillId="3" fontId="16" numFmtId="49" xfId="0" applyAlignment="1" applyFont="1" applyNumberFormat="1">
      <alignment horizontal="center"/>
    </xf>
    <xf borderId="2" fillId="3" fontId="16" numFmtId="49" xfId="0" applyAlignment="1" applyBorder="1" applyFont="1" applyNumberFormat="1">
      <alignment horizontal="center"/>
    </xf>
    <xf borderId="0" fillId="0" fontId="16" numFmtId="49" xfId="0" applyAlignment="1" applyFont="1" applyNumberFormat="1">
      <alignment horizontal="center"/>
    </xf>
    <xf borderId="2" fillId="0" fontId="16" numFmtId="49" xfId="0" applyAlignment="1" applyBorder="1" applyFont="1" applyNumberFormat="1">
      <alignment horizontal="center"/>
    </xf>
    <xf borderId="2" fillId="3" fontId="17" numFmtId="49" xfId="0" applyAlignment="1" applyBorder="1" applyFont="1" applyNumberFormat="1">
      <alignment horizontal="center"/>
    </xf>
    <xf borderId="2" fillId="0" fontId="17" numFmtId="49" xfId="0" applyAlignment="1" applyBorder="1" applyFont="1" applyNumberFormat="1">
      <alignment horizontal="center"/>
    </xf>
    <xf borderId="0" fillId="4" fontId="10" numFmtId="0" xfId="0" applyAlignment="1" applyFill="1" applyFont="1">
      <alignment horizontal="center"/>
    </xf>
    <xf borderId="0" fillId="4" fontId="11" numFmtId="49" xfId="0" applyAlignment="1" applyFont="1" applyNumberFormat="1">
      <alignment horizontal="center"/>
    </xf>
    <xf borderId="2" fillId="4" fontId="11" numFmtId="49" xfId="0" applyAlignment="1" applyBorder="1" applyFont="1" applyNumberFormat="1">
      <alignment horizontal="center"/>
    </xf>
    <xf borderId="3" fillId="0" fontId="18" numFmtId="0" xfId="0" applyAlignment="1" applyBorder="1" applyFont="1">
      <alignment horizontal="center" vertical="center"/>
    </xf>
    <xf borderId="0" fillId="5" fontId="19" numFmtId="0" xfId="0" applyAlignment="1" applyFill="1" applyFont="1">
      <alignment horizontal="center" shrinkToFit="0" vertical="center" wrapText="1"/>
    </xf>
    <xf borderId="0" fillId="6" fontId="19" numFmtId="0" xfId="0" applyAlignment="1" applyFill="1" applyFont="1">
      <alignment horizontal="center" vertical="center"/>
    </xf>
    <xf borderId="0" fillId="6" fontId="19" numFmtId="0" xfId="0" applyAlignment="1" applyFont="1">
      <alignment horizontal="center" shrinkToFit="0" vertical="center" wrapText="1"/>
    </xf>
    <xf borderId="0" fillId="5" fontId="19" numFmtId="0" xfId="0" applyAlignment="1" applyFont="1">
      <alignment horizontal="center" vertical="center"/>
    </xf>
    <xf borderId="0" fillId="7" fontId="19" numFmtId="0" xfId="0" applyAlignment="1" applyFill="1" applyFont="1">
      <alignment horizontal="center" shrinkToFit="0" vertical="center" wrapText="1"/>
    </xf>
    <xf borderId="0" fillId="5" fontId="20" numFmtId="0" xfId="0" applyAlignment="1" applyFont="1">
      <alignment horizontal="center" vertical="center"/>
    </xf>
    <xf borderId="4" fillId="2" fontId="18" numFmtId="0" xfId="0" applyAlignment="1" applyBorder="1" applyFont="1">
      <alignment horizontal="center" vertical="center"/>
    </xf>
    <xf borderId="5" fillId="0" fontId="21" numFmtId="0" xfId="0" applyAlignment="1" applyBorder="1" applyFont="1">
      <alignment shrinkToFit="0" vertical="center" wrapText="1"/>
    </xf>
    <xf borderId="5" fillId="0" fontId="22" numFmtId="0" xfId="0" applyAlignment="1" applyBorder="1" applyFont="1">
      <alignment horizontal="center" vertical="center"/>
    </xf>
    <xf borderId="5" fillId="0" fontId="23" numFmtId="0" xfId="0" applyAlignment="1" applyBorder="1" applyFont="1">
      <alignment horizontal="center" vertical="center"/>
    </xf>
    <xf borderId="5" fillId="0" fontId="24" numFmtId="0" xfId="0" applyAlignment="1" applyBorder="1" applyFont="1">
      <alignment horizontal="center" shrinkToFit="0" vertical="center" wrapText="1"/>
    </xf>
    <xf borderId="5" fillId="0" fontId="22" numFmtId="0" xfId="0" applyAlignment="1" applyBorder="1" applyFont="1">
      <alignment horizontal="left" shrinkToFit="0" vertical="center" wrapText="1"/>
    </xf>
    <xf borderId="5" fillId="0" fontId="22" numFmtId="0" xfId="0" applyAlignment="1" applyBorder="1" applyFont="1">
      <alignment shrinkToFit="0" vertical="center" wrapText="1"/>
    </xf>
    <xf borderId="5" fillId="0" fontId="21" numFmtId="0" xfId="0" applyAlignment="1" applyBorder="1" applyFont="1">
      <alignment horizontal="center" shrinkToFit="0" vertical="center" wrapText="1"/>
    </xf>
    <xf borderId="5" fillId="8" fontId="18" numFmtId="0" xfId="0" applyAlignment="1" applyBorder="1" applyFill="1" applyFont="1">
      <alignment horizontal="center" shrinkToFit="0" vertical="center" wrapText="1"/>
    </xf>
    <xf borderId="5" fillId="8" fontId="22" numFmtId="0" xfId="0" applyAlignment="1" applyBorder="1" applyFont="1">
      <alignment shrinkToFit="0" vertical="center" wrapText="1"/>
    </xf>
    <xf borderId="5" fillId="0" fontId="22" numFmtId="0" xfId="0" applyAlignment="1" applyBorder="1" applyFont="1">
      <alignment horizontal="center" shrinkToFit="0" vertical="center" wrapText="1"/>
    </xf>
    <xf borderId="6" fillId="0" fontId="21" numFmtId="0" xfId="0" applyAlignment="1" applyBorder="1" applyFont="1">
      <alignment shrinkToFit="0" vertical="center" wrapText="1"/>
    </xf>
    <xf borderId="6" fillId="0" fontId="22" numFmtId="0" xfId="0" applyAlignment="1" applyBorder="1" applyFont="1">
      <alignment horizontal="center" vertical="center"/>
    </xf>
    <xf borderId="6" fillId="0" fontId="23" numFmtId="0" xfId="0" applyAlignment="1" applyBorder="1" applyFont="1">
      <alignment horizontal="center" vertical="center"/>
    </xf>
    <xf borderId="6" fillId="0" fontId="24" numFmtId="0" xfId="0" applyAlignment="1" applyBorder="1" applyFont="1">
      <alignment horizontal="center" shrinkToFit="0" vertical="center" wrapText="1"/>
    </xf>
    <xf borderId="6" fillId="0" fontId="22" numFmtId="0" xfId="0" applyAlignment="1" applyBorder="1" applyFont="1">
      <alignment shrinkToFit="0" vertical="center" wrapText="1"/>
    </xf>
    <xf borderId="6" fillId="8" fontId="18" numFmtId="0" xfId="0" applyAlignment="1" applyBorder="1" applyFont="1">
      <alignment horizontal="center" shrinkToFit="0" vertical="center" wrapText="1"/>
    </xf>
    <xf borderId="6" fillId="8" fontId="22" numFmtId="0" xfId="0" applyAlignment="1" applyBorder="1" applyFont="1">
      <alignment shrinkToFit="0" vertical="center" wrapText="1"/>
    </xf>
    <xf borderId="6" fillId="4" fontId="22" numFmtId="0" xfId="0" applyAlignment="1" applyBorder="1" applyFont="1">
      <alignment shrinkToFit="0" vertical="center" wrapText="1"/>
    </xf>
    <xf borderId="7" fillId="0" fontId="22" numFmtId="0" xfId="0" applyAlignment="1" applyBorder="1" applyFont="1">
      <alignment horizontal="center" vertical="center"/>
    </xf>
    <xf borderId="7" fillId="8" fontId="18" numFmtId="0" xfId="0" applyAlignment="1" applyBorder="1" applyFont="1">
      <alignment horizontal="center" shrinkToFit="0" vertical="center" wrapText="1"/>
    </xf>
    <xf borderId="7" fillId="0" fontId="22" numFmtId="0" xfId="0" applyAlignment="1" applyBorder="1" applyFont="1">
      <alignment shrinkToFit="0" vertical="center" wrapText="1"/>
    </xf>
    <xf borderId="7" fillId="8" fontId="22" numFmtId="0" xfId="0" applyAlignment="1" applyBorder="1" applyFont="1">
      <alignment shrinkToFit="0" vertical="center" wrapText="1"/>
    </xf>
    <xf borderId="5" fillId="0" fontId="21" numFmtId="164" xfId="0" applyAlignment="1" applyBorder="1" applyFont="1" applyNumberFormat="1">
      <alignment horizontal="center" vertical="center"/>
    </xf>
    <xf borderId="6" fillId="0" fontId="21" numFmtId="164" xfId="0" applyAlignment="1" applyBorder="1" applyFont="1" applyNumberFormat="1">
      <alignment horizontal="center" vertical="center"/>
    </xf>
    <xf borderId="0" fillId="0" fontId="1" numFmtId="0" xfId="0" applyAlignment="1" applyFont="1">
      <alignment vertical="center"/>
    </xf>
    <xf borderId="8" fillId="2" fontId="25" numFmtId="0" xfId="0" applyAlignment="1" applyBorder="1" applyFont="1">
      <alignment horizontal="center" shrinkToFit="0" vertical="center" wrapText="1"/>
    </xf>
    <xf borderId="9" fillId="2" fontId="25" numFmtId="0" xfId="0" applyAlignment="1" applyBorder="1" applyFont="1">
      <alignment horizontal="center" shrinkToFit="0" vertical="center" wrapText="1"/>
    </xf>
    <xf borderId="10" fillId="2" fontId="25" numFmtId="0" xfId="0" applyAlignment="1" applyBorder="1" applyFont="1">
      <alignment horizontal="center" shrinkToFit="0" vertical="center" wrapText="1"/>
    </xf>
    <xf borderId="0" fillId="0" fontId="26" numFmtId="0" xfId="0" applyAlignment="1" applyFont="1">
      <alignment horizontal="center" shrinkToFit="0" vertical="center" wrapText="1"/>
    </xf>
    <xf borderId="0" fillId="0" fontId="25" numFmtId="0" xfId="0" applyAlignment="1" applyFont="1">
      <alignment horizontal="center" shrinkToFit="0" vertical="center" wrapText="1"/>
    </xf>
    <xf borderId="4" fillId="0" fontId="25" numFmtId="0" xfId="0" applyAlignment="1" applyBorder="1" applyFont="1">
      <alignment horizontal="center" shrinkToFit="0" vertical="center" wrapText="1"/>
    </xf>
    <xf borderId="11" fillId="0" fontId="25" numFmtId="0" xfId="0" applyAlignment="1" applyBorder="1" applyFont="1">
      <alignment horizontal="center" shrinkToFit="0" vertical="center" wrapText="1"/>
    </xf>
    <xf borderId="12" fillId="2" fontId="25" numFmtId="0" xfId="0" applyAlignment="1" applyBorder="1" applyFont="1">
      <alignment horizontal="center" shrinkToFit="0" vertical="center" wrapText="1"/>
    </xf>
    <xf borderId="13" fillId="0" fontId="4" numFmtId="0" xfId="0" applyBorder="1" applyFont="1"/>
    <xf borderId="13" fillId="9" fontId="25" numFmtId="0" xfId="0" applyAlignment="1" applyBorder="1" applyFill="1" applyFont="1">
      <alignment horizontal="center" shrinkToFit="0" vertical="center" wrapText="1"/>
    </xf>
    <xf borderId="1" fillId="9" fontId="25" numFmtId="0" xfId="0" applyAlignment="1" applyBorder="1" applyFont="1">
      <alignment horizontal="center" shrinkToFit="0" vertical="center" wrapText="1"/>
    </xf>
    <xf borderId="14" fillId="9" fontId="25" numFmtId="49" xfId="0" applyAlignment="1" applyBorder="1" applyFont="1" applyNumberFormat="1">
      <alignment horizontal="center" shrinkToFit="0" vertical="center" wrapText="1"/>
    </xf>
    <xf borderId="0" fillId="0" fontId="27" numFmtId="0" xfId="0" applyAlignment="1" applyFont="1">
      <alignment horizontal="center" shrinkToFit="0" vertical="center" wrapText="1"/>
    </xf>
    <xf borderId="1" fillId="9" fontId="27" numFmtId="0" xfId="0" applyAlignment="1" applyBorder="1" applyFont="1">
      <alignment horizontal="center" shrinkToFit="0" vertical="center" wrapText="1"/>
    </xf>
    <xf borderId="0" fillId="0" fontId="26" numFmtId="0" xfId="0" applyFont="1"/>
    <xf borderId="0" fillId="0" fontId="26" numFmtId="0" xfId="0" applyAlignment="1" applyFont="1">
      <alignment horizontal="center"/>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5"/>
    <col customWidth="1" min="2" max="2" width="7.63"/>
    <col customWidth="1" min="3" max="3" width="1.75"/>
    <col customWidth="1" min="4" max="4" width="8.63"/>
    <col customWidth="1" min="5" max="5" width="12.63"/>
    <col customWidth="1" min="6" max="6" width="2.38"/>
    <col customWidth="1" min="8" max="8" width="2.63"/>
    <col customWidth="1" min="9" max="9" width="28.38"/>
    <col customWidth="1" min="10" max="10" width="1.88"/>
    <col customWidth="1" min="12" max="12" width="1.88"/>
    <col customWidth="1" min="14" max="14" width="1.88"/>
    <col customWidth="1" min="15" max="15" width="11.63"/>
    <col customWidth="1" min="16" max="16" width="1.88"/>
    <col customWidth="1" min="17" max="17" width="11.88"/>
    <col customWidth="1" min="18" max="18" width="1.88"/>
    <col customWidth="1" min="19" max="20" width="14.63"/>
    <col customWidth="1" min="21" max="21" width="7.38"/>
  </cols>
  <sheetData>
    <row r="1" ht="50.25" customHeight="1">
      <c r="A1" s="1"/>
      <c r="B1" s="2" t="s">
        <v>0</v>
      </c>
      <c r="C1" s="3"/>
      <c r="D1" s="2" t="s">
        <v>1</v>
      </c>
      <c r="E1" s="2" t="s">
        <v>2</v>
      </c>
      <c r="F1" s="3"/>
      <c r="G1" s="2" t="s">
        <v>3</v>
      </c>
      <c r="H1" s="3"/>
      <c r="I1" s="3" t="s">
        <v>4</v>
      </c>
      <c r="J1" s="3"/>
      <c r="K1" s="2" t="s">
        <v>5</v>
      </c>
      <c r="L1" s="3"/>
      <c r="M1" s="2" t="s">
        <v>6</v>
      </c>
      <c r="N1" s="3"/>
      <c r="O1" s="2" t="s">
        <v>7</v>
      </c>
      <c r="P1" s="3"/>
      <c r="Q1" s="2" t="s">
        <v>8</v>
      </c>
      <c r="R1" s="3"/>
      <c r="S1" s="2" t="s">
        <v>9</v>
      </c>
      <c r="T1" s="4"/>
      <c r="U1" s="5"/>
    </row>
    <row r="2" ht="15.75" customHeight="1">
      <c r="A2" s="6">
        <v>1.0</v>
      </c>
      <c r="B2" s="7" t="s">
        <v>10</v>
      </c>
      <c r="C2" s="8" t="s">
        <v>11</v>
      </c>
      <c r="D2" s="7" t="s">
        <v>12</v>
      </c>
      <c r="E2" s="9" t="s">
        <v>13</v>
      </c>
      <c r="F2" s="8" t="s">
        <v>14</v>
      </c>
      <c r="G2" s="9" t="s">
        <v>15</v>
      </c>
      <c r="H2" s="8" t="s">
        <v>11</v>
      </c>
      <c r="I2" s="10" t="s">
        <v>16</v>
      </c>
      <c r="J2" s="8" t="s">
        <v>14</v>
      </c>
      <c r="K2" s="11" t="s">
        <v>17</v>
      </c>
      <c r="L2" s="8" t="s">
        <v>11</v>
      </c>
      <c r="M2" s="12" t="s">
        <v>18</v>
      </c>
      <c r="N2" s="8" t="s">
        <v>11</v>
      </c>
      <c r="O2" s="12" t="s">
        <v>19</v>
      </c>
      <c r="P2" s="8" t="s">
        <v>11</v>
      </c>
      <c r="Q2" s="12" t="s">
        <v>20</v>
      </c>
      <c r="R2" s="8" t="s">
        <v>14</v>
      </c>
      <c r="S2" s="13" t="s">
        <v>21</v>
      </c>
      <c r="T2" s="14" t="s">
        <v>22</v>
      </c>
      <c r="U2" s="14" t="s">
        <v>23</v>
      </c>
    </row>
    <row r="3" ht="15.75" customHeight="1">
      <c r="A3" s="6">
        <v>2.0</v>
      </c>
      <c r="B3" s="15" t="s">
        <v>10</v>
      </c>
      <c r="C3" s="16" t="s">
        <v>11</v>
      </c>
      <c r="D3" s="15" t="s">
        <v>12</v>
      </c>
      <c r="E3" s="17" t="s">
        <v>13</v>
      </c>
      <c r="F3" s="16" t="s">
        <v>14</v>
      </c>
      <c r="G3" s="17" t="s">
        <v>15</v>
      </c>
      <c r="H3" s="16" t="s">
        <v>11</v>
      </c>
      <c r="I3" s="18" t="s">
        <v>16</v>
      </c>
      <c r="J3" s="16" t="s">
        <v>14</v>
      </c>
      <c r="K3" s="19" t="s">
        <v>17</v>
      </c>
      <c r="L3" s="16" t="s">
        <v>11</v>
      </c>
      <c r="M3" s="19" t="s">
        <v>18</v>
      </c>
      <c r="N3" s="16" t="s">
        <v>11</v>
      </c>
      <c r="O3" s="19" t="s">
        <v>19</v>
      </c>
      <c r="P3" s="16" t="s">
        <v>11</v>
      </c>
      <c r="Q3" s="19" t="s">
        <v>20</v>
      </c>
      <c r="R3" s="16" t="s">
        <v>14</v>
      </c>
      <c r="S3" s="20" t="s">
        <v>21</v>
      </c>
      <c r="T3" s="21" t="s">
        <v>24</v>
      </c>
      <c r="U3" s="21" t="s">
        <v>23</v>
      </c>
    </row>
    <row r="4" ht="15.75" customHeight="1">
      <c r="A4" s="6">
        <v>3.0</v>
      </c>
      <c r="B4" s="7" t="s">
        <v>10</v>
      </c>
      <c r="C4" s="8" t="s">
        <v>11</v>
      </c>
      <c r="D4" s="7" t="s">
        <v>12</v>
      </c>
      <c r="E4" s="9" t="s">
        <v>13</v>
      </c>
      <c r="F4" s="8" t="s">
        <v>14</v>
      </c>
      <c r="G4" s="9" t="s">
        <v>15</v>
      </c>
      <c r="H4" s="8" t="s">
        <v>11</v>
      </c>
      <c r="I4" s="10" t="s">
        <v>16</v>
      </c>
      <c r="J4" s="8" t="s">
        <v>14</v>
      </c>
      <c r="K4" s="12" t="s">
        <v>17</v>
      </c>
      <c r="L4" s="8" t="s">
        <v>11</v>
      </c>
      <c r="M4" s="12" t="s">
        <v>18</v>
      </c>
      <c r="N4" s="8" t="s">
        <v>11</v>
      </c>
      <c r="O4" s="12" t="s">
        <v>19</v>
      </c>
      <c r="P4" s="8" t="s">
        <v>11</v>
      </c>
      <c r="Q4" s="12" t="s">
        <v>20</v>
      </c>
      <c r="R4" s="8" t="s">
        <v>14</v>
      </c>
      <c r="S4" s="13" t="s">
        <v>21</v>
      </c>
      <c r="T4" s="14" t="s">
        <v>25</v>
      </c>
      <c r="U4" s="14" t="s">
        <v>23</v>
      </c>
    </row>
    <row r="5" ht="15.75" customHeight="1">
      <c r="A5" s="6">
        <v>4.0</v>
      </c>
      <c r="B5" s="15" t="s">
        <v>10</v>
      </c>
      <c r="C5" s="16" t="s">
        <v>11</v>
      </c>
      <c r="D5" s="15" t="s">
        <v>12</v>
      </c>
      <c r="E5" s="17" t="s">
        <v>13</v>
      </c>
      <c r="F5" s="16" t="s">
        <v>14</v>
      </c>
      <c r="G5" s="17" t="s">
        <v>15</v>
      </c>
      <c r="H5" s="16" t="s">
        <v>11</v>
      </c>
      <c r="I5" s="18" t="s">
        <v>16</v>
      </c>
      <c r="J5" s="16" t="s">
        <v>14</v>
      </c>
      <c r="K5" s="19" t="s">
        <v>17</v>
      </c>
      <c r="L5" s="16" t="s">
        <v>11</v>
      </c>
      <c r="M5" s="19" t="s">
        <v>18</v>
      </c>
      <c r="N5" s="16" t="s">
        <v>11</v>
      </c>
      <c r="O5" s="19" t="s">
        <v>19</v>
      </c>
      <c r="P5" s="16" t="s">
        <v>11</v>
      </c>
      <c r="Q5" s="19" t="s">
        <v>20</v>
      </c>
      <c r="R5" s="16" t="s">
        <v>14</v>
      </c>
      <c r="S5" s="20" t="s">
        <v>21</v>
      </c>
      <c r="T5" s="21" t="s">
        <v>26</v>
      </c>
      <c r="U5" s="21" t="s">
        <v>23</v>
      </c>
    </row>
    <row r="6" ht="15.75" customHeight="1">
      <c r="A6" s="6">
        <v>5.0</v>
      </c>
      <c r="B6" s="7" t="s">
        <v>10</v>
      </c>
      <c r="C6" s="8" t="s">
        <v>11</v>
      </c>
      <c r="D6" s="7" t="s">
        <v>12</v>
      </c>
      <c r="E6" s="9" t="s">
        <v>13</v>
      </c>
      <c r="F6" s="8" t="s">
        <v>14</v>
      </c>
      <c r="G6" s="9" t="s">
        <v>15</v>
      </c>
      <c r="H6" s="8" t="s">
        <v>11</v>
      </c>
      <c r="I6" s="10" t="s">
        <v>16</v>
      </c>
      <c r="J6" s="8" t="s">
        <v>14</v>
      </c>
      <c r="K6" s="12" t="s">
        <v>17</v>
      </c>
      <c r="L6" s="8" t="s">
        <v>11</v>
      </c>
      <c r="M6" s="12" t="s">
        <v>18</v>
      </c>
      <c r="N6" s="8" t="s">
        <v>11</v>
      </c>
      <c r="O6" s="12" t="s">
        <v>19</v>
      </c>
      <c r="P6" s="8" t="s">
        <v>11</v>
      </c>
      <c r="Q6" s="12" t="s">
        <v>20</v>
      </c>
      <c r="R6" s="8" t="s">
        <v>14</v>
      </c>
      <c r="S6" s="13" t="s">
        <v>21</v>
      </c>
      <c r="T6" s="14" t="s">
        <v>27</v>
      </c>
      <c r="U6" s="14" t="s">
        <v>23</v>
      </c>
    </row>
    <row r="7" ht="15.75" customHeight="1">
      <c r="A7" s="6">
        <v>6.0</v>
      </c>
      <c r="B7" s="15" t="s">
        <v>10</v>
      </c>
      <c r="C7" s="16" t="s">
        <v>11</v>
      </c>
      <c r="D7" s="15" t="s">
        <v>12</v>
      </c>
      <c r="E7" s="17" t="s">
        <v>13</v>
      </c>
      <c r="F7" s="16" t="s">
        <v>14</v>
      </c>
      <c r="G7" s="17" t="s">
        <v>15</v>
      </c>
      <c r="H7" s="16" t="s">
        <v>11</v>
      </c>
      <c r="I7" s="18" t="s">
        <v>16</v>
      </c>
      <c r="J7" s="16" t="s">
        <v>14</v>
      </c>
      <c r="K7" s="19" t="s">
        <v>17</v>
      </c>
      <c r="L7" s="16" t="s">
        <v>11</v>
      </c>
      <c r="M7" s="19" t="s">
        <v>18</v>
      </c>
      <c r="N7" s="16" t="s">
        <v>11</v>
      </c>
      <c r="O7" s="19" t="s">
        <v>19</v>
      </c>
      <c r="P7" s="16" t="s">
        <v>11</v>
      </c>
      <c r="Q7" s="19" t="s">
        <v>20</v>
      </c>
      <c r="R7" s="16" t="s">
        <v>14</v>
      </c>
      <c r="S7" s="20" t="s">
        <v>21</v>
      </c>
      <c r="T7" s="21" t="s">
        <v>28</v>
      </c>
      <c r="U7" s="21" t="s">
        <v>23</v>
      </c>
    </row>
    <row r="8" ht="15.75" customHeight="1">
      <c r="A8" s="6">
        <v>7.0</v>
      </c>
      <c r="B8" s="7" t="s">
        <v>10</v>
      </c>
      <c r="C8" s="8" t="s">
        <v>11</v>
      </c>
      <c r="D8" s="7" t="s">
        <v>12</v>
      </c>
      <c r="E8" s="9" t="s">
        <v>13</v>
      </c>
      <c r="F8" s="8" t="s">
        <v>14</v>
      </c>
      <c r="G8" s="9" t="s">
        <v>15</v>
      </c>
      <c r="H8" s="8" t="s">
        <v>11</v>
      </c>
      <c r="I8" s="10" t="s">
        <v>16</v>
      </c>
      <c r="J8" s="8" t="s">
        <v>14</v>
      </c>
      <c r="K8" s="12" t="s">
        <v>17</v>
      </c>
      <c r="L8" s="8" t="s">
        <v>11</v>
      </c>
      <c r="M8" s="12" t="s">
        <v>18</v>
      </c>
      <c r="N8" s="8" t="s">
        <v>11</v>
      </c>
      <c r="O8" s="12" t="s">
        <v>19</v>
      </c>
      <c r="P8" s="8" t="s">
        <v>11</v>
      </c>
      <c r="Q8" s="12" t="s">
        <v>20</v>
      </c>
      <c r="R8" s="8" t="s">
        <v>14</v>
      </c>
      <c r="S8" s="13" t="s">
        <v>21</v>
      </c>
      <c r="T8" s="22" t="s">
        <v>29</v>
      </c>
      <c r="U8" s="14" t="s">
        <v>23</v>
      </c>
    </row>
    <row r="9" ht="15.75" customHeight="1">
      <c r="A9" s="6">
        <v>8.0</v>
      </c>
      <c r="B9" s="15" t="s">
        <v>10</v>
      </c>
      <c r="C9" s="16" t="s">
        <v>11</v>
      </c>
      <c r="D9" s="15" t="s">
        <v>12</v>
      </c>
      <c r="E9" s="17" t="s">
        <v>13</v>
      </c>
      <c r="F9" s="16" t="s">
        <v>14</v>
      </c>
      <c r="G9" s="17" t="s">
        <v>15</v>
      </c>
      <c r="H9" s="16" t="s">
        <v>11</v>
      </c>
      <c r="I9" s="18" t="s">
        <v>16</v>
      </c>
      <c r="J9" s="16" t="s">
        <v>14</v>
      </c>
      <c r="K9" s="19" t="s">
        <v>17</v>
      </c>
      <c r="L9" s="16" t="s">
        <v>11</v>
      </c>
      <c r="M9" s="19" t="s">
        <v>18</v>
      </c>
      <c r="N9" s="16" t="s">
        <v>11</v>
      </c>
      <c r="O9" s="19" t="s">
        <v>19</v>
      </c>
      <c r="P9" s="16" t="s">
        <v>11</v>
      </c>
      <c r="Q9" s="19" t="s">
        <v>20</v>
      </c>
      <c r="R9" s="16" t="s">
        <v>14</v>
      </c>
      <c r="S9" s="20" t="s">
        <v>21</v>
      </c>
      <c r="T9" s="23" t="s">
        <v>30</v>
      </c>
      <c r="U9" s="21" t="s">
        <v>23</v>
      </c>
    </row>
    <row r="10" ht="15.75" customHeight="1">
      <c r="A10" s="6">
        <v>9.0</v>
      </c>
      <c r="B10" s="7" t="s">
        <v>10</v>
      </c>
      <c r="C10" s="8" t="s">
        <v>11</v>
      </c>
      <c r="D10" s="7" t="s">
        <v>12</v>
      </c>
      <c r="E10" s="9" t="s">
        <v>13</v>
      </c>
      <c r="F10" s="8" t="s">
        <v>14</v>
      </c>
      <c r="G10" s="9" t="s">
        <v>15</v>
      </c>
      <c r="H10" s="8" t="s">
        <v>11</v>
      </c>
      <c r="I10" s="10" t="s">
        <v>16</v>
      </c>
      <c r="J10" s="8" t="s">
        <v>14</v>
      </c>
      <c r="K10" s="12" t="s">
        <v>17</v>
      </c>
      <c r="L10" s="8" t="s">
        <v>11</v>
      </c>
      <c r="M10" s="12" t="s">
        <v>18</v>
      </c>
      <c r="N10" s="8" t="s">
        <v>11</v>
      </c>
      <c r="O10" s="12" t="s">
        <v>19</v>
      </c>
      <c r="P10" s="8" t="s">
        <v>11</v>
      </c>
      <c r="Q10" s="12" t="s">
        <v>20</v>
      </c>
      <c r="R10" s="8" t="s">
        <v>14</v>
      </c>
      <c r="S10" s="13" t="s">
        <v>21</v>
      </c>
      <c r="T10" s="22" t="s">
        <v>31</v>
      </c>
      <c r="U10" s="14" t="s">
        <v>23</v>
      </c>
    </row>
    <row r="11" ht="15.75" customHeight="1">
      <c r="A11" s="6">
        <v>10.0</v>
      </c>
      <c r="B11" s="15" t="s">
        <v>10</v>
      </c>
      <c r="C11" s="16" t="s">
        <v>11</v>
      </c>
      <c r="D11" s="15" t="s">
        <v>12</v>
      </c>
      <c r="E11" s="17" t="s">
        <v>13</v>
      </c>
      <c r="F11" s="16" t="s">
        <v>14</v>
      </c>
      <c r="G11" s="17" t="s">
        <v>15</v>
      </c>
      <c r="H11" s="16" t="s">
        <v>11</v>
      </c>
      <c r="I11" s="18" t="s">
        <v>16</v>
      </c>
      <c r="J11" s="16" t="s">
        <v>14</v>
      </c>
      <c r="K11" s="19" t="s">
        <v>17</v>
      </c>
      <c r="L11" s="16" t="s">
        <v>11</v>
      </c>
      <c r="M11" s="19" t="s">
        <v>18</v>
      </c>
      <c r="N11" s="16" t="s">
        <v>11</v>
      </c>
      <c r="O11" s="19" t="s">
        <v>19</v>
      </c>
      <c r="P11" s="16" t="s">
        <v>11</v>
      </c>
      <c r="Q11" s="19" t="s">
        <v>20</v>
      </c>
      <c r="R11" s="16" t="s">
        <v>14</v>
      </c>
      <c r="S11" s="20" t="s">
        <v>21</v>
      </c>
      <c r="T11" s="23" t="s">
        <v>32</v>
      </c>
      <c r="U11" s="21" t="s">
        <v>23</v>
      </c>
    </row>
    <row r="12" ht="15.75" customHeight="1">
      <c r="A12" s="6">
        <v>11.0</v>
      </c>
      <c r="B12" s="7" t="s">
        <v>10</v>
      </c>
      <c r="C12" s="8" t="s">
        <v>11</v>
      </c>
      <c r="D12" s="7" t="s">
        <v>12</v>
      </c>
      <c r="E12" s="9" t="s">
        <v>13</v>
      </c>
      <c r="F12" s="8" t="s">
        <v>14</v>
      </c>
      <c r="G12" s="9" t="s">
        <v>15</v>
      </c>
      <c r="H12" s="8" t="s">
        <v>11</v>
      </c>
      <c r="I12" s="10" t="s">
        <v>16</v>
      </c>
      <c r="J12" s="8" t="s">
        <v>14</v>
      </c>
      <c r="K12" s="12" t="s">
        <v>17</v>
      </c>
      <c r="L12" s="8" t="s">
        <v>11</v>
      </c>
      <c r="M12" s="12" t="s">
        <v>18</v>
      </c>
      <c r="N12" s="8" t="s">
        <v>11</v>
      </c>
      <c r="O12" s="12" t="s">
        <v>19</v>
      </c>
      <c r="P12" s="8" t="s">
        <v>11</v>
      </c>
      <c r="Q12" s="12" t="s">
        <v>20</v>
      </c>
      <c r="R12" s="8" t="s">
        <v>14</v>
      </c>
      <c r="S12" s="13" t="s">
        <v>21</v>
      </c>
      <c r="T12" s="22" t="s">
        <v>33</v>
      </c>
      <c r="U12" s="14" t="s">
        <v>23</v>
      </c>
    </row>
    <row r="13" ht="15.75" customHeight="1">
      <c r="A13" s="6">
        <v>12.0</v>
      </c>
      <c r="B13" s="15" t="s">
        <v>10</v>
      </c>
      <c r="C13" s="16" t="s">
        <v>11</v>
      </c>
      <c r="D13" s="15" t="s">
        <v>12</v>
      </c>
      <c r="E13" s="17" t="s">
        <v>13</v>
      </c>
      <c r="F13" s="16" t="s">
        <v>14</v>
      </c>
      <c r="G13" s="17" t="s">
        <v>15</v>
      </c>
      <c r="H13" s="16" t="s">
        <v>11</v>
      </c>
      <c r="I13" s="18" t="s">
        <v>16</v>
      </c>
      <c r="J13" s="16" t="s">
        <v>14</v>
      </c>
      <c r="K13" s="19" t="s">
        <v>17</v>
      </c>
      <c r="L13" s="16" t="s">
        <v>11</v>
      </c>
      <c r="M13" s="19" t="s">
        <v>18</v>
      </c>
      <c r="N13" s="16" t="s">
        <v>11</v>
      </c>
      <c r="O13" s="19" t="s">
        <v>19</v>
      </c>
      <c r="P13" s="16" t="s">
        <v>11</v>
      </c>
      <c r="Q13" s="19" t="s">
        <v>20</v>
      </c>
      <c r="R13" s="16" t="s">
        <v>14</v>
      </c>
      <c r="S13" s="20" t="s">
        <v>21</v>
      </c>
      <c r="T13" s="23" t="s">
        <v>34</v>
      </c>
      <c r="U13" s="21" t="s">
        <v>23</v>
      </c>
    </row>
    <row r="14" ht="15.75" customHeight="1">
      <c r="A14" s="6">
        <v>13.0</v>
      </c>
      <c r="B14" s="7" t="s">
        <v>10</v>
      </c>
      <c r="C14" s="8" t="s">
        <v>11</v>
      </c>
      <c r="D14" s="7" t="s">
        <v>12</v>
      </c>
      <c r="E14" s="9" t="s">
        <v>13</v>
      </c>
      <c r="F14" s="8" t="s">
        <v>14</v>
      </c>
      <c r="G14" s="9" t="s">
        <v>15</v>
      </c>
      <c r="H14" s="8" t="s">
        <v>11</v>
      </c>
      <c r="I14" s="10" t="s">
        <v>16</v>
      </c>
      <c r="J14" s="8" t="s">
        <v>14</v>
      </c>
      <c r="K14" s="12" t="s">
        <v>17</v>
      </c>
      <c r="L14" s="8" t="s">
        <v>11</v>
      </c>
      <c r="M14" s="12" t="s">
        <v>18</v>
      </c>
      <c r="N14" s="8" t="s">
        <v>11</v>
      </c>
      <c r="O14" s="12" t="s">
        <v>19</v>
      </c>
      <c r="P14" s="8" t="s">
        <v>11</v>
      </c>
      <c r="Q14" s="12" t="s">
        <v>20</v>
      </c>
      <c r="R14" s="8" t="s">
        <v>14</v>
      </c>
      <c r="S14" s="13" t="s">
        <v>21</v>
      </c>
      <c r="T14" s="22" t="s">
        <v>35</v>
      </c>
      <c r="U14" s="14" t="s">
        <v>23</v>
      </c>
    </row>
    <row r="15" ht="15.75" customHeight="1">
      <c r="A15" s="6">
        <v>14.0</v>
      </c>
      <c r="B15" s="15" t="s">
        <v>10</v>
      </c>
      <c r="C15" s="16" t="s">
        <v>11</v>
      </c>
      <c r="D15" s="15" t="s">
        <v>12</v>
      </c>
      <c r="E15" s="17" t="s">
        <v>13</v>
      </c>
      <c r="F15" s="16" t="s">
        <v>14</v>
      </c>
      <c r="G15" s="17" t="s">
        <v>15</v>
      </c>
      <c r="H15" s="16" t="s">
        <v>11</v>
      </c>
      <c r="I15" s="18" t="s">
        <v>16</v>
      </c>
      <c r="J15" s="16" t="s">
        <v>14</v>
      </c>
      <c r="K15" s="19" t="s">
        <v>17</v>
      </c>
      <c r="L15" s="16" t="s">
        <v>11</v>
      </c>
      <c r="M15" s="19" t="s">
        <v>18</v>
      </c>
      <c r="N15" s="16" t="s">
        <v>11</v>
      </c>
      <c r="O15" s="19" t="s">
        <v>19</v>
      </c>
      <c r="P15" s="16" t="s">
        <v>11</v>
      </c>
      <c r="Q15" s="19" t="s">
        <v>20</v>
      </c>
      <c r="R15" s="16" t="s">
        <v>14</v>
      </c>
      <c r="S15" s="20" t="s">
        <v>21</v>
      </c>
      <c r="T15" s="23" t="s">
        <v>36</v>
      </c>
      <c r="U15" s="21" t="s">
        <v>23</v>
      </c>
    </row>
    <row r="16" ht="15.75" customHeight="1">
      <c r="A16" s="6">
        <v>15.0</v>
      </c>
      <c r="B16" s="7" t="s">
        <v>10</v>
      </c>
      <c r="C16" s="8" t="s">
        <v>11</v>
      </c>
      <c r="D16" s="7" t="s">
        <v>12</v>
      </c>
      <c r="E16" s="9" t="s">
        <v>13</v>
      </c>
      <c r="F16" s="8" t="s">
        <v>14</v>
      </c>
      <c r="G16" s="24" t="s">
        <v>15</v>
      </c>
      <c r="H16" s="8" t="s">
        <v>11</v>
      </c>
      <c r="I16" s="10" t="s">
        <v>16</v>
      </c>
      <c r="J16" s="8" t="s">
        <v>14</v>
      </c>
      <c r="K16" s="12" t="s">
        <v>17</v>
      </c>
      <c r="L16" s="8" t="s">
        <v>11</v>
      </c>
      <c r="M16" s="12" t="s">
        <v>18</v>
      </c>
      <c r="N16" s="8" t="s">
        <v>11</v>
      </c>
      <c r="O16" s="12" t="s">
        <v>19</v>
      </c>
      <c r="P16" s="8" t="s">
        <v>11</v>
      </c>
      <c r="Q16" s="12" t="s">
        <v>20</v>
      </c>
      <c r="R16" s="8" t="s">
        <v>14</v>
      </c>
      <c r="S16" s="13" t="s">
        <v>21</v>
      </c>
      <c r="T16" s="22" t="s">
        <v>37</v>
      </c>
      <c r="U16" s="14" t="s">
        <v>23</v>
      </c>
    </row>
    <row r="17" ht="15.75" customHeight="1">
      <c r="A17" s="6">
        <v>16.0</v>
      </c>
      <c r="B17" s="15" t="s">
        <v>10</v>
      </c>
      <c r="C17" s="16" t="s">
        <v>11</v>
      </c>
      <c r="D17" s="15" t="s">
        <v>12</v>
      </c>
      <c r="E17" s="17" t="s">
        <v>13</v>
      </c>
      <c r="F17" s="16" t="s">
        <v>14</v>
      </c>
      <c r="G17" s="17" t="s">
        <v>15</v>
      </c>
      <c r="H17" s="16" t="s">
        <v>11</v>
      </c>
      <c r="I17" s="18" t="s">
        <v>16</v>
      </c>
      <c r="J17" s="16" t="s">
        <v>14</v>
      </c>
      <c r="K17" s="19" t="s">
        <v>17</v>
      </c>
      <c r="L17" s="16" t="s">
        <v>11</v>
      </c>
      <c r="M17" s="19" t="s">
        <v>18</v>
      </c>
      <c r="N17" s="16" t="s">
        <v>11</v>
      </c>
      <c r="O17" s="19" t="s">
        <v>19</v>
      </c>
      <c r="P17" s="16" t="s">
        <v>11</v>
      </c>
      <c r="Q17" s="19" t="s">
        <v>20</v>
      </c>
      <c r="R17" s="16" t="s">
        <v>14</v>
      </c>
      <c r="S17" s="20" t="s">
        <v>21</v>
      </c>
      <c r="T17" s="21" t="s">
        <v>38</v>
      </c>
      <c r="U17" s="21" t="s">
        <v>23</v>
      </c>
    </row>
    <row r="18" ht="15.75" customHeight="1">
      <c r="A18" s="6">
        <v>17.0</v>
      </c>
      <c r="B18" s="7" t="s">
        <v>10</v>
      </c>
      <c r="C18" s="8" t="s">
        <v>11</v>
      </c>
      <c r="D18" s="7" t="s">
        <v>12</v>
      </c>
      <c r="E18" s="9" t="s">
        <v>13</v>
      </c>
      <c r="F18" s="8" t="s">
        <v>14</v>
      </c>
      <c r="G18" s="9" t="s">
        <v>15</v>
      </c>
      <c r="H18" s="8" t="s">
        <v>11</v>
      </c>
      <c r="I18" s="10" t="s">
        <v>16</v>
      </c>
      <c r="J18" s="8" t="s">
        <v>14</v>
      </c>
      <c r="K18" s="12" t="s">
        <v>17</v>
      </c>
      <c r="L18" s="8" t="s">
        <v>11</v>
      </c>
      <c r="M18" s="12" t="s">
        <v>18</v>
      </c>
      <c r="N18" s="8" t="s">
        <v>11</v>
      </c>
      <c r="O18" s="12" t="s">
        <v>19</v>
      </c>
      <c r="P18" s="8" t="s">
        <v>11</v>
      </c>
      <c r="Q18" s="12" t="s">
        <v>20</v>
      </c>
      <c r="R18" s="8" t="s">
        <v>14</v>
      </c>
      <c r="S18" s="13" t="s">
        <v>21</v>
      </c>
      <c r="T18" s="14" t="s">
        <v>39</v>
      </c>
      <c r="U18" s="14" t="s">
        <v>23</v>
      </c>
    </row>
    <row r="19" ht="15.75" customHeight="1">
      <c r="A19" s="6">
        <v>18.0</v>
      </c>
      <c r="B19" s="15" t="s">
        <v>10</v>
      </c>
      <c r="C19" s="16" t="s">
        <v>11</v>
      </c>
      <c r="D19" s="15" t="s">
        <v>12</v>
      </c>
      <c r="E19" s="17" t="s">
        <v>13</v>
      </c>
      <c r="F19" s="16" t="s">
        <v>14</v>
      </c>
      <c r="G19" s="17" t="s">
        <v>15</v>
      </c>
      <c r="H19" s="16" t="s">
        <v>11</v>
      </c>
      <c r="I19" s="18" t="s">
        <v>16</v>
      </c>
      <c r="J19" s="16" t="s">
        <v>14</v>
      </c>
      <c r="K19" s="19" t="s">
        <v>17</v>
      </c>
      <c r="L19" s="16" t="s">
        <v>11</v>
      </c>
      <c r="M19" s="19" t="s">
        <v>18</v>
      </c>
      <c r="N19" s="16" t="s">
        <v>11</v>
      </c>
      <c r="O19" s="19" t="s">
        <v>19</v>
      </c>
      <c r="P19" s="16" t="s">
        <v>11</v>
      </c>
      <c r="Q19" s="19" t="s">
        <v>20</v>
      </c>
      <c r="R19" s="16" t="s">
        <v>14</v>
      </c>
      <c r="S19" s="20" t="s">
        <v>21</v>
      </c>
      <c r="T19" s="21" t="s">
        <v>40</v>
      </c>
      <c r="U19" s="21" t="s">
        <v>23</v>
      </c>
    </row>
    <row r="20" ht="15.75" customHeight="1">
      <c r="A20" s="6">
        <v>19.0</v>
      </c>
      <c r="B20" s="7" t="s">
        <v>10</v>
      </c>
      <c r="C20" s="8" t="s">
        <v>11</v>
      </c>
      <c r="D20" s="7" t="s">
        <v>12</v>
      </c>
      <c r="E20" s="9" t="s">
        <v>13</v>
      </c>
      <c r="F20" s="8" t="s">
        <v>14</v>
      </c>
      <c r="G20" s="9" t="s">
        <v>15</v>
      </c>
      <c r="H20" s="8" t="s">
        <v>11</v>
      </c>
      <c r="I20" s="10" t="s">
        <v>16</v>
      </c>
      <c r="J20" s="8" t="s">
        <v>14</v>
      </c>
      <c r="K20" s="12" t="s">
        <v>17</v>
      </c>
      <c r="L20" s="8" t="s">
        <v>11</v>
      </c>
      <c r="M20" s="12" t="s">
        <v>18</v>
      </c>
      <c r="N20" s="8" t="s">
        <v>11</v>
      </c>
      <c r="O20" s="12" t="s">
        <v>19</v>
      </c>
      <c r="P20" s="8" t="s">
        <v>11</v>
      </c>
      <c r="Q20" s="12" t="s">
        <v>20</v>
      </c>
      <c r="R20" s="8" t="s">
        <v>14</v>
      </c>
      <c r="S20" s="13" t="s">
        <v>21</v>
      </c>
      <c r="T20" s="14" t="s">
        <v>41</v>
      </c>
      <c r="U20" s="14" t="s">
        <v>23</v>
      </c>
    </row>
    <row r="21" ht="15.75" customHeight="1">
      <c r="A21" s="6">
        <v>20.0</v>
      </c>
      <c r="B21" s="15" t="s">
        <v>10</v>
      </c>
      <c r="C21" s="16" t="s">
        <v>11</v>
      </c>
      <c r="D21" s="15" t="s">
        <v>12</v>
      </c>
      <c r="E21" s="17" t="s">
        <v>13</v>
      </c>
      <c r="F21" s="16" t="s">
        <v>14</v>
      </c>
      <c r="G21" s="17" t="s">
        <v>15</v>
      </c>
      <c r="H21" s="16" t="s">
        <v>11</v>
      </c>
      <c r="I21" s="18" t="s">
        <v>16</v>
      </c>
      <c r="J21" s="16" t="s">
        <v>14</v>
      </c>
      <c r="K21" s="19" t="s">
        <v>17</v>
      </c>
      <c r="L21" s="16" t="s">
        <v>11</v>
      </c>
      <c r="M21" s="19" t="s">
        <v>18</v>
      </c>
      <c r="N21" s="16" t="s">
        <v>11</v>
      </c>
      <c r="O21" s="19" t="s">
        <v>19</v>
      </c>
      <c r="P21" s="16" t="s">
        <v>11</v>
      </c>
      <c r="Q21" s="19" t="s">
        <v>20</v>
      </c>
      <c r="R21" s="16" t="s">
        <v>14</v>
      </c>
      <c r="S21" s="20" t="s">
        <v>21</v>
      </c>
      <c r="T21" s="21" t="s">
        <v>42</v>
      </c>
      <c r="U21" s="21" t="s">
        <v>23</v>
      </c>
    </row>
    <row r="22" ht="15.75" customHeight="1">
      <c r="A22" s="6">
        <v>21.0</v>
      </c>
      <c r="B22" s="7" t="s">
        <v>10</v>
      </c>
      <c r="C22" s="8" t="s">
        <v>11</v>
      </c>
      <c r="D22" s="7" t="s">
        <v>12</v>
      </c>
      <c r="E22" s="9" t="s">
        <v>13</v>
      </c>
      <c r="F22" s="8" t="s">
        <v>14</v>
      </c>
      <c r="G22" s="9" t="s">
        <v>15</v>
      </c>
      <c r="H22" s="8" t="s">
        <v>11</v>
      </c>
      <c r="I22" s="10" t="s">
        <v>16</v>
      </c>
      <c r="J22" s="8" t="s">
        <v>14</v>
      </c>
      <c r="K22" s="12" t="s">
        <v>17</v>
      </c>
      <c r="L22" s="8" t="s">
        <v>11</v>
      </c>
      <c r="M22" s="12" t="s">
        <v>18</v>
      </c>
      <c r="N22" s="8" t="s">
        <v>11</v>
      </c>
      <c r="O22" s="12" t="s">
        <v>19</v>
      </c>
      <c r="P22" s="8" t="s">
        <v>11</v>
      </c>
      <c r="Q22" s="12" t="s">
        <v>20</v>
      </c>
      <c r="R22" s="8" t="s">
        <v>14</v>
      </c>
      <c r="S22" s="13" t="s">
        <v>21</v>
      </c>
      <c r="T22" s="14" t="s">
        <v>43</v>
      </c>
      <c r="U22" s="14" t="s">
        <v>23</v>
      </c>
    </row>
    <row r="23" ht="15.75" customHeight="1">
      <c r="A23" s="6">
        <v>22.0</v>
      </c>
      <c r="B23" s="15" t="s">
        <v>10</v>
      </c>
      <c r="C23" s="16" t="s">
        <v>11</v>
      </c>
      <c r="D23" s="15" t="s">
        <v>12</v>
      </c>
      <c r="E23" s="17" t="s">
        <v>13</v>
      </c>
      <c r="F23" s="16" t="s">
        <v>14</v>
      </c>
      <c r="G23" s="17" t="s">
        <v>15</v>
      </c>
      <c r="H23" s="16" t="s">
        <v>11</v>
      </c>
      <c r="I23" s="18" t="s">
        <v>16</v>
      </c>
      <c r="J23" s="16" t="s">
        <v>14</v>
      </c>
      <c r="K23" s="19" t="s">
        <v>17</v>
      </c>
      <c r="L23" s="16" t="s">
        <v>11</v>
      </c>
      <c r="M23" s="19" t="s">
        <v>18</v>
      </c>
      <c r="N23" s="16" t="s">
        <v>11</v>
      </c>
      <c r="O23" s="19" t="s">
        <v>19</v>
      </c>
      <c r="P23" s="16" t="s">
        <v>11</v>
      </c>
      <c r="Q23" s="19" t="s">
        <v>20</v>
      </c>
      <c r="R23" s="16" t="s">
        <v>14</v>
      </c>
      <c r="S23" s="20" t="s">
        <v>21</v>
      </c>
      <c r="T23" s="21" t="s">
        <v>44</v>
      </c>
      <c r="U23" s="21" t="s">
        <v>23</v>
      </c>
    </row>
    <row r="24" ht="15.75" customHeight="1">
      <c r="A24" s="6">
        <v>23.0</v>
      </c>
      <c r="B24" s="7" t="s">
        <v>10</v>
      </c>
      <c r="C24" s="8" t="s">
        <v>11</v>
      </c>
      <c r="D24" s="7" t="s">
        <v>12</v>
      </c>
      <c r="E24" s="9" t="s">
        <v>13</v>
      </c>
      <c r="F24" s="8" t="s">
        <v>14</v>
      </c>
      <c r="G24" s="9" t="s">
        <v>15</v>
      </c>
      <c r="H24" s="8" t="s">
        <v>11</v>
      </c>
      <c r="I24" s="10" t="s">
        <v>16</v>
      </c>
      <c r="J24" s="8" t="s">
        <v>14</v>
      </c>
      <c r="K24" s="12" t="s">
        <v>17</v>
      </c>
      <c r="L24" s="8" t="s">
        <v>11</v>
      </c>
      <c r="M24" s="12" t="s">
        <v>18</v>
      </c>
      <c r="N24" s="8" t="s">
        <v>11</v>
      </c>
      <c r="O24" s="12" t="s">
        <v>19</v>
      </c>
      <c r="P24" s="8" t="s">
        <v>11</v>
      </c>
      <c r="Q24" s="12" t="s">
        <v>20</v>
      </c>
      <c r="R24" s="8" t="s">
        <v>14</v>
      </c>
      <c r="S24" s="13" t="s">
        <v>21</v>
      </c>
      <c r="T24" s="14" t="s">
        <v>45</v>
      </c>
      <c r="U24" s="14" t="s">
        <v>23</v>
      </c>
    </row>
    <row r="25" ht="15.75" customHeight="1">
      <c r="A25" s="6">
        <v>24.0</v>
      </c>
      <c r="B25" s="15" t="s">
        <v>10</v>
      </c>
      <c r="C25" s="16" t="s">
        <v>11</v>
      </c>
      <c r="D25" s="15" t="s">
        <v>12</v>
      </c>
      <c r="E25" s="17" t="s">
        <v>13</v>
      </c>
      <c r="F25" s="16" t="s">
        <v>14</v>
      </c>
      <c r="G25" s="17" t="s">
        <v>15</v>
      </c>
      <c r="H25" s="16" t="s">
        <v>11</v>
      </c>
      <c r="I25" s="18" t="s">
        <v>16</v>
      </c>
      <c r="J25" s="16" t="s">
        <v>14</v>
      </c>
      <c r="K25" s="19" t="s">
        <v>17</v>
      </c>
      <c r="L25" s="16" t="s">
        <v>11</v>
      </c>
      <c r="M25" s="19" t="s">
        <v>18</v>
      </c>
      <c r="N25" s="16" t="s">
        <v>11</v>
      </c>
      <c r="O25" s="19" t="s">
        <v>19</v>
      </c>
      <c r="P25" s="16" t="s">
        <v>11</v>
      </c>
      <c r="Q25" s="19" t="s">
        <v>20</v>
      </c>
      <c r="R25" s="16" t="s">
        <v>14</v>
      </c>
      <c r="S25" s="20" t="s">
        <v>21</v>
      </c>
      <c r="T25" s="21" t="s">
        <v>46</v>
      </c>
      <c r="U25" s="21" t="s">
        <v>23</v>
      </c>
    </row>
    <row r="26" ht="15.75" customHeight="1">
      <c r="A26" s="6">
        <v>25.0</v>
      </c>
      <c r="B26" s="7" t="s">
        <v>10</v>
      </c>
      <c r="C26" s="8" t="s">
        <v>11</v>
      </c>
      <c r="D26" s="7" t="s">
        <v>12</v>
      </c>
      <c r="E26" s="9" t="s">
        <v>13</v>
      </c>
      <c r="F26" s="8" t="s">
        <v>14</v>
      </c>
      <c r="G26" s="9" t="s">
        <v>15</v>
      </c>
      <c r="H26" s="8" t="s">
        <v>11</v>
      </c>
      <c r="I26" s="10" t="s">
        <v>16</v>
      </c>
      <c r="J26" s="8" t="s">
        <v>14</v>
      </c>
      <c r="K26" s="12" t="s">
        <v>17</v>
      </c>
      <c r="L26" s="8" t="s">
        <v>11</v>
      </c>
      <c r="M26" s="12" t="s">
        <v>18</v>
      </c>
      <c r="N26" s="8" t="s">
        <v>11</v>
      </c>
      <c r="O26" s="12" t="s">
        <v>19</v>
      </c>
      <c r="P26" s="8" t="s">
        <v>11</v>
      </c>
      <c r="Q26" s="12" t="s">
        <v>20</v>
      </c>
      <c r="R26" s="8" t="s">
        <v>14</v>
      </c>
      <c r="S26" s="13" t="s">
        <v>21</v>
      </c>
      <c r="T26" s="14" t="s">
        <v>47</v>
      </c>
      <c r="U26" s="14" t="s">
        <v>23</v>
      </c>
    </row>
    <row r="27" ht="15.75" customHeight="1">
      <c r="A27" s="6">
        <v>26.0</v>
      </c>
      <c r="B27" s="15" t="s">
        <v>10</v>
      </c>
      <c r="C27" s="16" t="s">
        <v>11</v>
      </c>
      <c r="D27" s="15" t="s">
        <v>12</v>
      </c>
      <c r="E27" s="17" t="s">
        <v>13</v>
      </c>
      <c r="F27" s="16" t="s">
        <v>14</v>
      </c>
      <c r="G27" s="17" t="s">
        <v>15</v>
      </c>
      <c r="H27" s="16" t="s">
        <v>11</v>
      </c>
      <c r="I27" s="18" t="s">
        <v>16</v>
      </c>
      <c r="J27" s="16" t="s">
        <v>14</v>
      </c>
      <c r="K27" s="19" t="s">
        <v>17</v>
      </c>
      <c r="L27" s="16" t="s">
        <v>11</v>
      </c>
      <c r="M27" s="19" t="s">
        <v>18</v>
      </c>
      <c r="N27" s="16" t="s">
        <v>11</v>
      </c>
      <c r="O27" s="19" t="s">
        <v>19</v>
      </c>
      <c r="P27" s="16" t="s">
        <v>11</v>
      </c>
      <c r="Q27" s="19" t="s">
        <v>20</v>
      </c>
      <c r="R27" s="16" t="s">
        <v>14</v>
      </c>
      <c r="S27" s="20" t="s">
        <v>21</v>
      </c>
      <c r="T27" s="21" t="s">
        <v>48</v>
      </c>
      <c r="U27" s="21" t="s">
        <v>23</v>
      </c>
    </row>
    <row r="28" ht="15.75" customHeight="1">
      <c r="A28" s="6">
        <v>27.0</v>
      </c>
      <c r="B28" s="7" t="s">
        <v>10</v>
      </c>
      <c r="C28" s="8" t="s">
        <v>11</v>
      </c>
      <c r="D28" s="7" t="s">
        <v>12</v>
      </c>
      <c r="E28" s="9" t="s">
        <v>13</v>
      </c>
      <c r="F28" s="8" t="s">
        <v>14</v>
      </c>
      <c r="G28" s="9" t="s">
        <v>15</v>
      </c>
      <c r="H28" s="8" t="s">
        <v>11</v>
      </c>
      <c r="I28" s="10" t="s">
        <v>16</v>
      </c>
      <c r="J28" s="8" t="s">
        <v>14</v>
      </c>
      <c r="K28" s="12" t="s">
        <v>17</v>
      </c>
      <c r="L28" s="8" t="s">
        <v>11</v>
      </c>
      <c r="M28" s="12" t="s">
        <v>18</v>
      </c>
      <c r="N28" s="8" t="s">
        <v>11</v>
      </c>
      <c r="O28" s="12" t="s">
        <v>19</v>
      </c>
      <c r="P28" s="8" t="s">
        <v>11</v>
      </c>
      <c r="Q28" s="12" t="s">
        <v>20</v>
      </c>
      <c r="R28" s="8" t="s">
        <v>14</v>
      </c>
      <c r="S28" s="13" t="s">
        <v>21</v>
      </c>
      <c r="T28" s="14" t="s">
        <v>49</v>
      </c>
      <c r="U28" s="14" t="s">
        <v>23</v>
      </c>
    </row>
    <row r="29" ht="15.75" customHeight="1">
      <c r="A29" s="6">
        <v>28.0</v>
      </c>
      <c r="B29" s="15" t="s">
        <v>10</v>
      </c>
      <c r="C29" s="16" t="s">
        <v>11</v>
      </c>
      <c r="D29" s="15" t="s">
        <v>12</v>
      </c>
      <c r="E29" s="17" t="s">
        <v>13</v>
      </c>
      <c r="F29" s="16" t="s">
        <v>14</v>
      </c>
      <c r="G29" s="17" t="s">
        <v>15</v>
      </c>
      <c r="H29" s="16" t="s">
        <v>11</v>
      </c>
      <c r="I29" s="18" t="s">
        <v>16</v>
      </c>
      <c r="J29" s="16" t="s">
        <v>14</v>
      </c>
      <c r="K29" s="19" t="s">
        <v>17</v>
      </c>
      <c r="L29" s="16" t="s">
        <v>11</v>
      </c>
      <c r="M29" s="19" t="s">
        <v>18</v>
      </c>
      <c r="N29" s="16" t="s">
        <v>11</v>
      </c>
      <c r="O29" s="19" t="s">
        <v>19</v>
      </c>
      <c r="P29" s="16" t="s">
        <v>11</v>
      </c>
      <c r="Q29" s="19" t="s">
        <v>20</v>
      </c>
      <c r="R29" s="16" t="s">
        <v>14</v>
      </c>
      <c r="S29" s="20" t="s">
        <v>21</v>
      </c>
      <c r="T29" s="21" t="s">
        <v>50</v>
      </c>
      <c r="U29" s="21" t="s">
        <v>23</v>
      </c>
    </row>
    <row r="30" ht="15.75" customHeight="1">
      <c r="A30" s="6">
        <v>29.0</v>
      </c>
      <c r="B30" s="7" t="s">
        <v>10</v>
      </c>
      <c r="C30" s="8" t="s">
        <v>11</v>
      </c>
      <c r="D30" s="7" t="s">
        <v>12</v>
      </c>
      <c r="E30" s="9" t="s">
        <v>13</v>
      </c>
      <c r="F30" s="8" t="s">
        <v>14</v>
      </c>
      <c r="G30" s="9" t="s">
        <v>15</v>
      </c>
      <c r="H30" s="8" t="s">
        <v>11</v>
      </c>
      <c r="I30" s="10" t="s">
        <v>16</v>
      </c>
      <c r="J30" s="8" t="s">
        <v>14</v>
      </c>
      <c r="K30" s="12" t="s">
        <v>17</v>
      </c>
      <c r="L30" s="8" t="s">
        <v>11</v>
      </c>
      <c r="M30" s="12" t="s">
        <v>18</v>
      </c>
      <c r="N30" s="8" t="s">
        <v>11</v>
      </c>
      <c r="O30" s="12" t="s">
        <v>19</v>
      </c>
      <c r="P30" s="8" t="s">
        <v>11</v>
      </c>
      <c r="Q30" s="12" t="s">
        <v>20</v>
      </c>
      <c r="R30" s="8" t="s">
        <v>14</v>
      </c>
      <c r="S30" s="13" t="s">
        <v>21</v>
      </c>
      <c r="T30" s="14" t="s">
        <v>51</v>
      </c>
      <c r="U30" s="14" t="s">
        <v>23</v>
      </c>
    </row>
    <row r="31" ht="15.75" customHeight="1">
      <c r="A31" s="6">
        <v>30.0</v>
      </c>
      <c r="B31" s="15" t="s">
        <v>10</v>
      </c>
      <c r="C31" s="16" t="s">
        <v>11</v>
      </c>
      <c r="D31" s="15" t="s">
        <v>12</v>
      </c>
      <c r="E31" s="17" t="s">
        <v>13</v>
      </c>
      <c r="F31" s="16" t="s">
        <v>14</v>
      </c>
      <c r="G31" s="17" t="s">
        <v>15</v>
      </c>
      <c r="H31" s="16" t="s">
        <v>11</v>
      </c>
      <c r="I31" s="18" t="s">
        <v>16</v>
      </c>
      <c r="J31" s="16" t="s">
        <v>14</v>
      </c>
      <c r="K31" s="19" t="s">
        <v>17</v>
      </c>
      <c r="L31" s="16" t="s">
        <v>11</v>
      </c>
      <c r="M31" s="19" t="s">
        <v>18</v>
      </c>
      <c r="N31" s="16" t="s">
        <v>11</v>
      </c>
      <c r="O31" s="19" t="s">
        <v>19</v>
      </c>
      <c r="P31" s="16" t="s">
        <v>11</v>
      </c>
      <c r="Q31" s="19" t="s">
        <v>20</v>
      </c>
      <c r="R31" s="16" t="s">
        <v>14</v>
      </c>
      <c r="S31" s="20" t="s">
        <v>21</v>
      </c>
      <c r="T31" s="21" t="s">
        <v>52</v>
      </c>
      <c r="U31" s="21" t="s">
        <v>23</v>
      </c>
    </row>
    <row r="32" ht="15.75" customHeight="1">
      <c r="A32" s="6">
        <v>31.0</v>
      </c>
      <c r="B32" s="7" t="s">
        <v>10</v>
      </c>
      <c r="C32" s="8" t="s">
        <v>11</v>
      </c>
      <c r="D32" s="7" t="s">
        <v>12</v>
      </c>
      <c r="E32" s="9" t="s">
        <v>13</v>
      </c>
      <c r="F32" s="8" t="s">
        <v>14</v>
      </c>
      <c r="G32" s="9" t="s">
        <v>15</v>
      </c>
      <c r="H32" s="8" t="s">
        <v>11</v>
      </c>
      <c r="I32" s="10" t="s">
        <v>16</v>
      </c>
      <c r="J32" s="8" t="s">
        <v>14</v>
      </c>
      <c r="K32" s="12" t="s">
        <v>17</v>
      </c>
      <c r="L32" s="8" t="s">
        <v>11</v>
      </c>
      <c r="M32" s="12" t="s">
        <v>18</v>
      </c>
      <c r="N32" s="8" t="s">
        <v>11</v>
      </c>
      <c r="O32" s="12" t="s">
        <v>19</v>
      </c>
      <c r="P32" s="8" t="s">
        <v>11</v>
      </c>
      <c r="Q32" s="12" t="s">
        <v>20</v>
      </c>
      <c r="R32" s="8" t="s">
        <v>14</v>
      </c>
      <c r="S32" s="13" t="s">
        <v>21</v>
      </c>
      <c r="T32" s="14" t="s">
        <v>53</v>
      </c>
      <c r="U32" s="14" t="s">
        <v>23</v>
      </c>
    </row>
    <row r="33" ht="15.75" customHeight="1">
      <c r="A33" s="6">
        <v>32.0</v>
      </c>
      <c r="B33" s="15" t="s">
        <v>10</v>
      </c>
      <c r="C33" s="16" t="s">
        <v>11</v>
      </c>
      <c r="D33" s="15" t="s">
        <v>12</v>
      </c>
      <c r="E33" s="17" t="s">
        <v>13</v>
      </c>
      <c r="F33" s="16" t="s">
        <v>14</v>
      </c>
      <c r="G33" s="17" t="s">
        <v>15</v>
      </c>
      <c r="H33" s="16" t="s">
        <v>11</v>
      </c>
      <c r="I33" s="18" t="s">
        <v>16</v>
      </c>
      <c r="J33" s="16" t="s">
        <v>14</v>
      </c>
      <c r="K33" s="19" t="s">
        <v>17</v>
      </c>
      <c r="L33" s="16" t="s">
        <v>11</v>
      </c>
      <c r="M33" s="19" t="s">
        <v>18</v>
      </c>
      <c r="N33" s="16" t="s">
        <v>11</v>
      </c>
      <c r="O33" s="19" t="s">
        <v>19</v>
      </c>
      <c r="P33" s="16" t="s">
        <v>11</v>
      </c>
      <c r="Q33" s="19" t="s">
        <v>20</v>
      </c>
      <c r="R33" s="16" t="s">
        <v>14</v>
      </c>
      <c r="S33" s="25" t="s">
        <v>54</v>
      </c>
      <c r="T33" s="26" t="s">
        <v>22</v>
      </c>
      <c r="U33" s="21" t="s">
        <v>23</v>
      </c>
    </row>
    <row r="34" ht="15.75" customHeight="1">
      <c r="A34" s="6">
        <v>33.0</v>
      </c>
      <c r="B34" s="7" t="s">
        <v>10</v>
      </c>
      <c r="C34" s="8" t="s">
        <v>11</v>
      </c>
      <c r="D34" s="7" t="s">
        <v>12</v>
      </c>
      <c r="E34" s="9" t="s">
        <v>13</v>
      </c>
      <c r="F34" s="8" t="s">
        <v>14</v>
      </c>
      <c r="G34" s="9" t="s">
        <v>15</v>
      </c>
      <c r="H34" s="8" t="s">
        <v>11</v>
      </c>
      <c r="I34" s="10" t="s">
        <v>16</v>
      </c>
      <c r="J34" s="8" t="s">
        <v>14</v>
      </c>
      <c r="K34" s="12" t="s">
        <v>17</v>
      </c>
      <c r="L34" s="8" t="s">
        <v>11</v>
      </c>
      <c r="M34" s="12" t="s">
        <v>18</v>
      </c>
      <c r="N34" s="8" t="s">
        <v>11</v>
      </c>
      <c r="O34" s="12" t="s">
        <v>19</v>
      </c>
      <c r="P34" s="8" t="s">
        <v>11</v>
      </c>
      <c r="Q34" s="12" t="s">
        <v>20</v>
      </c>
      <c r="R34" s="8" t="s">
        <v>14</v>
      </c>
      <c r="S34" s="27" t="s">
        <v>54</v>
      </c>
      <c r="T34" s="28" t="s">
        <v>24</v>
      </c>
      <c r="U34" s="14" t="s">
        <v>23</v>
      </c>
    </row>
    <row r="35" ht="15.75" customHeight="1">
      <c r="A35" s="6">
        <v>34.0</v>
      </c>
      <c r="B35" s="15" t="s">
        <v>10</v>
      </c>
      <c r="C35" s="16" t="s">
        <v>11</v>
      </c>
      <c r="D35" s="15" t="s">
        <v>12</v>
      </c>
      <c r="E35" s="17" t="s">
        <v>13</v>
      </c>
      <c r="F35" s="16" t="s">
        <v>14</v>
      </c>
      <c r="G35" s="17" t="s">
        <v>15</v>
      </c>
      <c r="H35" s="16" t="s">
        <v>11</v>
      </c>
      <c r="I35" s="18" t="s">
        <v>16</v>
      </c>
      <c r="J35" s="16" t="s">
        <v>14</v>
      </c>
      <c r="K35" s="19" t="s">
        <v>17</v>
      </c>
      <c r="L35" s="16" t="s">
        <v>11</v>
      </c>
      <c r="M35" s="19" t="s">
        <v>18</v>
      </c>
      <c r="N35" s="16" t="s">
        <v>11</v>
      </c>
      <c r="O35" s="19" t="s">
        <v>19</v>
      </c>
      <c r="P35" s="16" t="s">
        <v>11</v>
      </c>
      <c r="Q35" s="19" t="s">
        <v>20</v>
      </c>
      <c r="R35" s="16" t="s">
        <v>14</v>
      </c>
      <c r="S35" s="25" t="s">
        <v>54</v>
      </c>
      <c r="T35" s="26" t="s">
        <v>25</v>
      </c>
      <c r="U35" s="21" t="s">
        <v>23</v>
      </c>
    </row>
    <row r="36" ht="15.75" customHeight="1">
      <c r="A36" s="6">
        <v>35.0</v>
      </c>
      <c r="B36" s="7" t="s">
        <v>10</v>
      </c>
      <c r="C36" s="8" t="s">
        <v>11</v>
      </c>
      <c r="D36" s="7" t="s">
        <v>12</v>
      </c>
      <c r="E36" s="9" t="s">
        <v>13</v>
      </c>
      <c r="F36" s="8" t="s">
        <v>14</v>
      </c>
      <c r="G36" s="9" t="s">
        <v>15</v>
      </c>
      <c r="H36" s="8" t="s">
        <v>11</v>
      </c>
      <c r="I36" s="10" t="s">
        <v>16</v>
      </c>
      <c r="J36" s="8" t="s">
        <v>14</v>
      </c>
      <c r="K36" s="12" t="s">
        <v>17</v>
      </c>
      <c r="L36" s="8" t="s">
        <v>11</v>
      </c>
      <c r="M36" s="12" t="s">
        <v>18</v>
      </c>
      <c r="N36" s="8" t="s">
        <v>11</v>
      </c>
      <c r="O36" s="12" t="s">
        <v>19</v>
      </c>
      <c r="P36" s="8" t="s">
        <v>11</v>
      </c>
      <c r="Q36" s="12" t="s">
        <v>20</v>
      </c>
      <c r="R36" s="8" t="s">
        <v>14</v>
      </c>
      <c r="S36" s="27" t="s">
        <v>54</v>
      </c>
      <c r="T36" s="28" t="s">
        <v>26</v>
      </c>
      <c r="U36" s="14" t="s">
        <v>23</v>
      </c>
    </row>
    <row r="37" ht="15.75" customHeight="1">
      <c r="A37" s="6">
        <v>36.0</v>
      </c>
      <c r="B37" s="15" t="s">
        <v>10</v>
      </c>
      <c r="C37" s="16" t="s">
        <v>11</v>
      </c>
      <c r="D37" s="15" t="s">
        <v>12</v>
      </c>
      <c r="E37" s="17" t="s">
        <v>13</v>
      </c>
      <c r="F37" s="16" t="s">
        <v>14</v>
      </c>
      <c r="G37" s="17" t="s">
        <v>15</v>
      </c>
      <c r="H37" s="16" t="s">
        <v>11</v>
      </c>
      <c r="I37" s="18" t="s">
        <v>16</v>
      </c>
      <c r="J37" s="16" t="s">
        <v>14</v>
      </c>
      <c r="K37" s="19" t="s">
        <v>17</v>
      </c>
      <c r="L37" s="16" t="s">
        <v>11</v>
      </c>
      <c r="M37" s="19" t="s">
        <v>18</v>
      </c>
      <c r="N37" s="16" t="s">
        <v>11</v>
      </c>
      <c r="O37" s="19" t="s">
        <v>19</v>
      </c>
      <c r="P37" s="16" t="s">
        <v>11</v>
      </c>
      <c r="Q37" s="19" t="s">
        <v>20</v>
      </c>
      <c r="R37" s="16" t="s">
        <v>14</v>
      </c>
      <c r="S37" s="25" t="s">
        <v>54</v>
      </c>
      <c r="T37" s="26" t="s">
        <v>27</v>
      </c>
      <c r="U37" s="21" t="s">
        <v>23</v>
      </c>
    </row>
    <row r="38" ht="15.75" customHeight="1">
      <c r="A38" s="6">
        <v>37.0</v>
      </c>
      <c r="B38" s="7" t="s">
        <v>10</v>
      </c>
      <c r="C38" s="8" t="s">
        <v>11</v>
      </c>
      <c r="D38" s="7" t="s">
        <v>12</v>
      </c>
      <c r="E38" s="9" t="s">
        <v>13</v>
      </c>
      <c r="F38" s="8" t="s">
        <v>14</v>
      </c>
      <c r="G38" s="9" t="s">
        <v>15</v>
      </c>
      <c r="H38" s="8" t="s">
        <v>11</v>
      </c>
      <c r="I38" s="10" t="s">
        <v>16</v>
      </c>
      <c r="J38" s="8" t="s">
        <v>14</v>
      </c>
      <c r="K38" s="12" t="s">
        <v>17</v>
      </c>
      <c r="L38" s="8" t="s">
        <v>11</v>
      </c>
      <c r="M38" s="12" t="s">
        <v>18</v>
      </c>
      <c r="N38" s="8" t="s">
        <v>11</v>
      </c>
      <c r="O38" s="12" t="s">
        <v>19</v>
      </c>
      <c r="P38" s="8" t="s">
        <v>11</v>
      </c>
      <c r="Q38" s="12" t="s">
        <v>20</v>
      </c>
      <c r="R38" s="8" t="s">
        <v>14</v>
      </c>
      <c r="S38" s="27" t="s">
        <v>54</v>
      </c>
      <c r="T38" s="28" t="s">
        <v>28</v>
      </c>
      <c r="U38" s="14" t="s">
        <v>23</v>
      </c>
    </row>
    <row r="39" ht="15.75" customHeight="1">
      <c r="A39" s="6">
        <v>38.0</v>
      </c>
      <c r="B39" s="15" t="s">
        <v>10</v>
      </c>
      <c r="C39" s="16" t="s">
        <v>11</v>
      </c>
      <c r="D39" s="15" t="s">
        <v>12</v>
      </c>
      <c r="E39" s="17" t="s">
        <v>13</v>
      </c>
      <c r="F39" s="16" t="s">
        <v>14</v>
      </c>
      <c r="G39" s="17" t="s">
        <v>15</v>
      </c>
      <c r="H39" s="16" t="s">
        <v>11</v>
      </c>
      <c r="I39" s="18" t="s">
        <v>16</v>
      </c>
      <c r="J39" s="16" t="s">
        <v>14</v>
      </c>
      <c r="K39" s="19" t="s">
        <v>17</v>
      </c>
      <c r="L39" s="16" t="s">
        <v>11</v>
      </c>
      <c r="M39" s="19" t="s">
        <v>18</v>
      </c>
      <c r="N39" s="16" t="s">
        <v>11</v>
      </c>
      <c r="O39" s="19" t="s">
        <v>19</v>
      </c>
      <c r="P39" s="16" t="s">
        <v>11</v>
      </c>
      <c r="Q39" s="19" t="s">
        <v>20</v>
      </c>
      <c r="R39" s="16" t="s">
        <v>14</v>
      </c>
      <c r="S39" s="25" t="s">
        <v>54</v>
      </c>
      <c r="T39" s="26" t="s">
        <v>29</v>
      </c>
      <c r="U39" s="21" t="s">
        <v>23</v>
      </c>
    </row>
    <row r="40" ht="15.75" customHeight="1">
      <c r="A40" s="6">
        <v>39.0</v>
      </c>
      <c r="B40" s="7" t="s">
        <v>10</v>
      </c>
      <c r="C40" s="8" t="s">
        <v>11</v>
      </c>
      <c r="D40" s="7" t="s">
        <v>12</v>
      </c>
      <c r="E40" s="9" t="s">
        <v>13</v>
      </c>
      <c r="F40" s="8" t="s">
        <v>14</v>
      </c>
      <c r="G40" s="9" t="s">
        <v>15</v>
      </c>
      <c r="H40" s="8" t="s">
        <v>11</v>
      </c>
      <c r="I40" s="10" t="s">
        <v>16</v>
      </c>
      <c r="J40" s="8" t="s">
        <v>14</v>
      </c>
      <c r="K40" s="12" t="s">
        <v>17</v>
      </c>
      <c r="L40" s="8" t="s">
        <v>11</v>
      </c>
      <c r="M40" s="12" t="s">
        <v>18</v>
      </c>
      <c r="N40" s="8" t="s">
        <v>11</v>
      </c>
      <c r="O40" s="12" t="s">
        <v>19</v>
      </c>
      <c r="P40" s="8" t="s">
        <v>11</v>
      </c>
      <c r="Q40" s="12" t="s">
        <v>20</v>
      </c>
      <c r="R40" s="8" t="s">
        <v>14</v>
      </c>
      <c r="S40" s="27" t="s">
        <v>54</v>
      </c>
      <c r="T40" s="28" t="s">
        <v>30</v>
      </c>
      <c r="U40" s="14" t="s">
        <v>23</v>
      </c>
    </row>
    <row r="41" ht="15.75" customHeight="1">
      <c r="A41" s="6">
        <v>40.0</v>
      </c>
      <c r="B41" s="15" t="s">
        <v>10</v>
      </c>
      <c r="C41" s="16" t="s">
        <v>11</v>
      </c>
      <c r="D41" s="15" t="s">
        <v>12</v>
      </c>
      <c r="E41" s="17" t="s">
        <v>13</v>
      </c>
      <c r="F41" s="16" t="s">
        <v>14</v>
      </c>
      <c r="G41" s="17" t="s">
        <v>15</v>
      </c>
      <c r="H41" s="16" t="s">
        <v>11</v>
      </c>
      <c r="I41" s="18" t="s">
        <v>16</v>
      </c>
      <c r="J41" s="16" t="s">
        <v>14</v>
      </c>
      <c r="K41" s="19" t="s">
        <v>17</v>
      </c>
      <c r="L41" s="16" t="s">
        <v>11</v>
      </c>
      <c r="M41" s="19" t="s">
        <v>18</v>
      </c>
      <c r="N41" s="16" t="s">
        <v>11</v>
      </c>
      <c r="O41" s="19" t="s">
        <v>19</v>
      </c>
      <c r="P41" s="16" t="s">
        <v>11</v>
      </c>
      <c r="Q41" s="19" t="s">
        <v>20</v>
      </c>
      <c r="R41" s="16" t="s">
        <v>14</v>
      </c>
      <c r="S41" s="25" t="s">
        <v>54</v>
      </c>
      <c r="T41" s="26" t="s">
        <v>31</v>
      </c>
      <c r="U41" s="21" t="s">
        <v>23</v>
      </c>
    </row>
    <row r="42" ht="15.75" customHeight="1">
      <c r="A42" s="6">
        <v>41.0</v>
      </c>
      <c r="B42" s="7" t="s">
        <v>10</v>
      </c>
      <c r="C42" s="8" t="s">
        <v>11</v>
      </c>
      <c r="D42" s="7" t="s">
        <v>12</v>
      </c>
      <c r="E42" s="9" t="s">
        <v>13</v>
      </c>
      <c r="F42" s="8" t="s">
        <v>14</v>
      </c>
      <c r="G42" s="9" t="s">
        <v>15</v>
      </c>
      <c r="H42" s="8" t="s">
        <v>11</v>
      </c>
      <c r="I42" s="10" t="s">
        <v>16</v>
      </c>
      <c r="J42" s="8" t="s">
        <v>14</v>
      </c>
      <c r="K42" s="12" t="s">
        <v>17</v>
      </c>
      <c r="L42" s="8" t="s">
        <v>11</v>
      </c>
      <c r="M42" s="12" t="s">
        <v>18</v>
      </c>
      <c r="N42" s="8" t="s">
        <v>11</v>
      </c>
      <c r="O42" s="12" t="s">
        <v>19</v>
      </c>
      <c r="P42" s="8" t="s">
        <v>11</v>
      </c>
      <c r="Q42" s="12" t="s">
        <v>20</v>
      </c>
      <c r="R42" s="8" t="s">
        <v>14</v>
      </c>
      <c r="S42" s="27" t="s">
        <v>54</v>
      </c>
      <c r="T42" s="28" t="s">
        <v>32</v>
      </c>
      <c r="U42" s="14" t="s">
        <v>23</v>
      </c>
    </row>
    <row r="43" ht="15.75" customHeight="1">
      <c r="A43" s="6">
        <v>42.0</v>
      </c>
      <c r="B43" s="15" t="s">
        <v>10</v>
      </c>
      <c r="C43" s="16" t="s">
        <v>11</v>
      </c>
      <c r="D43" s="15" t="s">
        <v>12</v>
      </c>
      <c r="E43" s="17" t="s">
        <v>13</v>
      </c>
      <c r="F43" s="16" t="s">
        <v>14</v>
      </c>
      <c r="G43" s="17" t="s">
        <v>15</v>
      </c>
      <c r="H43" s="16" t="s">
        <v>11</v>
      </c>
      <c r="I43" s="18" t="s">
        <v>16</v>
      </c>
      <c r="J43" s="16" t="s">
        <v>14</v>
      </c>
      <c r="K43" s="19" t="s">
        <v>17</v>
      </c>
      <c r="L43" s="16" t="s">
        <v>11</v>
      </c>
      <c r="M43" s="19" t="s">
        <v>18</v>
      </c>
      <c r="N43" s="16" t="s">
        <v>11</v>
      </c>
      <c r="O43" s="19" t="s">
        <v>19</v>
      </c>
      <c r="P43" s="16" t="s">
        <v>11</v>
      </c>
      <c r="Q43" s="19" t="s">
        <v>20</v>
      </c>
      <c r="R43" s="16" t="s">
        <v>14</v>
      </c>
      <c r="S43" s="25" t="s">
        <v>54</v>
      </c>
      <c r="T43" s="26" t="s">
        <v>33</v>
      </c>
      <c r="U43" s="21" t="s">
        <v>23</v>
      </c>
    </row>
    <row r="44" ht="15.75" customHeight="1">
      <c r="A44" s="6">
        <v>43.0</v>
      </c>
      <c r="B44" s="7" t="s">
        <v>10</v>
      </c>
      <c r="C44" s="8" t="s">
        <v>11</v>
      </c>
      <c r="D44" s="7" t="s">
        <v>12</v>
      </c>
      <c r="E44" s="9" t="s">
        <v>13</v>
      </c>
      <c r="F44" s="8" t="s">
        <v>14</v>
      </c>
      <c r="G44" s="9" t="s">
        <v>15</v>
      </c>
      <c r="H44" s="8" t="s">
        <v>11</v>
      </c>
      <c r="I44" s="10" t="s">
        <v>16</v>
      </c>
      <c r="J44" s="8" t="s">
        <v>14</v>
      </c>
      <c r="K44" s="12" t="s">
        <v>17</v>
      </c>
      <c r="L44" s="8" t="s">
        <v>11</v>
      </c>
      <c r="M44" s="12" t="s">
        <v>18</v>
      </c>
      <c r="N44" s="8" t="s">
        <v>11</v>
      </c>
      <c r="O44" s="12" t="s">
        <v>19</v>
      </c>
      <c r="P44" s="8" t="s">
        <v>11</v>
      </c>
      <c r="Q44" s="12" t="s">
        <v>20</v>
      </c>
      <c r="R44" s="8" t="s">
        <v>14</v>
      </c>
      <c r="S44" s="27" t="s">
        <v>54</v>
      </c>
      <c r="T44" s="28" t="s">
        <v>34</v>
      </c>
      <c r="U44" s="14" t="s">
        <v>23</v>
      </c>
    </row>
    <row r="45" ht="15.75" customHeight="1">
      <c r="A45" s="6">
        <v>44.0</v>
      </c>
      <c r="B45" s="15" t="s">
        <v>10</v>
      </c>
      <c r="C45" s="16" t="s">
        <v>11</v>
      </c>
      <c r="D45" s="15" t="s">
        <v>12</v>
      </c>
      <c r="E45" s="17" t="s">
        <v>13</v>
      </c>
      <c r="F45" s="16" t="s">
        <v>14</v>
      </c>
      <c r="G45" s="17" t="s">
        <v>15</v>
      </c>
      <c r="H45" s="16" t="s">
        <v>11</v>
      </c>
      <c r="I45" s="18" t="s">
        <v>16</v>
      </c>
      <c r="J45" s="16" t="s">
        <v>14</v>
      </c>
      <c r="K45" s="19" t="s">
        <v>17</v>
      </c>
      <c r="L45" s="16" t="s">
        <v>11</v>
      </c>
      <c r="M45" s="19" t="s">
        <v>18</v>
      </c>
      <c r="N45" s="16" t="s">
        <v>11</v>
      </c>
      <c r="O45" s="19" t="s">
        <v>19</v>
      </c>
      <c r="P45" s="16" t="s">
        <v>11</v>
      </c>
      <c r="Q45" s="19" t="s">
        <v>20</v>
      </c>
      <c r="R45" s="16" t="s">
        <v>14</v>
      </c>
      <c r="S45" s="25" t="s">
        <v>54</v>
      </c>
      <c r="T45" s="26" t="s">
        <v>35</v>
      </c>
      <c r="U45" s="21" t="s">
        <v>23</v>
      </c>
    </row>
    <row r="46" ht="15.75" customHeight="1">
      <c r="A46" s="6">
        <v>45.0</v>
      </c>
      <c r="B46" s="7" t="s">
        <v>10</v>
      </c>
      <c r="C46" s="8" t="s">
        <v>11</v>
      </c>
      <c r="D46" s="7" t="s">
        <v>12</v>
      </c>
      <c r="E46" s="9" t="s">
        <v>13</v>
      </c>
      <c r="F46" s="8" t="s">
        <v>14</v>
      </c>
      <c r="G46" s="9" t="s">
        <v>15</v>
      </c>
      <c r="H46" s="8" t="s">
        <v>11</v>
      </c>
      <c r="I46" s="10" t="s">
        <v>16</v>
      </c>
      <c r="J46" s="8" t="s">
        <v>14</v>
      </c>
      <c r="K46" s="12" t="s">
        <v>17</v>
      </c>
      <c r="L46" s="8" t="s">
        <v>11</v>
      </c>
      <c r="M46" s="12" t="s">
        <v>18</v>
      </c>
      <c r="N46" s="8" t="s">
        <v>11</v>
      </c>
      <c r="O46" s="12" t="s">
        <v>19</v>
      </c>
      <c r="P46" s="8" t="s">
        <v>11</v>
      </c>
      <c r="Q46" s="12" t="s">
        <v>20</v>
      </c>
      <c r="R46" s="8" t="s">
        <v>14</v>
      </c>
      <c r="S46" s="27" t="s">
        <v>54</v>
      </c>
      <c r="T46" s="28" t="s">
        <v>36</v>
      </c>
      <c r="U46" s="14" t="s">
        <v>23</v>
      </c>
    </row>
    <row r="47" ht="15.75" customHeight="1">
      <c r="A47" s="6">
        <v>46.0</v>
      </c>
      <c r="B47" s="15" t="s">
        <v>10</v>
      </c>
      <c r="C47" s="16" t="s">
        <v>11</v>
      </c>
      <c r="D47" s="15" t="s">
        <v>12</v>
      </c>
      <c r="E47" s="17" t="s">
        <v>13</v>
      </c>
      <c r="F47" s="16" t="s">
        <v>14</v>
      </c>
      <c r="G47" s="17" t="s">
        <v>15</v>
      </c>
      <c r="H47" s="16" t="s">
        <v>11</v>
      </c>
      <c r="I47" s="18" t="s">
        <v>16</v>
      </c>
      <c r="J47" s="16" t="s">
        <v>14</v>
      </c>
      <c r="K47" s="19" t="s">
        <v>17</v>
      </c>
      <c r="L47" s="16" t="s">
        <v>11</v>
      </c>
      <c r="M47" s="19" t="s">
        <v>18</v>
      </c>
      <c r="N47" s="16" t="s">
        <v>11</v>
      </c>
      <c r="O47" s="19" t="s">
        <v>19</v>
      </c>
      <c r="P47" s="16" t="s">
        <v>11</v>
      </c>
      <c r="Q47" s="19" t="s">
        <v>20</v>
      </c>
      <c r="R47" s="16" t="s">
        <v>14</v>
      </c>
      <c r="S47" s="25" t="s">
        <v>54</v>
      </c>
      <c r="T47" s="26" t="s">
        <v>37</v>
      </c>
      <c r="U47" s="21" t="s">
        <v>23</v>
      </c>
    </row>
    <row r="48" ht="15.75" customHeight="1">
      <c r="A48" s="6">
        <v>47.0</v>
      </c>
      <c r="B48" s="7" t="s">
        <v>10</v>
      </c>
      <c r="C48" s="8" t="s">
        <v>11</v>
      </c>
      <c r="D48" s="7" t="s">
        <v>12</v>
      </c>
      <c r="E48" s="9" t="s">
        <v>13</v>
      </c>
      <c r="F48" s="8" t="s">
        <v>14</v>
      </c>
      <c r="G48" s="9" t="s">
        <v>15</v>
      </c>
      <c r="H48" s="8" t="s">
        <v>11</v>
      </c>
      <c r="I48" s="10" t="s">
        <v>16</v>
      </c>
      <c r="J48" s="8" t="s">
        <v>14</v>
      </c>
      <c r="K48" s="12" t="s">
        <v>17</v>
      </c>
      <c r="L48" s="8" t="s">
        <v>11</v>
      </c>
      <c r="M48" s="12" t="s">
        <v>18</v>
      </c>
      <c r="N48" s="8" t="s">
        <v>11</v>
      </c>
      <c r="O48" s="12" t="s">
        <v>19</v>
      </c>
      <c r="P48" s="8" t="s">
        <v>11</v>
      </c>
      <c r="Q48" s="12" t="s">
        <v>20</v>
      </c>
      <c r="R48" s="8" t="s">
        <v>14</v>
      </c>
      <c r="S48" s="27" t="s">
        <v>54</v>
      </c>
      <c r="T48" s="28" t="s">
        <v>38</v>
      </c>
      <c r="U48" s="14" t="s">
        <v>23</v>
      </c>
    </row>
    <row r="49" ht="15.75" customHeight="1">
      <c r="A49" s="6">
        <v>48.0</v>
      </c>
      <c r="B49" s="15" t="s">
        <v>10</v>
      </c>
      <c r="C49" s="16" t="s">
        <v>11</v>
      </c>
      <c r="D49" s="15" t="s">
        <v>12</v>
      </c>
      <c r="E49" s="17" t="s">
        <v>13</v>
      </c>
      <c r="F49" s="16" t="s">
        <v>14</v>
      </c>
      <c r="G49" s="17" t="s">
        <v>15</v>
      </c>
      <c r="H49" s="16" t="s">
        <v>11</v>
      </c>
      <c r="I49" s="18" t="s">
        <v>16</v>
      </c>
      <c r="J49" s="16" t="s">
        <v>14</v>
      </c>
      <c r="K49" s="19" t="s">
        <v>17</v>
      </c>
      <c r="L49" s="16" t="s">
        <v>11</v>
      </c>
      <c r="M49" s="19" t="s">
        <v>18</v>
      </c>
      <c r="N49" s="16" t="s">
        <v>11</v>
      </c>
      <c r="O49" s="19" t="s">
        <v>19</v>
      </c>
      <c r="P49" s="16" t="s">
        <v>11</v>
      </c>
      <c r="Q49" s="19" t="s">
        <v>20</v>
      </c>
      <c r="R49" s="16" t="s">
        <v>14</v>
      </c>
      <c r="S49" s="25" t="s">
        <v>54</v>
      </c>
      <c r="T49" s="26" t="s">
        <v>39</v>
      </c>
      <c r="U49" s="21" t="s">
        <v>23</v>
      </c>
    </row>
    <row r="50" ht="15.75" customHeight="1">
      <c r="A50" s="6">
        <v>49.0</v>
      </c>
      <c r="B50" s="7" t="s">
        <v>10</v>
      </c>
      <c r="C50" s="8" t="s">
        <v>11</v>
      </c>
      <c r="D50" s="7" t="s">
        <v>12</v>
      </c>
      <c r="E50" s="9" t="s">
        <v>13</v>
      </c>
      <c r="F50" s="8" t="s">
        <v>14</v>
      </c>
      <c r="G50" s="9" t="s">
        <v>15</v>
      </c>
      <c r="H50" s="8" t="s">
        <v>11</v>
      </c>
      <c r="I50" s="10" t="s">
        <v>16</v>
      </c>
      <c r="J50" s="8" t="s">
        <v>14</v>
      </c>
      <c r="K50" s="12" t="s">
        <v>17</v>
      </c>
      <c r="L50" s="8" t="s">
        <v>11</v>
      </c>
      <c r="M50" s="12" t="s">
        <v>18</v>
      </c>
      <c r="N50" s="8" t="s">
        <v>11</v>
      </c>
      <c r="O50" s="12" t="s">
        <v>19</v>
      </c>
      <c r="P50" s="8" t="s">
        <v>11</v>
      </c>
      <c r="Q50" s="12" t="s">
        <v>20</v>
      </c>
      <c r="R50" s="8" t="s">
        <v>14</v>
      </c>
      <c r="S50" s="27" t="s">
        <v>54</v>
      </c>
      <c r="T50" s="28" t="s">
        <v>40</v>
      </c>
      <c r="U50" s="14" t="s">
        <v>23</v>
      </c>
    </row>
    <row r="51" ht="15.75" customHeight="1">
      <c r="A51" s="6">
        <v>50.0</v>
      </c>
      <c r="B51" s="15" t="s">
        <v>10</v>
      </c>
      <c r="C51" s="16" t="s">
        <v>11</v>
      </c>
      <c r="D51" s="15" t="s">
        <v>12</v>
      </c>
      <c r="E51" s="17" t="s">
        <v>13</v>
      </c>
      <c r="F51" s="16" t="s">
        <v>14</v>
      </c>
      <c r="G51" s="17" t="s">
        <v>15</v>
      </c>
      <c r="H51" s="16" t="s">
        <v>11</v>
      </c>
      <c r="I51" s="18" t="s">
        <v>16</v>
      </c>
      <c r="J51" s="16" t="s">
        <v>14</v>
      </c>
      <c r="K51" s="19" t="s">
        <v>17</v>
      </c>
      <c r="L51" s="16" t="s">
        <v>11</v>
      </c>
      <c r="M51" s="19" t="s">
        <v>18</v>
      </c>
      <c r="N51" s="16" t="s">
        <v>11</v>
      </c>
      <c r="O51" s="19" t="s">
        <v>19</v>
      </c>
      <c r="P51" s="16" t="s">
        <v>11</v>
      </c>
      <c r="Q51" s="19" t="s">
        <v>20</v>
      </c>
      <c r="R51" s="16" t="s">
        <v>14</v>
      </c>
      <c r="S51" s="25" t="s">
        <v>54</v>
      </c>
      <c r="T51" s="26" t="s">
        <v>41</v>
      </c>
      <c r="U51" s="21" t="s">
        <v>23</v>
      </c>
    </row>
    <row r="52" ht="15.75" customHeight="1">
      <c r="A52" s="6">
        <v>51.0</v>
      </c>
      <c r="B52" s="7" t="s">
        <v>10</v>
      </c>
      <c r="C52" s="8" t="s">
        <v>11</v>
      </c>
      <c r="D52" s="7" t="s">
        <v>12</v>
      </c>
      <c r="E52" s="9" t="s">
        <v>13</v>
      </c>
      <c r="F52" s="8" t="s">
        <v>14</v>
      </c>
      <c r="G52" s="9" t="s">
        <v>15</v>
      </c>
      <c r="H52" s="8" t="s">
        <v>11</v>
      </c>
      <c r="I52" s="10" t="s">
        <v>16</v>
      </c>
      <c r="J52" s="8" t="s">
        <v>14</v>
      </c>
      <c r="K52" s="12" t="s">
        <v>17</v>
      </c>
      <c r="L52" s="8" t="s">
        <v>11</v>
      </c>
      <c r="M52" s="12" t="s">
        <v>18</v>
      </c>
      <c r="N52" s="8" t="s">
        <v>11</v>
      </c>
      <c r="O52" s="12" t="s">
        <v>19</v>
      </c>
      <c r="P52" s="8" t="s">
        <v>11</v>
      </c>
      <c r="Q52" s="12" t="s">
        <v>20</v>
      </c>
      <c r="R52" s="8" t="s">
        <v>14</v>
      </c>
      <c r="S52" s="27" t="s">
        <v>54</v>
      </c>
      <c r="T52" s="28" t="s">
        <v>42</v>
      </c>
      <c r="U52" s="14" t="s">
        <v>23</v>
      </c>
    </row>
    <row r="53" ht="15.75" customHeight="1">
      <c r="A53" s="6">
        <v>52.0</v>
      </c>
      <c r="B53" s="15" t="s">
        <v>10</v>
      </c>
      <c r="C53" s="16" t="s">
        <v>11</v>
      </c>
      <c r="D53" s="15" t="s">
        <v>12</v>
      </c>
      <c r="E53" s="17" t="s">
        <v>13</v>
      </c>
      <c r="F53" s="16" t="s">
        <v>14</v>
      </c>
      <c r="G53" s="17" t="s">
        <v>15</v>
      </c>
      <c r="H53" s="16" t="s">
        <v>11</v>
      </c>
      <c r="I53" s="18" t="s">
        <v>16</v>
      </c>
      <c r="J53" s="16" t="s">
        <v>14</v>
      </c>
      <c r="K53" s="19" t="s">
        <v>17</v>
      </c>
      <c r="L53" s="16" t="s">
        <v>11</v>
      </c>
      <c r="M53" s="19" t="s">
        <v>18</v>
      </c>
      <c r="N53" s="16" t="s">
        <v>11</v>
      </c>
      <c r="O53" s="19" t="s">
        <v>19</v>
      </c>
      <c r="P53" s="16" t="s">
        <v>11</v>
      </c>
      <c r="Q53" s="19" t="s">
        <v>20</v>
      </c>
      <c r="R53" s="16" t="s">
        <v>14</v>
      </c>
      <c r="S53" s="25" t="s">
        <v>54</v>
      </c>
      <c r="T53" s="26" t="s">
        <v>43</v>
      </c>
      <c r="U53" s="21" t="s">
        <v>23</v>
      </c>
    </row>
    <row r="54" ht="15.75" customHeight="1">
      <c r="A54" s="6">
        <v>53.0</v>
      </c>
      <c r="B54" s="7" t="s">
        <v>10</v>
      </c>
      <c r="C54" s="8" t="s">
        <v>11</v>
      </c>
      <c r="D54" s="7" t="s">
        <v>12</v>
      </c>
      <c r="E54" s="9" t="s">
        <v>13</v>
      </c>
      <c r="F54" s="8" t="s">
        <v>14</v>
      </c>
      <c r="G54" s="9" t="s">
        <v>15</v>
      </c>
      <c r="H54" s="8" t="s">
        <v>11</v>
      </c>
      <c r="I54" s="10" t="s">
        <v>16</v>
      </c>
      <c r="J54" s="8" t="s">
        <v>14</v>
      </c>
      <c r="K54" s="12" t="s">
        <v>17</v>
      </c>
      <c r="L54" s="8" t="s">
        <v>11</v>
      </c>
      <c r="M54" s="12" t="s">
        <v>18</v>
      </c>
      <c r="N54" s="8" t="s">
        <v>11</v>
      </c>
      <c r="O54" s="12" t="s">
        <v>19</v>
      </c>
      <c r="P54" s="8" t="s">
        <v>11</v>
      </c>
      <c r="Q54" s="12" t="s">
        <v>20</v>
      </c>
      <c r="R54" s="8" t="s">
        <v>14</v>
      </c>
      <c r="S54" s="27" t="s">
        <v>54</v>
      </c>
      <c r="T54" s="28" t="s">
        <v>44</v>
      </c>
      <c r="U54" s="14" t="s">
        <v>23</v>
      </c>
    </row>
    <row r="55" ht="15.75" customHeight="1">
      <c r="A55" s="6">
        <v>54.0</v>
      </c>
      <c r="B55" s="15" t="s">
        <v>10</v>
      </c>
      <c r="C55" s="16" t="s">
        <v>11</v>
      </c>
      <c r="D55" s="15" t="s">
        <v>12</v>
      </c>
      <c r="E55" s="17" t="s">
        <v>13</v>
      </c>
      <c r="F55" s="16" t="s">
        <v>14</v>
      </c>
      <c r="G55" s="17" t="s">
        <v>15</v>
      </c>
      <c r="H55" s="16" t="s">
        <v>11</v>
      </c>
      <c r="I55" s="18" t="s">
        <v>16</v>
      </c>
      <c r="J55" s="16" t="s">
        <v>14</v>
      </c>
      <c r="K55" s="19" t="s">
        <v>17</v>
      </c>
      <c r="L55" s="16" t="s">
        <v>11</v>
      </c>
      <c r="M55" s="19" t="s">
        <v>18</v>
      </c>
      <c r="N55" s="16" t="s">
        <v>11</v>
      </c>
      <c r="O55" s="19" t="s">
        <v>19</v>
      </c>
      <c r="P55" s="16" t="s">
        <v>11</v>
      </c>
      <c r="Q55" s="19" t="s">
        <v>20</v>
      </c>
      <c r="R55" s="16" t="s">
        <v>14</v>
      </c>
      <c r="S55" s="25" t="s">
        <v>54</v>
      </c>
      <c r="T55" s="26" t="s">
        <v>45</v>
      </c>
      <c r="U55" s="21" t="s">
        <v>23</v>
      </c>
    </row>
    <row r="56" ht="15.75" customHeight="1">
      <c r="A56" s="6">
        <v>55.0</v>
      </c>
      <c r="B56" s="7" t="s">
        <v>10</v>
      </c>
      <c r="C56" s="8" t="s">
        <v>11</v>
      </c>
      <c r="D56" s="7" t="s">
        <v>12</v>
      </c>
      <c r="E56" s="9" t="s">
        <v>13</v>
      </c>
      <c r="F56" s="8" t="s">
        <v>14</v>
      </c>
      <c r="G56" s="9" t="s">
        <v>15</v>
      </c>
      <c r="H56" s="8" t="s">
        <v>11</v>
      </c>
      <c r="I56" s="10" t="s">
        <v>16</v>
      </c>
      <c r="J56" s="8" t="s">
        <v>14</v>
      </c>
      <c r="K56" s="12" t="s">
        <v>17</v>
      </c>
      <c r="L56" s="8" t="s">
        <v>11</v>
      </c>
      <c r="M56" s="12" t="s">
        <v>18</v>
      </c>
      <c r="N56" s="8" t="s">
        <v>11</v>
      </c>
      <c r="O56" s="12" t="s">
        <v>19</v>
      </c>
      <c r="P56" s="8" t="s">
        <v>11</v>
      </c>
      <c r="Q56" s="12" t="s">
        <v>20</v>
      </c>
      <c r="R56" s="8" t="s">
        <v>14</v>
      </c>
      <c r="S56" s="27" t="s">
        <v>54</v>
      </c>
      <c r="T56" s="28" t="s">
        <v>46</v>
      </c>
      <c r="U56" s="14" t="s">
        <v>23</v>
      </c>
    </row>
    <row r="57" ht="15.75" customHeight="1">
      <c r="A57" s="6">
        <v>56.0</v>
      </c>
      <c r="B57" s="15" t="s">
        <v>10</v>
      </c>
      <c r="C57" s="16" t="s">
        <v>11</v>
      </c>
      <c r="D57" s="15" t="s">
        <v>12</v>
      </c>
      <c r="E57" s="17" t="s">
        <v>13</v>
      </c>
      <c r="F57" s="16" t="s">
        <v>14</v>
      </c>
      <c r="G57" s="17" t="s">
        <v>15</v>
      </c>
      <c r="H57" s="16" t="s">
        <v>11</v>
      </c>
      <c r="I57" s="18" t="s">
        <v>16</v>
      </c>
      <c r="J57" s="16" t="s">
        <v>14</v>
      </c>
      <c r="K57" s="19" t="s">
        <v>17</v>
      </c>
      <c r="L57" s="16" t="s">
        <v>11</v>
      </c>
      <c r="M57" s="19" t="s">
        <v>18</v>
      </c>
      <c r="N57" s="16" t="s">
        <v>11</v>
      </c>
      <c r="O57" s="19" t="s">
        <v>19</v>
      </c>
      <c r="P57" s="16" t="s">
        <v>11</v>
      </c>
      <c r="Q57" s="19" t="s">
        <v>20</v>
      </c>
      <c r="R57" s="16" t="s">
        <v>14</v>
      </c>
      <c r="S57" s="25" t="s">
        <v>54</v>
      </c>
      <c r="T57" s="26" t="s">
        <v>47</v>
      </c>
      <c r="U57" s="21" t="s">
        <v>23</v>
      </c>
    </row>
    <row r="58" ht="15.75" customHeight="1">
      <c r="A58" s="6">
        <v>57.0</v>
      </c>
      <c r="B58" s="7" t="s">
        <v>10</v>
      </c>
      <c r="C58" s="8" t="s">
        <v>11</v>
      </c>
      <c r="D58" s="7" t="s">
        <v>12</v>
      </c>
      <c r="E58" s="9" t="s">
        <v>13</v>
      </c>
      <c r="F58" s="8" t="s">
        <v>14</v>
      </c>
      <c r="G58" s="9" t="s">
        <v>15</v>
      </c>
      <c r="H58" s="8" t="s">
        <v>11</v>
      </c>
      <c r="I58" s="10" t="s">
        <v>16</v>
      </c>
      <c r="J58" s="8" t="s">
        <v>14</v>
      </c>
      <c r="K58" s="12" t="s">
        <v>17</v>
      </c>
      <c r="L58" s="8" t="s">
        <v>11</v>
      </c>
      <c r="M58" s="12" t="s">
        <v>18</v>
      </c>
      <c r="N58" s="8" t="s">
        <v>11</v>
      </c>
      <c r="O58" s="12" t="s">
        <v>19</v>
      </c>
      <c r="P58" s="8" t="s">
        <v>11</v>
      </c>
      <c r="Q58" s="12" t="s">
        <v>20</v>
      </c>
      <c r="R58" s="8" t="s">
        <v>14</v>
      </c>
      <c r="S58" s="29" t="s">
        <v>55</v>
      </c>
      <c r="T58" s="30" t="s">
        <v>22</v>
      </c>
      <c r="U58" s="14" t="s">
        <v>23</v>
      </c>
    </row>
    <row r="59" ht="15.75" customHeight="1">
      <c r="A59" s="6">
        <v>58.0</v>
      </c>
      <c r="B59" s="15" t="s">
        <v>10</v>
      </c>
      <c r="C59" s="16" t="s">
        <v>11</v>
      </c>
      <c r="D59" s="15" t="s">
        <v>12</v>
      </c>
      <c r="E59" s="17" t="s">
        <v>13</v>
      </c>
      <c r="F59" s="16" t="s">
        <v>14</v>
      </c>
      <c r="G59" s="17" t="s">
        <v>15</v>
      </c>
      <c r="H59" s="16" t="s">
        <v>11</v>
      </c>
      <c r="I59" s="18" t="s">
        <v>16</v>
      </c>
      <c r="J59" s="16" t="s">
        <v>14</v>
      </c>
      <c r="K59" s="19" t="s">
        <v>17</v>
      </c>
      <c r="L59" s="16" t="s">
        <v>11</v>
      </c>
      <c r="M59" s="19" t="s">
        <v>18</v>
      </c>
      <c r="N59" s="16" t="s">
        <v>11</v>
      </c>
      <c r="O59" s="19" t="s">
        <v>19</v>
      </c>
      <c r="P59" s="16" t="s">
        <v>11</v>
      </c>
      <c r="Q59" s="19" t="s">
        <v>20</v>
      </c>
      <c r="R59" s="16" t="s">
        <v>14</v>
      </c>
      <c r="S59" s="31" t="s">
        <v>55</v>
      </c>
      <c r="T59" s="32" t="s">
        <v>24</v>
      </c>
      <c r="U59" s="21" t="s">
        <v>23</v>
      </c>
    </row>
    <row r="60" ht="15.75" customHeight="1">
      <c r="A60" s="6">
        <v>59.0</v>
      </c>
      <c r="B60" s="7" t="s">
        <v>10</v>
      </c>
      <c r="C60" s="8" t="s">
        <v>11</v>
      </c>
      <c r="D60" s="7" t="s">
        <v>12</v>
      </c>
      <c r="E60" s="9" t="s">
        <v>13</v>
      </c>
      <c r="F60" s="8" t="s">
        <v>14</v>
      </c>
      <c r="G60" s="9" t="s">
        <v>15</v>
      </c>
      <c r="H60" s="8" t="s">
        <v>11</v>
      </c>
      <c r="I60" s="10" t="s">
        <v>16</v>
      </c>
      <c r="J60" s="8" t="s">
        <v>14</v>
      </c>
      <c r="K60" s="12" t="s">
        <v>17</v>
      </c>
      <c r="L60" s="8" t="s">
        <v>11</v>
      </c>
      <c r="M60" s="12" t="s">
        <v>18</v>
      </c>
      <c r="N60" s="8" t="s">
        <v>11</v>
      </c>
      <c r="O60" s="12" t="s">
        <v>19</v>
      </c>
      <c r="P60" s="8" t="s">
        <v>11</v>
      </c>
      <c r="Q60" s="12" t="s">
        <v>20</v>
      </c>
      <c r="R60" s="8" t="s">
        <v>14</v>
      </c>
      <c r="S60" s="29" t="s">
        <v>55</v>
      </c>
      <c r="T60" s="30" t="s">
        <v>25</v>
      </c>
      <c r="U60" s="14" t="s">
        <v>23</v>
      </c>
    </row>
    <row r="61" ht="15.75" customHeight="1">
      <c r="A61" s="6">
        <v>60.0</v>
      </c>
      <c r="B61" s="15" t="s">
        <v>10</v>
      </c>
      <c r="C61" s="16" t="s">
        <v>11</v>
      </c>
      <c r="D61" s="15" t="s">
        <v>12</v>
      </c>
      <c r="E61" s="17" t="s">
        <v>13</v>
      </c>
      <c r="F61" s="16" t="s">
        <v>14</v>
      </c>
      <c r="G61" s="17" t="s">
        <v>15</v>
      </c>
      <c r="H61" s="16" t="s">
        <v>11</v>
      </c>
      <c r="I61" s="18" t="s">
        <v>16</v>
      </c>
      <c r="J61" s="16" t="s">
        <v>14</v>
      </c>
      <c r="K61" s="19" t="s">
        <v>17</v>
      </c>
      <c r="L61" s="16" t="s">
        <v>11</v>
      </c>
      <c r="M61" s="19" t="s">
        <v>18</v>
      </c>
      <c r="N61" s="16" t="s">
        <v>11</v>
      </c>
      <c r="O61" s="19" t="s">
        <v>19</v>
      </c>
      <c r="P61" s="16" t="s">
        <v>11</v>
      </c>
      <c r="Q61" s="19" t="s">
        <v>20</v>
      </c>
      <c r="R61" s="16" t="s">
        <v>14</v>
      </c>
      <c r="S61" s="31" t="s">
        <v>55</v>
      </c>
      <c r="T61" s="32" t="s">
        <v>26</v>
      </c>
      <c r="U61" s="21" t="s">
        <v>23</v>
      </c>
    </row>
    <row r="62" ht="15.75" customHeight="1">
      <c r="A62" s="6">
        <v>61.0</v>
      </c>
      <c r="B62" s="7" t="s">
        <v>10</v>
      </c>
      <c r="C62" s="8" t="s">
        <v>11</v>
      </c>
      <c r="D62" s="7" t="s">
        <v>12</v>
      </c>
      <c r="E62" s="9" t="s">
        <v>13</v>
      </c>
      <c r="F62" s="8" t="s">
        <v>14</v>
      </c>
      <c r="G62" s="9" t="s">
        <v>15</v>
      </c>
      <c r="H62" s="8" t="s">
        <v>11</v>
      </c>
      <c r="I62" s="10" t="s">
        <v>16</v>
      </c>
      <c r="J62" s="8" t="s">
        <v>14</v>
      </c>
      <c r="K62" s="12" t="s">
        <v>17</v>
      </c>
      <c r="L62" s="8" t="s">
        <v>11</v>
      </c>
      <c r="M62" s="12" t="s">
        <v>18</v>
      </c>
      <c r="N62" s="8" t="s">
        <v>11</v>
      </c>
      <c r="O62" s="12" t="s">
        <v>19</v>
      </c>
      <c r="P62" s="8" t="s">
        <v>11</v>
      </c>
      <c r="Q62" s="12" t="s">
        <v>20</v>
      </c>
      <c r="R62" s="8" t="s">
        <v>14</v>
      </c>
      <c r="S62" s="29" t="s">
        <v>55</v>
      </c>
      <c r="T62" s="30" t="s">
        <v>27</v>
      </c>
      <c r="U62" s="14" t="s">
        <v>23</v>
      </c>
    </row>
    <row r="63" ht="15.75" customHeight="1">
      <c r="A63" s="6">
        <v>62.0</v>
      </c>
      <c r="B63" s="15" t="s">
        <v>10</v>
      </c>
      <c r="C63" s="16" t="s">
        <v>11</v>
      </c>
      <c r="D63" s="15" t="s">
        <v>12</v>
      </c>
      <c r="E63" s="17" t="s">
        <v>13</v>
      </c>
      <c r="F63" s="16" t="s">
        <v>14</v>
      </c>
      <c r="G63" s="17" t="s">
        <v>15</v>
      </c>
      <c r="H63" s="16" t="s">
        <v>11</v>
      </c>
      <c r="I63" s="18" t="s">
        <v>16</v>
      </c>
      <c r="J63" s="16" t="s">
        <v>14</v>
      </c>
      <c r="K63" s="19" t="s">
        <v>17</v>
      </c>
      <c r="L63" s="16" t="s">
        <v>11</v>
      </c>
      <c r="M63" s="19" t="s">
        <v>18</v>
      </c>
      <c r="N63" s="16" t="s">
        <v>11</v>
      </c>
      <c r="O63" s="19" t="s">
        <v>19</v>
      </c>
      <c r="P63" s="16" t="s">
        <v>11</v>
      </c>
      <c r="Q63" s="19" t="s">
        <v>20</v>
      </c>
      <c r="R63" s="16" t="s">
        <v>14</v>
      </c>
      <c r="S63" s="31" t="s">
        <v>55</v>
      </c>
      <c r="T63" s="32" t="s">
        <v>28</v>
      </c>
      <c r="U63" s="21" t="s">
        <v>23</v>
      </c>
    </row>
    <row r="64" ht="15.75" customHeight="1">
      <c r="A64" s="6">
        <v>63.0</v>
      </c>
      <c r="B64" s="7" t="s">
        <v>10</v>
      </c>
      <c r="C64" s="8" t="s">
        <v>11</v>
      </c>
      <c r="D64" s="7" t="s">
        <v>12</v>
      </c>
      <c r="E64" s="9" t="s">
        <v>13</v>
      </c>
      <c r="F64" s="8" t="s">
        <v>14</v>
      </c>
      <c r="G64" s="9" t="s">
        <v>15</v>
      </c>
      <c r="H64" s="8" t="s">
        <v>11</v>
      </c>
      <c r="I64" s="10" t="s">
        <v>16</v>
      </c>
      <c r="J64" s="8" t="s">
        <v>14</v>
      </c>
      <c r="K64" s="12" t="s">
        <v>17</v>
      </c>
      <c r="L64" s="8" t="s">
        <v>11</v>
      </c>
      <c r="M64" s="12" t="s">
        <v>18</v>
      </c>
      <c r="N64" s="8" t="s">
        <v>11</v>
      </c>
      <c r="O64" s="12" t="s">
        <v>19</v>
      </c>
      <c r="P64" s="8" t="s">
        <v>11</v>
      </c>
      <c r="Q64" s="12" t="s">
        <v>20</v>
      </c>
      <c r="R64" s="8" t="s">
        <v>14</v>
      </c>
      <c r="S64" s="29" t="s">
        <v>55</v>
      </c>
      <c r="T64" s="30" t="s">
        <v>29</v>
      </c>
      <c r="U64" s="14" t="s">
        <v>23</v>
      </c>
    </row>
    <row r="65" ht="15.75" customHeight="1">
      <c r="A65" s="6">
        <v>64.0</v>
      </c>
      <c r="B65" s="15" t="s">
        <v>10</v>
      </c>
      <c r="C65" s="16" t="s">
        <v>11</v>
      </c>
      <c r="D65" s="15" t="s">
        <v>12</v>
      </c>
      <c r="E65" s="17" t="s">
        <v>13</v>
      </c>
      <c r="F65" s="16" t="s">
        <v>14</v>
      </c>
      <c r="G65" s="17" t="s">
        <v>15</v>
      </c>
      <c r="H65" s="16" t="s">
        <v>11</v>
      </c>
      <c r="I65" s="18" t="s">
        <v>16</v>
      </c>
      <c r="J65" s="16" t="s">
        <v>14</v>
      </c>
      <c r="K65" s="19" t="s">
        <v>17</v>
      </c>
      <c r="L65" s="16" t="s">
        <v>11</v>
      </c>
      <c r="M65" s="19" t="s">
        <v>18</v>
      </c>
      <c r="N65" s="16" t="s">
        <v>11</v>
      </c>
      <c r="O65" s="19" t="s">
        <v>19</v>
      </c>
      <c r="P65" s="16" t="s">
        <v>11</v>
      </c>
      <c r="Q65" s="19" t="s">
        <v>20</v>
      </c>
      <c r="R65" s="16" t="s">
        <v>14</v>
      </c>
      <c r="S65" s="31" t="s">
        <v>55</v>
      </c>
      <c r="T65" s="32" t="s">
        <v>30</v>
      </c>
      <c r="U65" s="21" t="s">
        <v>23</v>
      </c>
    </row>
    <row r="66" ht="15.75" customHeight="1">
      <c r="A66" s="6">
        <v>65.0</v>
      </c>
      <c r="B66" s="7" t="s">
        <v>10</v>
      </c>
      <c r="C66" s="8" t="s">
        <v>11</v>
      </c>
      <c r="D66" s="7" t="s">
        <v>12</v>
      </c>
      <c r="E66" s="9" t="s">
        <v>13</v>
      </c>
      <c r="F66" s="8" t="s">
        <v>14</v>
      </c>
      <c r="G66" s="9" t="s">
        <v>15</v>
      </c>
      <c r="H66" s="8" t="s">
        <v>11</v>
      </c>
      <c r="I66" s="10" t="s">
        <v>16</v>
      </c>
      <c r="J66" s="8" t="s">
        <v>14</v>
      </c>
      <c r="K66" s="12" t="s">
        <v>17</v>
      </c>
      <c r="L66" s="8" t="s">
        <v>11</v>
      </c>
      <c r="M66" s="12" t="s">
        <v>18</v>
      </c>
      <c r="N66" s="8" t="s">
        <v>11</v>
      </c>
      <c r="O66" s="12" t="s">
        <v>19</v>
      </c>
      <c r="P66" s="8" t="s">
        <v>11</v>
      </c>
      <c r="Q66" s="12" t="s">
        <v>20</v>
      </c>
      <c r="R66" s="8" t="s">
        <v>14</v>
      </c>
      <c r="S66" s="29" t="s">
        <v>55</v>
      </c>
      <c r="T66" s="30" t="s">
        <v>31</v>
      </c>
      <c r="U66" s="14" t="s">
        <v>23</v>
      </c>
    </row>
    <row r="67" ht="15.75" customHeight="1">
      <c r="A67" s="6">
        <v>66.0</v>
      </c>
      <c r="B67" s="15" t="s">
        <v>10</v>
      </c>
      <c r="C67" s="16" t="s">
        <v>11</v>
      </c>
      <c r="D67" s="15" t="s">
        <v>12</v>
      </c>
      <c r="E67" s="17" t="s">
        <v>13</v>
      </c>
      <c r="F67" s="16" t="s">
        <v>14</v>
      </c>
      <c r="G67" s="17" t="s">
        <v>15</v>
      </c>
      <c r="H67" s="16" t="s">
        <v>11</v>
      </c>
      <c r="I67" s="18" t="s">
        <v>16</v>
      </c>
      <c r="J67" s="16" t="s">
        <v>14</v>
      </c>
      <c r="K67" s="19" t="s">
        <v>17</v>
      </c>
      <c r="L67" s="16" t="s">
        <v>11</v>
      </c>
      <c r="M67" s="19" t="s">
        <v>18</v>
      </c>
      <c r="N67" s="16" t="s">
        <v>11</v>
      </c>
      <c r="O67" s="19" t="s">
        <v>19</v>
      </c>
      <c r="P67" s="16" t="s">
        <v>11</v>
      </c>
      <c r="Q67" s="19" t="s">
        <v>20</v>
      </c>
      <c r="R67" s="16" t="s">
        <v>14</v>
      </c>
      <c r="S67" s="31" t="s">
        <v>55</v>
      </c>
      <c r="T67" s="32" t="s">
        <v>32</v>
      </c>
      <c r="U67" s="21" t="s">
        <v>23</v>
      </c>
    </row>
    <row r="68" ht="15.75" customHeight="1">
      <c r="A68" s="6">
        <v>67.0</v>
      </c>
      <c r="B68" s="7" t="s">
        <v>10</v>
      </c>
      <c r="C68" s="8" t="s">
        <v>11</v>
      </c>
      <c r="D68" s="7" t="s">
        <v>12</v>
      </c>
      <c r="E68" s="9" t="s">
        <v>13</v>
      </c>
      <c r="F68" s="8" t="s">
        <v>14</v>
      </c>
      <c r="G68" s="9" t="s">
        <v>15</v>
      </c>
      <c r="H68" s="8" t="s">
        <v>11</v>
      </c>
      <c r="I68" s="10" t="s">
        <v>16</v>
      </c>
      <c r="J68" s="8" t="s">
        <v>14</v>
      </c>
      <c r="K68" s="12" t="s">
        <v>17</v>
      </c>
      <c r="L68" s="8" t="s">
        <v>11</v>
      </c>
      <c r="M68" s="12" t="s">
        <v>18</v>
      </c>
      <c r="N68" s="8" t="s">
        <v>11</v>
      </c>
      <c r="O68" s="12" t="s">
        <v>19</v>
      </c>
      <c r="P68" s="8" t="s">
        <v>11</v>
      </c>
      <c r="Q68" s="12" t="s">
        <v>20</v>
      </c>
      <c r="R68" s="8" t="s">
        <v>14</v>
      </c>
      <c r="S68" s="29" t="s">
        <v>55</v>
      </c>
      <c r="T68" s="30" t="s">
        <v>33</v>
      </c>
      <c r="U68" s="14" t="s">
        <v>23</v>
      </c>
    </row>
    <row r="69" ht="15.75" customHeight="1">
      <c r="A69" s="6">
        <v>68.0</v>
      </c>
      <c r="B69" s="15" t="s">
        <v>10</v>
      </c>
      <c r="C69" s="16" t="s">
        <v>11</v>
      </c>
      <c r="D69" s="15" t="s">
        <v>12</v>
      </c>
      <c r="E69" s="17" t="s">
        <v>13</v>
      </c>
      <c r="F69" s="16" t="s">
        <v>14</v>
      </c>
      <c r="G69" s="17" t="s">
        <v>15</v>
      </c>
      <c r="H69" s="16" t="s">
        <v>11</v>
      </c>
      <c r="I69" s="18" t="s">
        <v>16</v>
      </c>
      <c r="J69" s="16" t="s">
        <v>14</v>
      </c>
      <c r="K69" s="19" t="s">
        <v>17</v>
      </c>
      <c r="L69" s="16" t="s">
        <v>11</v>
      </c>
      <c r="M69" s="19" t="s">
        <v>18</v>
      </c>
      <c r="N69" s="16" t="s">
        <v>11</v>
      </c>
      <c r="O69" s="19" t="s">
        <v>19</v>
      </c>
      <c r="P69" s="16" t="s">
        <v>11</v>
      </c>
      <c r="Q69" s="19" t="s">
        <v>20</v>
      </c>
      <c r="R69" s="16" t="s">
        <v>14</v>
      </c>
      <c r="S69" s="31" t="s">
        <v>55</v>
      </c>
      <c r="T69" s="32" t="s">
        <v>34</v>
      </c>
      <c r="U69" s="21" t="s">
        <v>23</v>
      </c>
    </row>
    <row r="70" ht="15.75" customHeight="1">
      <c r="A70" s="6">
        <v>69.0</v>
      </c>
      <c r="B70" s="7" t="s">
        <v>10</v>
      </c>
      <c r="C70" s="8" t="s">
        <v>11</v>
      </c>
      <c r="D70" s="7" t="s">
        <v>12</v>
      </c>
      <c r="E70" s="9" t="s">
        <v>13</v>
      </c>
      <c r="F70" s="8" t="s">
        <v>14</v>
      </c>
      <c r="G70" s="9" t="s">
        <v>15</v>
      </c>
      <c r="H70" s="8" t="s">
        <v>11</v>
      </c>
      <c r="I70" s="10" t="s">
        <v>16</v>
      </c>
      <c r="J70" s="8" t="s">
        <v>14</v>
      </c>
      <c r="K70" s="12" t="s">
        <v>17</v>
      </c>
      <c r="L70" s="8" t="s">
        <v>11</v>
      </c>
      <c r="M70" s="12" t="s">
        <v>18</v>
      </c>
      <c r="N70" s="8" t="s">
        <v>11</v>
      </c>
      <c r="O70" s="12" t="s">
        <v>19</v>
      </c>
      <c r="P70" s="8" t="s">
        <v>11</v>
      </c>
      <c r="Q70" s="12" t="s">
        <v>20</v>
      </c>
      <c r="R70" s="8" t="s">
        <v>14</v>
      </c>
      <c r="S70" s="29" t="s">
        <v>55</v>
      </c>
      <c r="T70" s="30" t="s">
        <v>35</v>
      </c>
      <c r="U70" s="14" t="s">
        <v>23</v>
      </c>
    </row>
    <row r="71" ht="15.75" customHeight="1">
      <c r="A71" s="6">
        <v>70.0</v>
      </c>
      <c r="B71" s="15" t="s">
        <v>10</v>
      </c>
      <c r="C71" s="16" t="s">
        <v>11</v>
      </c>
      <c r="D71" s="15" t="s">
        <v>12</v>
      </c>
      <c r="E71" s="17" t="s">
        <v>13</v>
      </c>
      <c r="F71" s="16" t="s">
        <v>14</v>
      </c>
      <c r="G71" s="17" t="s">
        <v>15</v>
      </c>
      <c r="H71" s="16" t="s">
        <v>11</v>
      </c>
      <c r="I71" s="18" t="s">
        <v>16</v>
      </c>
      <c r="J71" s="16" t="s">
        <v>14</v>
      </c>
      <c r="K71" s="19" t="s">
        <v>17</v>
      </c>
      <c r="L71" s="16" t="s">
        <v>11</v>
      </c>
      <c r="M71" s="19" t="s">
        <v>18</v>
      </c>
      <c r="N71" s="16" t="s">
        <v>11</v>
      </c>
      <c r="O71" s="19" t="s">
        <v>19</v>
      </c>
      <c r="P71" s="16" t="s">
        <v>11</v>
      </c>
      <c r="Q71" s="19" t="s">
        <v>20</v>
      </c>
      <c r="R71" s="16" t="s">
        <v>14</v>
      </c>
      <c r="S71" s="31" t="s">
        <v>55</v>
      </c>
      <c r="T71" s="32" t="s">
        <v>36</v>
      </c>
      <c r="U71" s="21" t="s">
        <v>23</v>
      </c>
    </row>
    <row r="72" ht="15.75" customHeight="1">
      <c r="A72" s="6">
        <v>71.0</v>
      </c>
      <c r="B72" s="7" t="s">
        <v>10</v>
      </c>
      <c r="C72" s="8" t="s">
        <v>11</v>
      </c>
      <c r="D72" s="7" t="s">
        <v>12</v>
      </c>
      <c r="E72" s="9" t="s">
        <v>13</v>
      </c>
      <c r="F72" s="8" t="s">
        <v>14</v>
      </c>
      <c r="G72" s="9" t="s">
        <v>15</v>
      </c>
      <c r="H72" s="8" t="s">
        <v>11</v>
      </c>
      <c r="I72" s="10" t="s">
        <v>16</v>
      </c>
      <c r="J72" s="8" t="s">
        <v>14</v>
      </c>
      <c r="K72" s="12" t="s">
        <v>17</v>
      </c>
      <c r="L72" s="8" t="s">
        <v>11</v>
      </c>
      <c r="M72" s="12" t="s">
        <v>18</v>
      </c>
      <c r="N72" s="8" t="s">
        <v>11</v>
      </c>
      <c r="O72" s="12" t="s">
        <v>19</v>
      </c>
      <c r="P72" s="8" t="s">
        <v>11</v>
      </c>
      <c r="Q72" s="12" t="s">
        <v>20</v>
      </c>
      <c r="R72" s="8" t="s">
        <v>14</v>
      </c>
      <c r="S72" s="29" t="s">
        <v>55</v>
      </c>
      <c r="T72" s="30" t="s">
        <v>37</v>
      </c>
      <c r="U72" s="14" t="s">
        <v>23</v>
      </c>
    </row>
    <row r="73" ht="15.75" customHeight="1">
      <c r="A73" s="6">
        <v>72.0</v>
      </c>
      <c r="B73" s="15" t="s">
        <v>10</v>
      </c>
      <c r="C73" s="16" t="s">
        <v>11</v>
      </c>
      <c r="D73" s="15" t="s">
        <v>12</v>
      </c>
      <c r="E73" s="17" t="s">
        <v>13</v>
      </c>
      <c r="F73" s="16" t="s">
        <v>14</v>
      </c>
      <c r="G73" s="17" t="s">
        <v>15</v>
      </c>
      <c r="H73" s="16" t="s">
        <v>11</v>
      </c>
      <c r="I73" s="18" t="s">
        <v>16</v>
      </c>
      <c r="J73" s="16" t="s">
        <v>14</v>
      </c>
      <c r="K73" s="19" t="s">
        <v>17</v>
      </c>
      <c r="L73" s="16" t="s">
        <v>11</v>
      </c>
      <c r="M73" s="19" t="s">
        <v>18</v>
      </c>
      <c r="N73" s="16" t="s">
        <v>11</v>
      </c>
      <c r="O73" s="19" t="s">
        <v>19</v>
      </c>
      <c r="P73" s="16" t="s">
        <v>11</v>
      </c>
      <c r="Q73" s="19" t="s">
        <v>20</v>
      </c>
      <c r="R73" s="16" t="s">
        <v>14</v>
      </c>
      <c r="S73" s="31" t="s">
        <v>55</v>
      </c>
      <c r="T73" s="32" t="s">
        <v>38</v>
      </c>
      <c r="U73" s="21" t="s">
        <v>23</v>
      </c>
    </row>
    <row r="74" ht="15.75" customHeight="1">
      <c r="A74" s="6">
        <v>73.0</v>
      </c>
      <c r="B74" s="7" t="s">
        <v>10</v>
      </c>
      <c r="C74" s="8" t="s">
        <v>11</v>
      </c>
      <c r="D74" s="7" t="s">
        <v>12</v>
      </c>
      <c r="E74" s="9" t="s">
        <v>13</v>
      </c>
      <c r="F74" s="8" t="s">
        <v>14</v>
      </c>
      <c r="G74" s="9" t="s">
        <v>15</v>
      </c>
      <c r="H74" s="8" t="s">
        <v>11</v>
      </c>
      <c r="I74" s="10" t="s">
        <v>16</v>
      </c>
      <c r="J74" s="8" t="s">
        <v>14</v>
      </c>
      <c r="K74" s="12" t="s">
        <v>17</v>
      </c>
      <c r="L74" s="8" t="s">
        <v>11</v>
      </c>
      <c r="M74" s="12" t="s">
        <v>18</v>
      </c>
      <c r="N74" s="8" t="s">
        <v>11</v>
      </c>
      <c r="O74" s="12" t="s">
        <v>19</v>
      </c>
      <c r="P74" s="8" t="s">
        <v>11</v>
      </c>
      <c r="Q74" s="12" t="s">
        <v>20</v>
      </c>
      <c r="R74" s="8" t="s">
        <v>14</v>
      </c>
      <c r="S74" s="29" t="s">
        <v>55</v>
      </c>
      <c r="T74" s="30" t="s">
        <v>39</v>
      </c>
      <c r="U74" s="14" t="s">
        <v>23</v>
      </c>
    </row>
    <row r="75" ht="15.75" customHeight="1">
      <c r="A75" s="6">
        <v>74.0</v>
      </c>
      <c r="B75" s="15" t="s">
        <v>10</v>
      </c>
      <c r="C75" s="16" t="s">
        <v>11</v>
      </c>
      <c r="D75" s="15" t="s">
        <v>12</v>
      </c>
      <c r="E75" s="17" t="s">
        <v>13</v>
      </c>
      <c r="F75" s="16" t="s">
        <v>14</v>
      </c>
      <c r="G75" s="17" t="s">
        <v>15</v>
      </c>
      <c r="H75" s="16" t="s">
        <v>11</v>
      </c>
      <c r="I75" s="18" t="s">
        <v>16</v>
      </c>
      <c r="J75" s="16" t="s">
        <v>14</v>
      </c>
      <c r="K75" s="19" t="s">
        <v>17</v>
      </c>
      <c r="L75" s="16" t="s">
        <v>11</v>
      </c>
      <c r="M75" s="19" t="s">
        <v>18</v>
      </c>
      <c r="N75" s="16" t="s">
        <v>11</v>
      </c>
      <c r="O75" s="19" t="s">
        <v>19</v>
      </c>
      <c r="P75" s="16" t="s">
        <v>11</v>
      </c>
      <c r="Q75" s="19" t="s">
        <v>20</v>
      </c>
      <c r="R75" s="16" t="s">
        <v>14</v>
      </c>
      <c r="S75" s="31" t="s">
        <v>55</v>
      </c>
      <c r="T75" s="32" t="s">
        <v>40</v>
      </c>
      <c r="U75" s="21" t="s">
        <v>23</v>
      </c>
    </row>
    <row r="76" ht="15.75" customHeight="1">
      <c r="A76" s="6">
        <v>75.0</v>
      </c>
      <c r="B76" s="7" t="s">
        <v>10</v>
      </c>
      <c r="C76" s="8" t="s">
        <v>11</v>
      </c>
      <c r="D76" s="7" t="s">
        <v>12</v>
      </c>
      <c r="E76" s="9" t="s">
        <v>13</v>
      </c>
      <c r="F76" s="8" t="s">
        <v>14</v>
      </c>
      <c r="G76" s="9" t="s">
        <v>15</v>
      </c>
      <c r="H76" s="8" t="s">
        <v>11</v>
      </c>
      <c r="I76" s="10" t="s">
        <v>16</v>
      </c>
      <c r="J76" s="8" t="s">
        <v>14</v>
      </c>
      <c r="K76" s="12" t="s">
        <v>17</v>
      </c>
      <c r="L76" s="8" t="s">
        <v>11</v>
      </c>
      <c r="M76" s="12" t="s">
        <v>18</v>
      </c>
      <c r="N76" s="8" t="s">
        <v>11</v>
      </c>
      <c r="O76" s="12" t="s">
        <v>19</v>
      </c>
      <c r="P76" s="8" t="s">
        <v>11</v>
      </c>
      <c r="Q76" s="12" t="s">
        <v>20</v>
      </c>
      <c r="R76" s="8" t="s">
        <v>14</v>
      </c>
      <c r="S76" s="29" t="s">
        <v>55</v>
      </c>
      <c r="T76" s="30" t="s">
        <v>41</v>
      </c>
      <c r="U76" s="14" t="s">
        <v>23</v>
      </c>
    </row>
    <row r="77" ht="15.75" customHeight="1">
      <c r="A77" s="6">
        <v>76.0</v>
      </c>
      <c r="B77" s="15" t="s">
        <v>10</v>
      </c>
      <c r="C77" s="16" t="s">
        <v>11</v>
      </c>
      <c r="D77" s="15" t="s">
        <v>12</v>
      </c>
      <c r="E77" s="17" t="s">
        <v>13</v>
      </c>
      <c r="F77" s="16" t="s">
        <v>14</v>
      </c>
      <c r="G77" s="17" t="s">
        <v>15</v>
      </c>
      <c r="H77" s="16" t="s">
        <v>11</v>
      </c>
      <c r="I77" s="18" t="s">
        <v>16</v>
      </c>
      <c r="J77" s="16" t="s">
        <v>14</v>
      </c>
      <c r="K77" s="19" t="s">
        <v>17</v>
      </c>
      <c r="L77" s="16" t="s">
        <v>11</v>
      </c>
      <c r="M77" s="19" t="s">
        <v>18</v>
      </c>
      <c r="N77" s="16" t="s">
        <v>11</v>
      </c>
      <c r="O77" s="19" t="s">
        <v>19</v>
      </c>
      <c r="P77" s="16" t="s">
        <v>11</v>
      </c>
      <c r="Q77" s="19" t="s">
        <v>20</v>
      </c>
      <c r="R77" s="16" t="s">
        <v>14</v>
      </c>
      <c r="S77" s="31" t="s">
        <v>55</v>
      </c>
      <c r="T77" s="32" t="s">
        <v>42</v>
      </c>
      <c r="U77" s="21" t="s">
        <v>23</v>
      </c>
    </row>
    <row r="78" ht="15.75" customHeight="1">
      <c r="A78" s="6">
        <v>77.0</v>
      </c>
      <c r="B78" s="7" t="s">
        <v>10</v>
      </c>
      <c r="C78" s="8" t="s">
        <v>11</v>
      </c>
      <c r="D78" s="7" t="s">
        <v>12</v>
      </c>
      <c r="E78" s="9" t="s">
        <v>13</v>
      </c>
      <c r="F78" s="8" t="s">
        <v>14</v>
      </c>
      <c r="G78" s="9" t="s">
        <v>15</v>
      </c>
      <c r="H78" s="8" t="s">
        <v>11</v>
      </c>
      <c r="I78" s="10" t="s">
        <v>16</v>
      </c>
      <c r="J78" s="8" t="s">
        <v>14</v>
      </c>
      <c r="K78" s="12" t="s">
        <v>17</v>
      </c>
      <c r="L78" s="8" t="s">
        <v>11</v>
      </c>
      <c r="M78" s="12" t="s">
        <v>18</v>
      </c>
      <c r="N78" s="8" t="s">
        <v>11</v>
      </c>
      <c r="O78" s="12" t="s">
        <v>19</v>
      </c>
      <c r="P78" s="8" t="s">
        <v>11</v>
      </c>
      <c r="Q78" s="12" t="s">
        <v>20</v>
      </c>
      <c r="R78" s="8" t="s">
        <v>14</v>
      </c>
      <c r="S78" s="29" t="s">
        <v>55</v>
      </c>
      <c r="T78" s="30" t="s">
        <v>43</v>
      </c>
      <c r="U78" s="14" t="s">
        <v>23</v>
      </c>
    </row>
    <row r="79" ht="15.75" customHeight="1">
      <c r="A79" s="6">
        <v>78.0</v>
      </c>
      <c r="B79" s="15" t="s">
        <v>10</v>
      </c>
      <c r="C79" s="16" t="s">
        <v>11</v>
      </c>
      <c r="D79" s="15" t="s">
        <v>12</v>
      </c>
      <c r="E79" s="17" t="s">
        <v>13</v>
      </c>
      <c r="F79" s="16" t="s">
        <v>14</v>
      </c>
      <c r="G79" s="17" t="s">
        <v>15</v>
      </c>
      <c r="H79" s="16" t="s">
        <v>11</v>
      </c>
      <c r="I79" s="18" t="s">
        <v>16</v>
      </c>
      <c r="J79" s="16" t="s">
        <v>14</v>
      </c>
      <c r="K79" s="19" t="s">
        <v>17</v>
      </c>
      <c r="L79" s="16" t="s">
        <v>11</v>
      </c>
      <c r="M79" s="19" t="s">
        <v>18</v>
      </c>
      <c r="N79" s="16" t="s">
        <v>11</v>
      </c>
      <c r="O79" s="19" t="s">
        <v>19</v>
      </c>
      <c r="P79" s="16" t="s">
        <v>11</v>
      </c>
      <c r="Q79" s="19" t="s">
        <v>20</v>
      </c>
      <c r="R79" s="16" t="s">
        <v>14</v>
      </c>
      <c r="S79" s="31" t="s">
        <v>55</v>
      </c>
      <c r="T79" s="32" t="s">
        <v>44</v>
      </c>
      <c r="U79" s="21" t="s">
        <v>23</v>
      </c>
    </row>
    <row r="80" ht="15.75" customHeight="1">
      <c r="A80" s="6">
        <v>79.0</v>
      </c>
      <c r="B80" s="7" t="s">
        <v>10</v>
      </c>
      <c r="C80" s="8" t="s">
        <v>11</v>
      </c>
      <c r="D80" s="7" t="s">
        <v>12</v>
      </c>
      <c r="E80" s="9" t="s">
        <v>13</v>
      </c>
      <c r="F80" s="8" t="s">
        <v>14</v>
      </c>
      <c r="G80" s="9" t="s">
        <v>15</v>
      </c>
      <c r="H80" s="8" t="s">
        <v>11</v>
      </c>
      <c r="I80" s="10" t="s">
        <v>16</v>
      </c>
      <c r="J80" s="8" t="s">
        <v>14</v>
      </c>
      <c r="K80" s="12" t="s">
        <v>17</v>
      </c>
      <c r="L80" s="8" t="s">
        <v>11</v>
      </c>
      <c r="M80" s="12" t="s">
        <v>18</v>
      </c>
      <c r="N80" s="8" t="s">
        <v>11</v>
      </c>
      <c r="O80" s="12" t="s">
        <v>19</v>
      </c>
      <c r="P80" s="8" t="s">
        <v>11</v>
      </c>
      <c r="Q80" s="12" t="s">
        <v>20</v>
      </c>
      <c r="R80" s="8" t="s">
        <v>14</v>
      </c>
      <c r="S80" s="29" t="s">
        <v>55</v>
      </c>
      <c r="T80" s="30" t="s">
        <v>45</v>
      </c>
      <c r="U80" s="14" t="s">
        <v>23</v>
      </c>
    </row>
    <row r="81" ht="15.75" customHeight="1">
      <c r="A81" s="6">
        <v>80.0</v>
      </c>
      <c r="B81" s="15" t="s">
        <v>10</v>
      </c>
      <c r="C81" s="16" t="s">
        <v>11</v>
      </c>
      <c r="D81" s="15" t="s">
        <v>12</v>
      </c>
      <c r="E81" s="17" t="s">
        <v>13</v>
      </c>
      <c r="F81" s="16" t="s">
        <v>14</v>
      </c>
      <c r="G81" s="17" t="s">
        <v>15</v>
      </c>
      <c r="H81" s="16" t="s">
        <v>11</v>
      </c>
      <c r="I81" s="18" t="s">
        <v>16</v>
      </c>
      <c r="J81" s="16" t="s">
        <v>14</v>
      </c>
      <c r="K81" s="19" t="s">
        <v>17</v>
      </c>
      <c r="L81" s="16" t="s">
        <v>11</v>
      </c>
      <c r="M81" s="19" t="s">
        <v>18</v>
      </c>
      <c r="N81" s="16" t="s">
        <v>11</v>
      </c>
      <c r="O81" s="19" t="s">
        <v>19</v>
      </c>
      <c r="P81" s="16" t="s">
        <v>11</v>
      </c>
      <c r="Q81" s="19" t="s">
        <v>20</v>
      </c>
      <c r="R81" s="16" t="s">
        <v>14</v>
      </c>
      <c r="S81" s="31" t="s">
        <v>55</v>
      </c>
      <c r="T81" s="32" t="s">
        <v>46</v>
      </c>
      <c r="U81" s="21" t="s">
        <v>23</v>
      </c>
    </row>
    <row r="82" ht="15.75" customHeight="1">
      <c r="A82" s="6">
        <v>81.0</v>
      </c>
      <c r="B82" s="7" t="s">
        <v>10</v>
      </c>
      <c r="C82" s="8" t="s">
        <v>11</v>
      </c>
      <c r="D82" s="7" t="s">
        <v>12</v>
      </c>
      <c r="E82" s="9" t="s">
        <v>13</v>
      </c>
      <c r="F82" s="8" t="s">
        <v>14</v>
      </c>
      <c r="G82" s="9" t="s">
        <v>15</v>
      </c>
      <c r="H82" s="8" t="s">
        <v>11</v>
      </c>
      <c r="I82" s="10" t="s">
        <v>16</v>
      </c>
      <c r="J82" s="8" t="s">
        <v>14</v>
      </c>
      <c r="K82" s="12" t="s">
        <v>17</v>
      </c>
      <c r="L82" s="8" t="s">
        <v>11</v>
      </c>
      <c r="M82" s="12" t="s">
        <v>18</v>
      </c>
      <c r="N82" s="8" t="s">
        <v>11</v>
      </c>
      <c r="O82" s="12" t="s">
        <v>19</v>
      </c>
      <c r="P82" s="8" t="s">
        <v>11</v>
      </c>
      <c r="Q82" s="12" t="s">
        <v>20</v>
      </c>
      <c r="R82" s="8" t="s">
        <v>14</v>
      </c>
      <c r="S82" s="29" t="s">
        <v>55</v>
      </c>
      <c r="T82" s="30" t="s">
        <v>47</v>
      </c>
      <c r="U82" s="14" t="s">
        <v>23</v>
      </c>
    </row>
    <row r="83" ht="15.75" customHeight="1">
      <c r="A83" s="6">
        <v>82.0</v>
      </c>
      <c r="B83" s="15" t="s">
        <v>10</v>
      </c>
      <c r="C83" s="16" t="s">
        <v>11</v>
      </c>
      <c r="D83" s="15" t="s">
        <v>12</v>
      </c>
      <c r="E83" s="17" t="s">
        <v>13</v>
      </c>
      <c r="F83" s="16" t="s">
        <v>14</v>
      </c>
      <c r="G83" s="17" t="s">
        <v>15</v>
      </c>
      <c r="H83" s="16" t="s">
        <v>11</v>
      </c>
      <c r="I83" s="18" t="s">
        <v>16</v>
      </c>
      <c r="J83" s="16" t="s">
        <v>14</v>
      </c>
      <c r="K83" s="19" t="s">
        <v>17</v>
      </c>
      <c r="L83" s="16" t="s">
        <v>11</v>
      </c>
      <c r="M83" s="19" t="s">
        <v>18</v>
      </c>
      <c r="N83" s="16" t="s">
        <v>11</v>
      </c>
      <c r="O83" s="19" t="s">
        <v>19</v>
      </c>
      <c r="P83" s="16" t="s">
        <v>11</v>
      </c>
      <c r="Q83" s="19" t="s">
        <v>20</v>
      </c>
      <c r="R83" s="16" t="s">
        <v>14</v>
      </c>
      <c r="S83" s="33" t="s">
        <v>56</v>
      </c>
      <c r="T83" s="34" t="s">
        <v>22</v>
      </c>
      <c r="U83" s="21" t="s">
        <v>23</v>
      </c>
    </row>
    <row r="84" ht="15.75" customHeight="1">
      <c r="A84" s="6">
        <v>83.0</v>
      </c>
      <c r="B84" s="7" t="s">
        <v>10</v>
      </c>
      <c r="C84" s="8" t="s">
        <v>11</v>
      </c>
      <c r="D84" s="7" t="s">
        <v>12</v>
      </c>
      <c r="E84" s="9" t="s">
        <v>13</v>
      </c>
      <c r="F84" s="8" t="s">
        <v>14</v>
      </c>
      <c r="G84" s="9" t="s">
        <v>15</v>
      </c>
      <c r="H84" s="8" t="s">
        <v>11</v>
      </c>
      <c r="I84" s="10" t="s">
        <v>16</v>
      </c>
      <c r="J84" s="8" t="s">
        <v>14</v>
      </c>
      <c r="K84" s="12" t="s">
        <v>17</v>
      </c>
      <c r="L84" s="8" t="s">
        <v>11</v>
      </c>
      <c r="M84" s="12" t="s">
        <v>18</v>
      </c>
      <c r="N84" s="8" t="s">
        <v>11</v>
      </c>
      <c r="O84" s="12" t="s">
        <v>19</v>
      </c>
      <c r="P84" s="8" t="s">
        <v>11</v>
      </c>
      <c r="Q84" s="12" t="s">
        <v>20</v>
      </c>
      <c r="R84" s="8" t="s">
        <v>14</v>
      </c>
      <c r="S84" s="35" t="s">
        <v>56</v>
      </c>
      <c r="T84" s="36" t="s">
        <v>24</v>
      </c>
      <c r="U84" s="14" t="s">
        <v>23</v>
      </c>
    </row>
    <row r="85" ht="15.75" customHeight="1">
      <c r="A85" s="6">
        <v>84.0</v>
      </c>
      <c r="B85" s="15" t="s">
        <v>10</v>
      </c>
      <c r="C85" s="16" t="s">
        <v>11</v>
      </c>
      <c r="D85" s="15" t="s">
        <v>12</v>
      </c>
      <c r="E85" s="17" t="s">
        <v>13</v>
      </c>
      <c r="F85" s="16" t="s">
        <v>14</v>
      </c>
      <c r="G85" s="17" t="s">
        <v>15</v>
      </c>
      <c r="H85" s="16" t="s">
        <v>11</v>
      </c>
      <c r="I85" s="18" t="s">
        <v>16</v>
      </c>
      <c r="J85" s="16" t="s">
        <v>14</v>
      </c>
      <c r="K85" s="19" t="s">
        <v>17</v>
      </c>
      <c r="L85" s="16" t="s">
        <v>11</v>
      </c>
      <c r="M85" s="19" t="s">
        <v>18</v>
      </c>
      <c r="N85" s="16" t="s">
        <v>11</v>
      </c>
      <c r="O85" s="19" t="s">
        <v>19</v>
      </c>
      <c r="P85" s="16" t="s">
        <v>11</v>
      </c>
      <c r="Q85" s="19" t="s">
        <v>20</v>
      </c>
      <c r="R85" s="16" t="s">
        <v>14</v>
      </c>
      <c r="S85" s="33" t="s">
        <v>56</v>
      </c>
      <c r="T85" s="34" t="s">
        <v>25</v>
      </c>
      <c r="U85" s="21" t="s">
        <v>23</v>
      </c>
    </row>
    <row r="86" ht="15.75" customHeight="1">
      <c r="A86" s="6">
        <v>85.0</v>
      </c>
      <c r="B86" s="7" t="s">
        <v>10</v>
      </c>
      <c r="C86" s="8" t="s">
        <v>11</v>
      </c>
      <c r="D86" s="7" t="s">
        <v>12</v>
      </c>
      <c r="E86" s="9" t="s">
        <v>13</v>
      </c>
      <c r="F86" s="8" t="s">
        <v>14</v>
      </c>
      <c r="G86" s="9" t="s">
        <v>15</v>
      </c>
      <c r="H86" s="8" t="s">
        <v>11</v>
      </c>
      <c r="I86" s="10" t="s">
        <v>16</v>
      </c>
      <c r="J86" s="8" t="s">
        <v>14</v>
      </c>
      <c r="K86" s="12" t="s">
        <v>17</v>
      </c>
      <c r="L86" s="8" t="s">
        <v>11</v>
      </c>
      <c r="M86" s="12" t="s">
        <v>18</v>
      </c>
      <c r="N86" s="8" t="s">
        <v>11</v>
      </c>
      <c r="O86" s="12" t="s">
        <v>19</v>
      </c>
      <c r="P86" s="8" t="s">
        <v>11</v>
      </c>
      <c r="Q86" s="12" t="s">
        <v>20</v>
      </c>
      <c r="R86" s="8" t="s">
        <v>14</v>
      </c>
      <c r="S86" s="35" t="s">
        <v>56</v>
      </c>
      <c r="T86" s="36" t="s">
        <v>26</v>
      </c>
      <c r="U86" s="14" t="s">
        <v>23</v>
      </c>
    </row>
    <row r="87" ht="15.75" customHeight="1">
      <c r="A87" s="6">
        <v>86.0</v>
      </c>
      <c r="B87" s="15" t="s">
        <v>10</v>
      </c>
      <c r="C87" s="16" t="s">
        <v>11</v>
      </c>
      <c r="D87" s="15" t="s">
        <v>12</v>
      </c>
      <c r="E87" s="17" t="s">
        <v>13</v>
      </c>
      <c r="F87" s="16" t="s">
        <v>14</v>
      </c>
      <c r="G87" s="17" t="s">
        <v>15</v>
      </c>
      <c r="H87" s="16" t="s">
        <v>11</v>
      </c>
      <c r="I87" s="18" t="s">
        <v>16</v>
      </c>
      <c r="J87" s="16" t="s">
        <v>14</v>
      </c>
      <c r="K87" s="19" t="s">
        <v>17</v>
      </c>
      <c r="L87" s="16" t="s">
        <v>11</v>
      </c>
      <c r="M87" s="19" t="s">
        <v>18</v>
      </c>
      <c r="N87" s="16" t="s">
        <v>11</v>
      </c>
      <c r="O87" s="19" t="s">
        <v>19</v>
      </c>
      <c r="P87" s="16" t="s">
        <v>11</v>
      </c>
      <c r="Q87" s="19" t="s">
        <v>20</v>
      </c>
      <c r="R87" s="16" t="s">
        <v>14</v>
      </c>
      <c r="S87" s="33" t="s">
        <v>56</v>
      </c>
      <c r="T87" s="34" t="s">
        <v>27</v>
      </c>
      <c r="U87" s="21" t="s">
        <v>23</v>
      </c>
    </row>
    <row r="88" ht="15.75" customHeight="1">
      <c r="A88" s="6">
        <v>87.0</v>
      </c>
      <c r="B88" s="7" t="s">
        <v>10</v>
      </c>
      <c r="C88" s="8" t="s">
        <v>11</v>
      </c>
      <c r="D88" s="7" t="s">
        <v>12</v>
      </c>
      <c r="E88" s="9" t="s">
        <v>13</v>
      </c>
      <c r="F88" s="8" t="s">
        <v>14</v>
      </c>
      <c r="G88" s="9" t="s">
        <v>15</v>
      </c>
      <c r="H88" s="8" t="s">
        <v>11</v>
      </c>
      <c r="I88" s="10" t="s">
        <v>16</v>
      </c>
      <c r="J88" s="8" t="s">
        <v>14</v>
      </c>
      <c r="K88" s="12" t="s">
        <v>17</v>
      </c>
      <c r="L88" s="8" t="s">
        <v>11</v>
      </c>
      <c r="M88" s="12" t="s">
        <v>18</v>
      </c>
      <c r="N88" s="8" t="s">
        <v>11</v>
      </c>
      <c r="O88" s="12" t="s">
        <v>19</v>
      </c>
      <c r="P88" s="8" t="s">
        <v>11</v>
      </c>
      <c r="Q88" s="12" t="s">
        <v>20</v>
      </c>
      <c r="R88" s="8" t="s">
        <v>14</v>
      </c>
      <c r="S88" s="35" t="s">
        <v>56</v>
      </c>
      <c r="T88" s="36" t="s">
        <v>28</v>
      </c>
      <c r="U88" s="14" t="s">
        <v>23</v>
      </c>
    </row>
    <row r="89" ht="15.75" customHeight="1">
      <c r="A89" s="6">
        <v>88.0</v>
      </c>
      <c r="B89" s="15" t="s">
        <v>10</v>
      </c>
      <c r="C89" s="16" t="s">
        <v>11</v>
      </c>
      <c r="D89" s="15" t="s">
        <v>12</v>
      </c>
      <c r="E89" s="17" t="s">
        <v>13</v>
      </c>
      <c r="F89" s="16" t="s">
        <v>14</v>
      </c>
      <c r="G89" s="17" t="s">
        <v>15</v>
      </c>
      <c r="H89" s="16" t="s">
        <v>11</v>
      </c>
      <c r="I89" s="18" t="s">
        <v>16</v>
      </c>
      <c r="J89" s="16" t="s">
        <v>14</v>
      </c>
      <c r="K89" s="19" t="s">
        <v>17</v>
      </c>
      <c r="L89" s="16" t="s">
        <v>11</v>
      </c>
      <c r="M89" s="19" t="s">
        <v>18</v>
      </c>
      <c r="N89" s="16" t="s">
        <v>11</v>
      </c>
      <c r="O89" s="19" t="s">
        <v>19</v>
      </c>
      <c r="P89" s="16" t="s">
        <v>11</v>
      </c>
      <c r="Q89" s="19" t="s">
        <v>20</v>
      </c>
      <c r="R89" s="16" t="s">
        <v>14</v>
      </c>
      <c r="S89" s="33" t="s">
        <v>56</v>
      </c>
      <c r="T89" s="34" t="s">
        <v>29</v>
      </c>
      <c r="U89" s="21" t="s">
        <v>23</v>
      </c>
    </row>
    <row r="90" ht="15.75" customHeight="1">
      <c r="A90" s="6">
        <v>89.0</v>
      </c>
      <c r="B90" s="7" t="s">
        <v>10</v>
      </c>
      <c r="C90" s="8" t="s">
        <v>11</v>
      </c>
      <c r="D90" s="7" t="s">
        <v>12</v>
      </c>
      <c r="E90" s="9" t="s">
        <v>13</v>
      </c>
      <c r="F90" s="8" t="s">
        <v>14</v>
      </c>
      <c r="G90" s="9" t="s">
        <v>15</v>
      </c>
      <c r="H90" s="8" t="s">
        <v>11</v>
      </c>
      <c r="I90" s="10" t="s">
        <v>16</v>
      </c>
      <c r="J90" s="8" t="s">
        <v>14</v>
      </c>
      <c r="K90" s="12" t="s">
        <v>17</v>
      </c>
      <c r="L90" s="8" t="s">
        <v>11</v>
      </c>
      <c r="M90" s="12" t="s">
        <v>18</v>
      </c>
      <c r="N90" s="8" t="s">
        <v>11</v>
      </c>
      <c r="O90" s="12" t="s">
        <v>19</v>
      </c>
      <c r="P90" s="8" t="s">
        <v>11</v>
      </c>
      <c r="Q90" s="12" t="s">
        <v>20</v>
      </c>
      <c r="R90" s="8" t="s">
        <v>14</v>
      </c>
      <c r="S90" s="35" t="s">
        <v>56</v>
      </c>
      <c r="T90" s="36" t="s">
        <v>30</v>
      </c>
      <c r="U90" s="14" t="s">
        <v>23</v>
      </c>
    </row>
    <row r="91" ht="15.75" customHeight="1">
      <c r="A91" s="6">
        <v>90.0</v>
      </c>
      <c r="B91" s="15" t="s">
        <v>10</v>
      </c>
      <c r="C91" s="16" t="s">
        <v>11</v>
      </c>
      <c r="D91" s="15" t="s">
        <v>12</v>
      </c>
      <c r="E91" s="17" t="s">
        <v>13</v>
      </c>
      <c r="F91" s="16" t="s">
        <v>14</v>
      </c>
      <c r="G91" s="17" t="s">
        <v>15</v>
      </c>
      <c r="H91" s="16" t="s">
        <v>11</v>
      </c>
      <c r="I91" s="18" t="s">
        <v>16</v>
      </c>
      <c r="J91" s="16" t="s">
        <v>14</v>
      </c>
      <c r="K91" s="19" t="s">
        <v>17</v>
      </c>
      <c r="L91" s="16" t="s">
        <v>11</v>
      </c>
      <c r="M91" s="19" t="s">
        <v>18</v>
      </c>
      <c r="N91" s="16" t="s">
        <v>11</v>
      </c>
      <c r="O91" s="19" t="s">
        <v>19</v>
      </c>
      <c r="P91" s="16" t="s">
        <v>11</v>
      </c>
      <c r="Q91" s="19" t="s">
        <v>20</v>
      </c>
      <c r="R91" s="16" t="s">
        <v>14</v>
      </c>
      <c r="S91" s="33" t="s">
        <v>56</v>
      </c>
      <c r="T91" s="34" t="s">
        <v>31</v>
      </c>
      <c r="U91" s="21" t="s">
        <v>23</v>
      </c>
    </row>
    <row r="92" ht="15.75" customHeight="1">
      <c r="A92" s="6">
        <v>91.0</v>
      </c>
      <c r="B92" s="7" t="s">
        <v>10</v>
      </c>
      <c r="C92" s="8" t="s">
        <v>11</v>
      </c>
      <c r="D92" s="7" t="s">
        <v>12</v>
      </c>
      <c r="E92" s="9" t="s">
        <v>13</v>
      </c>
      <c r="F92" s="8" t="s">
        <v>14</v>
      </c>
      <c r="G92" s="9" t="s">
        <v>15</v>
      </c>
      <c r="H92" s="8" t="s">
        <v>11</v>
      </c>
      <c r="I92" s="10" t="s">
        <v>16</v>
      </c>
      <c r="J92" s="8" t="s">
        <v>14</v>
      </c>
      <c r="K92" s="12" t="s">
        <v>17</v>
      </c>
      <c r="L92" s="8" t="s">
        <v>11</v>
      </c>
      <c r="M92" s="12" t="s">
        <v>18</v>
      </c>
      <c r="N92" s="8" t="s">
        <v>11</v>
      </c>
      <c r="O92" s="12" t="s">
        <v>19</v>
      </c>
      <c r="P92" s="8" t="s">
        <v>11</v>
      </c>
      <c r="Q92" s="12" t="s">
        <v>20</v>
      </c>
      <c r="R92" s="8" t="s">
        <v>14</v>
      </c>
      <c r="S92" s="35" t="s">
        <v>56</v>
      </c>
      <c r="T92" s="36" t="s">
        <v>32</v>
      </c>
      <c r="U92" s="14" t="s">
        <v>23</v>
      </c>
    </row>
    <row r="93" ht="15.75" customHeight="1">
      <c r="A93" s="6">
        <v>92.0</v>
      </c>
      <c r="B93" s="15" t="s">
        <v>10</v>
      </c>
      <c r="C93" s="16" t="s">
        <v>11</v>
      </c>
      <c r="D93" s="15" t="s">
        <v>12</v>
      </c>
      <c r="E93" s="17" t="s">
        <v>13</v>
      </c>
      <c r="F93" s="16" t="s">
        <v>14</v>
      </c>
      <c r="G93" s="17" t="s">
        <v>15</v>
      </c>
      <c r="H93" s="16" t="s">
        <v>11</v>
      </c>
      <c r="I93" s="18" t="s">
        <v>16</v>
      </c>
      <c r="J93" s="16" t="s">
        <v>14</v>
      </c>
      <c r="K93" s="19" t="s">
        <v>17</v>
      </c>
      <c r="L93" s="16" t="s">
        <v>11</v>
      </c>
      <c r="M93" s="19" t="s">
        <v>18</v>
      </c>
      <c r="N93" s="16" t="s">
        <v>11</v>
      </c>
      <c r="O93" s="19" t="s">
        <v>19</v>
      </c>
      <c r="P93" s="16" t="s">
        <v>11</v>
      </c>
      <c r="Q93" s="19" t="s">
        <v>20</v>
      </c>
      <c r="R93" s="16" t="s">
        <v>14</v>
      </c>
      <c r="S93" s="33" t="s">
        <v>56</v>
      </c>
      <c r="T93" s="34" t="s">
        <v>33</v>
      </c>
      <c r="U93" s="21" t="s">
        <v>23</v>
      </c>
    </row>
    <row r="94" ht="15.75" customHeight="1">
      <c r="A94" s="6">
        <v>93.0</v>
      </c>
      <c r="B94" s="7" t="s">
        <v>10</v>
      </c>
      <c r="C94" s="8" t="s">
        <v>11</v>
      </c>
      <c r="D94" s="7" t="s">
        <v>12</v>
      </c>
      <c r="E94" s="9" t="s">
        <v>13</v>
      </c>
      <c r="F94" s="8" t="s">
        <v>14</v>
      </c>
      <c r="G94" s="9" t="s">
        <v>15</v>
      </c>
      <c r="H94" s="8" t="s">
        <v>11</v>
      </c>
      <c r="I94" s="10" t="s">
        <v>16</v>
      </c>
      <c r="J94" s="8" t="s">
        <v>14</v>
      </c>
      <c r="K94" s="12" t="s">
        <v>17</v>
      </c>
      <c r="L94" s="8" t="s">
        <v>11</v>
      </c>
      <c r="M94" s="12" t="s">
        <v>18</v>
      </c>
      <c r="N94" s="8" t="s">
        <v>11</v>
      </c>
      <c r="O94" s="12" t="s">
        <v>19</v>
      </c>
      <c r="P94" s="8" t="s">
        <v>11</v>
      </c>
      <c r="Q94" s="12" t="s">
        <v>20</v>
      </c>
      <c r="R94" s="8" t="s">
        <v>14</v>
      </c>
      <c r="S94" s="35" t="s">
        <v>56</v>
      </c>
      <c r="T94" s="36" t="s">
        <v>34</v>
      </c>
      <c r="U94" s="14" t="s">
        <v>23</v>
      </c>
    </row>
    <row r="95" ht="15.75" customHeight="1">
      <c r="A95" s="6">
        <v>94.0</v>
      </c>
      <c r="B95" s="15" t="s">
        <v>10</v>
      </c>
      <c r="C95" s="16" t="s">
        <v>11</v>
      </c>
      <c r="D95" s="15" t="s">
        <v>12</v>
      </c>
      <c r="E95" s="17" t="s">
        <v>13</v>
      </c>
      <c r="F95" s="16" t="s">
        <v>14</v>
      </c>
      <c r="G95" s="17" t="s">
        <v>15</v>
      </c>
      <c r="H95" s="16" t="s">
        <v>11</v>
      </c>
      <c r="I95" s="18" t="s">
        <v>16</v>
      </c>
      <c r="J95" s="16" t="s">
        <v>14</v>
      </c>
      <c r="K95" s="19" t="s">
        <v>17</v>
      </c>
      <c r="L95" s="16" t="s">
        <v>11</v>
      </c>
      <c r="M95" s="19" t="s">
        <v>18</v>
      </c>
      <c r="N95" s="16" t="s">
        <v>11</v>
      </c>
      <c r="O95" s="19" t="s">
        <v>19</v>
      </c>
      <c r="P95" s="16" t="s">
        <v>11</v>
      </c>
      <c r="Q95" s="19" t="s">
        <v>20</v>
      </c>
      <c r="R95" s="16" t="s">
        <v>14</v>
      </c>
      <c r="S95" s="33" t="s">
        <v>56</v>
      </c>
      <c r="T95" s="34" t="s">
        <v>35</v>
      </c>
      <c r="U95" s="21" t="s">
        <v>23</v>
      </c>
    </row>
    <row r="96" ht="15.75" customHeight="1">
      <c r="A96" s="6">
        <v>95.0</v>
      </c>
      <c r="B96" s="7" t="s">
        <v>10</v>
      </c>
      <c r="C96" s="8" t="s">
        <v>11</v>
      </c>
      <c r="D96" s="7" t="s">
        <v>12</v>
      </c>
      <c r="E96" s="9" t="s">
        <v>13</v>
      </c>
      <c r="F96" s="8" t="s">
        <v>14</v>
      </c>
      <c r="G96" s="9" t="s">
        <v>15</v>
      </c>
      <c r="H96" s="8" t="s">
        <v>11</v>
      </c>
      <c r="I96" s="10" t="s">
        <v>16</v>
      </c>
      <c r="J96" s="8" t="s">
        <v>14</v>
      </c>
      <c r="K96" s="12" t="s">
        <v>17</v>
      </c>
      <c r="L96" s="8" t="s">
        <v>11</v>
      </c>
      <c r="M96" s="12" t="s">
        <v>18</v>
      </c>
      <c r="N96" s="8" t="s">
        <v>11</v>
      </c>
      <c r="O96" s="12" t="s">
        <v>19</v>
      </c>
      <c r="P96" s="8" t="s">
        <v>11</v>
      </c>
      <c r="Q96" s="12" t="s">
        <v>20</v>
      </c>
      <c r="R96" s="8" t="s">
        <v>14</v>
      </c>
      <c r="S96" s="35" t="s">
        <v>56</v>
      </c>
      <c r="T96" s="36" t="s">
        <v>36</v>
      </c>
      <c r="U96" s="14" t="s">
        <v>23</v>
      </c>
    </row>
    <row r="97" ht="15.75" customHeight="1">
      <c r="A97" s="6">
        <v>96.0</v>
      </c>
      <c r="B97" s="15" t="s">
        <v>10</v>
      </c>
      <c r="C97" s="16" t="s">
        <v>11</v>
      </c>
      <c r="D97" s="15" t="s">
        <v>12</v>
      </c>
      <c r="E97" s="17" t="s">
        <v>13</v>
      </c>
      <c r="F97" s="16" t="s">
        <v>14</v>
      </c>
      <c r="G97" s="17" t="s">
        <v>15</v>
      </c>
      <c r="H97" s="16" t="s">
        <v>11</v>
      </c>
      <c r="I97" s="18" t="s">
        <v>16</v>
      </c>
      <c r="J97" s="16" t="s">
        <v>14</v>
      </c>
      <c r="K97" s="19" t="s">
        <v>17</v>
      </c>
      <c r="L97" s="16" t="s">
        <v>11</v>
      </c>
      <c r="M97" s="19" t="s">
        <v>18</v>
      </c>
      <c r="N97" s="16" t="s">
        <v>11</v>
      </c>
      <c r="O97" s="19" t="s">
        <v>19</v>
      </c>
      <c r="P97" s="16" t="s">
        <v>11</v>
      </c>
      <c r="Q97" s="19" t="s">
        <v>20</v>
      </c>
      <c r="R97" s="16" t="s">
        <v>14</v>
      </c>
      <c r="S97" s="33" t="s">
        <v>56</v>
      </c>
      <c r="T97" s="34" t="s">
        <v>37</v>
      </c>
      <c r="U97" s="21" t="s">
        <v>23</v>
      </c>
    </row>
    <row r="98" ht="15.75" customHeight="1">
      <c r="A98" s="6">
        <v>97.0</v>
      </c>
      <c r="B98" s="7" t="s">
        <v>10</v>
      </c>
      <c r="C98" s="8" t="s">
        <v>11</v>
      </c>
      <c r="D98" s="7" t="s">
        <v>12</v>
      </c>
      <c r="E98" s="9" t="s">
        <v>13</v>
      </c>
      <c r="F98" s="8" t="s">
        <v>14</v>
      </c>
      <c r="G98" s="9" t="s">
        <v>15</v>
      </c>
      <c r="H98" s="8" t="s">
        <v>11</v>
      </c>
      <c r="I98" s="10" t="s">
        <v>16</v>
      </c>
      <c r="J98" s="8" t="s">
        <v>14</v>
      </c>
      <c r="K98" s="12" t="s">
        <v>17</v>
      </c>
      <c r="L98" s="8" t="s">
        <v>11</v>
      </c>
      <c r="M98" s="12" t="s">
        <v>18</v>
      </c>
      <c r="N98" s="8" t="s">
        <v>11</v>
      </c>
      <c r="O98" s="12" t="s">
        <v>19</v>
      </c>
      <c r="P98" s="8" t="s">
        <v>11</v>
      </c>
      <c r="Q98" s="12" t="s">
        <v>20</v>
      </c>
      <c r="R98" s="8" t="s">
        <v>14</v>
      </c>
      <c r="S98" s="35" t="s">
        <v>56</v>
      </c>
      <c r="T98" s="36" t="s">
        <v>38</v>
      </c>
      <c r="U98" s="14" t="s">
        <v>23</v>
      </c>
    </row>
    <row r="99" ht="15.75" customHeight="1">
      <c r="A99" s="6">
        <v>98.0</v>
      </c>
      <c r="B99" s="15" t="s">
        <v>10</v>
      </c>
      <c r="C99" s="16" t="s">
        <v>11</v>
      </c>
      <c r="D99" s="15" t="s">
        <v>12</v>
      </c>
      <c r="E99" s="17" t="s">
        <v>13</v>
      </c>
      <c r="F99" s="16" t="s">
        <v>14</v>
      </c>
      <c r="G99" s="17" t="s">
        <v>15</v>
      </c>
      <c r="H99" s="16" t="s">
        <v>11</v>
      </c>
      <c r="I99" s="18" t="s">
        <v>16</v>
      </c>
      <c r="J99" s="16" t="s">
        <v>14</v>
      </c>
      <c r="K99" s="19" t="s">
        <v>17</v>
      </c>
      <c r="L99" s="16" t="s">
        <v>11</v>
      </c>
      <c r="M99" s="19" t="s">
        <v>18</v>
      </c>
      <c r="N99" s="16" t="s">
        <v>11</v>
      </c>
      <c r="O99" s="19" t="s">
        <v>19</v>
      </c>
      <c r="P99" s="16" t="s">
        <v>11</v>
      </c>
      <c r="Q99" s="19" t="s">
        <v>20</v>
      </c>
      <c r="R99" s="16" t="s">
        <v>14</v>
      </c>
      <c r="S99" s="33" t="s">
        <v>56</v>
      </c>
      <c r="T99" s="34" t="s">
        <v>39</v>
      </c>
      <c r="U99" s="21" t="s">
        <v>23</v>
      </c>
    </row>
    <row r="100" ht="15.75" customHeight="1">
      <c r="A100" s="6">
        <v>99.0</v>
      </c>
      <c r="B100" s="7" t="s">
        <v>10</v>
      </c>
      <c r="C100" s="8" t="s">
        <v>11</v>
      </c>
      <c r="D100" s="7" t="s">
        <v>12</v>
      </c>
      <c r="E100" s="9" t="s">
        <v>13</v>
      </c>
      <c r="F100" s="8" t="s">
        <v>14</v>
      </c>
      <c r="G100" s="9" t="s">
        <v>15</v>
      </c>
      <c r="H100" s="8" t="s">
        <v>11</v>
      </c>
      <c r="I100" s="10" t="s">
        <v>16</v>
      </c>
      <c r="J100" s="8" t="s">
        <v>14</v>
      </c>
      <c r="K100" s="12" t="s">
        <v>17</v>
      </c>
      <c r="L100" s="8" t="s">
        <v>11</v>
      </c>
      <c r="M100" s="12" t="s">
        <v>18</v>
      </c>
      <c r="N100" s="8" t="s">
        <v>11</v>
      </c>
      <c r="O100" s="12" t="s">
        <v>19</v>
      </c>
      <c r="P100" s="8" t="s">
        <v>11</v>
      </c>
      <c r="Q100" s="12" t="s">
        <v>20</v>
      </c>
      <c r="R100" s="8" t="s">
        <v>14</v>
      </c>
      <c r="S100" s="35" t="s">
        <v>56</v>
      </c>
      <c r="T100" s="36" t="s">
        <v>40</v>
      </c>
      <c r="U100" s="14" t="s">
        <v>23</v>
      </c>
    </row>
    <row r="101" ht="15.75" customHeight="1">
      <c r="A101" s="6">
        <v>100.0</v>
      </c>
      <c r="B101" s="15" t="s">
        <v>10</v>
      </c>
      <c r="C101" s="16" t="s">
        <v>11</v>
      </c>
      <c r="D101" s="15" t="s">
        <v>12</v>
      </c>
      <c r="E101" s="17" t="s">
        <v>13</v>
      </c>
      <c r="F101" s="16" t="s">
        <v>14</v>
      </c>
      <c r="G101" s="17" t="s">
        <v>15</v>
      </c>
      <c r="H101" s="16" t="s">
        <v>11</v>
      </c>
      <c r="I101" s="18" t="s">
        <v>16</v>
      </c>
      <c r="J101" s="16" t="s">
        <v>14</v>
      </c>
      <c r="K101" s="19" t="s">
        <v>17</v>
      </c>
      <c r="L101" s="16" t="s">
        <v>11</v>
      </c>
      <c r="M101" s="19" t="s">
        <v>18</v>
      </c>
      <c r="N101" s="16" t="s">
        <v>11</v>
      </c>
      <c r="O101" s="19" t="s">
        <v>19</v>
      </c>
      <c r="P101" s="16" t="s">
        <v>11</v>
      </c>
      <c r="Q101" s="19" t="s">
        <v>20</v>
      </c>
      <c r="R101" s="16" t="s">
        <v>14</v>
      </c>
      <c r="S101" s="33" t="s">
        <v>56</v>
      </c>
      <c r="T101" s="34" t="s">
        <v>41</v>
      </c>
      <c r="U101" s="21" t="s">
        <v>23</v>
      </c>
    </row>
    <row r="102" ht="15.75" customHeight="1">
      <c r="A102" s="6">
        <v>101.0</v>
      </c>
      <c r="B102" s="7" t="s">
        <v>10</v>
      </c>
      <c r="C102" s="8" t="s">
        <v>11</v>
      </c>
      <c r="D102" s="7" t="s">
        <v>12</v>
      </c>
      <c r="E102" s="9" t="s">
        <v>13</v>
      </c>
      <c r="F102" s="8" t="s">
        <v>14</v>
      </c>
      <c r="G102" s="9" t="s">
        <v>15</v>
      </c>
      <c r="H102" s="8" t="s">
        <v>11</v>
      </c>
      <c r="I102" s="10" t="s">
        <v>16</v>
      </c>
      <c r="J102" s="8" t="s">
        <v>14</v>
      </c>
      <c r="K102" s="12" t="s">
        <v>17</v>
      </c>
      <c r="L102" s="8" t="s">
        <v>11</v>
      </c>
      <c r="M102" s="12" t="s">
        <v>18</v>
      </c>
      <c r="N102" s="8" t="s">
        <v>11</v>
      </c>
      <c r="O102" s="12" t="s">
        <v>19</v>
      </c>
      <c r="P102" s="8" t="s">
        <v>11</v>
      </c>
      <c r="Q102" s="12" t="s">
        <v>20</v>
      </c>
      <c r="R102" s="8" t="s">
        <v>14</v>
      </c>
      <c r="S102" s="35" t="s">
        <v>56</v>
      </c>
      <c r="T102" s="36" t="s">
        <v>42</v>
      </c>
      <c r="U102" s="14" t="s">
        <v>23</v>
      </c>
    </row>
    <row r="103" ht="15.75" customHeight="1">
      <c r="A103" s="6">
        <v>102.0</v>
      </c>
      <c r="B103" s="15" t="s">
        <v>10</v>
      </c>
      <c r="C103" s="16" t="s">
        <v>11</v>
      </c>
      <c r="D103" s="15" t="s">
        <v>12</v>
      </c>
      <c r="E103" s="17" t="s">
        <v>13</v>
      </c>
      <c r="F103" s="16" t="s">
        <v>14</v>
      </c>
      <c r="G103" s="17" t="s">
        <v>15</v>
      </c>
      <c r="H103" s="16" t="s">
        <v>11</v>
      </c>
      <c r="I103" s="18" t="s">
        <v>16</v>
      </c>
      <c r="J103" s="16" t="s">
        <v>14</v>
      </c>
      <c r="K103" s="19" t="s">
        <v>17</v>
      </c>
      <c r="L103" s="16" t="s">
        <v>11</v>
      </c>
      <c r="M103" s="19" t="s">
        <v>18</v>
      </c>
      <c r="N103" s="16" t="s">
        <v>11</v>
      </c>
      <c r="O103" s="19" t="s">
        <v>19</v>
      </c>
      <c r="P103" s="16" t="s">
        <v>11</v>
      </c>
      <c r="Q103" s="19" t="s">
        <v>20</v>
      </c>
      <c r="R103" s="16" t="s">
        <v>14</v>
      </c>
      <c r="S103" s="33" t="s">
        <v>56</v>
      </c>
      <c r="T103" s="34" t="s">
        <v>43</v>
      </c>
      <c r="U103" s="21" t="s">
        <v>23</v>
      </c>
    </row>
    <row r="104" ht="15.75" customHeight="1">
      <c r="A104" s="6">
        <v>103.0</v>
      </c>
      <c r="B104" s="7" t="s">
        <v>10</v>
      </c>
      <c r="C104" s="8" t="s">
        <v>11</v>
      </c>
      <c r="D104" s="7" t="s">
        <v>12</v>
      </c>
      <c r="E104" s="9" t="s">
        <v>13</v>
      </c>
      <c r="F104" s="8" t="s">
        <v>14</v>
      </c>
      <c r="G104" s="9" t="s">
        <v>15</v>
      </c>
      <c r="H104" s="8" t="s">
        <v>11</v>
      </c>
      <c r="I104" s="10" t="s">
        <v>16</v>
      </c>
      <c r="J104" s="8" t="s">
        <v>14</v>
      </c>
      <c r="K104" s="12" t="s">
        <v>17</v>
      </c>
      <c r="L104" s="8" t="s">
        <v>11</v>
      </c>
      <c r="M104" s="12" t="s">
        <v>18</v>
      </c>
      <c r="N104" s="8" t="s">
        <v>11</v>
      </c>
      <c r="O104" s="12" t="s">
        <v>19</v>
      </c>
      <c r="P104" s="8" t="s">
        <v>11</v>
      </c>
      <c r="Q104" s="12" t="s">
        <v>20</v>
      </c>
      <c r="R104" s="8" t="s">
        <v>14</v>
      </c>
      <c r="S104" s="35" t="s">
        <v>56</v>
      </c>
      <c r="T104" s="36" t="s">
        <v>44</v>
      </c>
      <c r="U104" s="14" t="s">
        <v>23</v>
      </c>
    </row>
    <row r="105" ht="15.75" customHeight="1">
      <c r="A105" s="6">
        <v>104.0</v>
      </c>
      <c r="B105" s="15" t="s">
        <v>10</v>
      </c>
      <c r="C105" s="16" t="s">
        <v>11</v>
      </c>
      <c r="D105" s="15" t="s">
        <v>12</v>
      </c>
      <c r="E105" s="17" t="s">
        <v>13</v>
      </c>
      <c r="F105" s="16" t="s">
        <v>14</v>
      </c>
      <c r="G105" s="17" t="s">
        <v>15</v>
      </c>
      <c r="H105" s="16" t="s">
        <v>11</v>
      </c>
      <c r="I105" s="18" t="s">
        <v>16</v>
      </c>
      <c r="J105" s="16" t="s">
        <v>14</v>
      </c>
      <c r="K105" s="19" t="s">
        <v>17</v>
      </c>
      <c r="L105" s="16" t="s">
        <v>11</v>
      </c>
      <c r="M105" s="19" t="s">
        <v>18</v>
      </c>
      <c r="N105" s="16" t="s">
        <v>11</v>
      </c>
      <c r="O105" s="19" t="s">
        <v>19</v>
      </c>
      <c r="P105" s="16" t="s">
        <v>11</v>
      </c>
      <c r="Q105" s="19" t="s">
        <v>20</v>
      </c>
      <c r="R105" s="16" t="s">
        <v>14</v>
      </c>
      <c r="S105" s="33" t="s">
        <v>56</v>
      </c>
      <c r="T105" s="34" t="s">
        <v>45</v>
      </c>
      <c r="U105" s="21" t="s">
        <v>23</v>
      </c>
    </row>
    <row r="106" ht="15.75" customHeight="1">
      <c r="A106" s="6">
        <v>105.0</v>
      </c>
      <c r="B106" s="7" t="s">
        <v>10</v>
      </c>
      <c r="C106" s="8" t="s">
        <v>11</v>
      </c>
      <c r="D106" s="7" t="s">
        <v>12</v>
      </c>
      <c r="E106" s="9" t="s">
        <v>13</v>
      </c>
      <c r="F106" s="8" t="s">
        <v>14</v>
      </c>
      <c r="G106" s="9" t="s">
        <v>15</v>
      </c>
      <c r="H106" s="8" t="s">
        <v>11</v>
      </c>
      <c r="I106" s="10" t="s">
        <v>16</v>
      </c>
      <c r="J106" s="8" t="s">
        <v>14</v>
      </c>
      <c r="K106" s="12" t="s">
        <v>17</v>
      </c>
      <c r="L106" s="8" t="s">
        <v>11</v>
      </c>
      <c r="M106" s="12" t="s">
        <v>18</v>
      </c>
      <c r="N106" s="8" t="s">
        <v>11</v>
      </c>
      <c r="O106" s="12" t="s">
        <v>19</v>
      </c>
      <c r="P106" s="8" t="s">
        <v>11</v>
      </c>
      <c r="Q106" s="12" t="s">
        <v>20</v>
      </c>
      <c r="R106" s="8" t="s">
        <v>14</v>
      </c>
      <c r="S106" s="35" t="s">
        <v>56</v>
      </c>
      <c r="T106" s="36" t="s">
        <v>46</v>
      </c>
      <c r="U106" s="14" t="s">
        <v>23</v>
      </c>
    </row>
    <row r="107" ht="15.75" customHeight="1">
      <c r="A107" s="6">
        <v>106.0</v>
      </c>
      <c r="B107" s="15" t="s">
        <v>10</v>
      </c>
      <c r="C107" s="16" t="s">
        <v>11</v>
      </c>
      <c r="D107" s="15" t="s">
        <v>12</v>
      </c>
      <c r="E107" s="17" t="s">
        <v>13</v>
      </c>
      <c r="F107" s="16" t="s">
        <v>14</v>
      </c>
      <c r="G107" s="17" t="s">
        <v>15</v>
      </c>
      <c r="H107" s="16" t="s">
        <v>11</v>
      </c>
      <c r="I107" s="18" t="s">
        <v>16</v>
      </c>
      <c r="J107" s="16" t="s">
        <v>14</v>
      </c>
      <c r="K107" s="19"/>
      <c r="L107" s="16" t="s">
        <v>11</v>
      </c>
      <c r="M107" s="19"/>
      <c r="N107" s="16" t="s">
        <v>11</v>
      </c>
      <c r="O107" s="19"/>
      <c r="P107" s="16" t="s">
        <v>11</v>
      </c>
      <c r="Q107" s="19"/>
      <c r="R107" s="16" t="s">
        <v>14</v>
      </c>
      <c r="S107" s="20"/>
      <c r="T107" s="37"/>
      <c r="U107" s="21" t="s">
        <v>23</v>
      </c>
    </row>
    <row r="108" ht="15.75" customHeight="1">
      <c r="A108" s="6">
        <v>107.0</v>
      </c>
      <c r="B108" s="7" t="s">
        <v>10</v>
      </c>
      <c r="C108" s="8" t="s">
        <v>11</v>
      </c>
      <c r="D108" s="7" t="s">
        <v>12</v>
      </c>
      <c r="E108" s="9" t="s">
        <v>13</v>
      </c>
      <c r="F108" s="8" t="s">
        <v>14</v>
      </c>
      <c r="G108" s="9" t="s">
        <v>15</v>
      </c>
      <c r="H108" s="8" t="s">
        <v>11</v>
      </c>
      <c r="I108" s="10" t="s">
        <v>16</v>
      </c>
      <c r="J108" s="8" t="s">
        <v>14</v>
      </c>
      <c r="K108" s="12"/>
      <c r="L108" s="8" t="s">
        <v>11</v>
      </c>
      <c r="M108" s="12"/>
      <c r="N108" s="8" t="s">
        <v>11</v>
      </c>
      <c r="O108" s="12"/>
      <c r="P108" s="8" t="s">
        <v>11</v>
      </c>
      <c r="Q108" s="12"/>
      <c r="R108" s="8" t="s">
        <v>14</v>
      </c>
      <c r="S108" s="13"/>
      <c r="T108" s="38"/>
      <c r="U108" s="14" t="s">
        <v>23</v>
      </c>
    </row>
    <row r="109" ht="15.75" customHeight="1">
      <c r="A109" s="6">
        <v>108.0</v>
      </c>
      <c r="B109" s="15" t="s">
        <v>10</v>
      </c>
      <c r="C109" s="16" t="s">
        <v>11</v>
      </c>
      <c r="D109" s="15" t="s">
        <v>12</v>
      </c>
      <c r="E109" s="17" t="s">
        <v>13</v>
      </c>
      <c r="F109" s="16" t="s">
        <v>14</v>
      </c>
      <c r="G109" s="17" t="s">
        <v>15</v>
      </c>
      <c r="H109" s="16" t="s">
        <v>11</v>
      </c>
      <c r="I109" s="18" t="s">
        <v>16</v>
      </c>
      <c r="J109" s="16" t="s">
        <v>14</v>
      </c>
      <c r="K109" s="19"/>
      <c r="L109" s="16" t="s">
        <v>11</v>
      </c>
      <c r="M109" s="19"/>
      <c r="N109" s="16" t="s">
        <v>11</v>
      </c>
      <c r="O109" s="19"/>
      <c r="P109" s="16" t="s">
        <v>11</v>
      </c>
      <c r="Q109" s="19"/>
      <c r="R109" s="16" t="s">
        <v>14</v>
      </c>
      <c r="S109" s="20"/>
      <c r="T109" s="37"/>
      <c r="U109" s="21" t="s">
        <v>23</v>
      </c>
    </row>
    <row r="110" ht="15.75" customHeight="1">
      <c r="A110" s="6">
        <v>109.0</v>
      </c>
      <c r="B110" s="7" t="s">
        <v>10</v>
      </c>
      <c r="C110" s="8" t="s">
        <v>11</v>
      </c>
      <c r="D110" s="7" t="s">
        <v>12</v>
      </c>
      <c r="E110" s="9" t="s">
        <v>13</v>
      </c>
      <c r="F110" s="8" t="s">
        <v>14</v>
      </c>
      <c r="G110" s="9" t="s">
        <v>15</v>
      </c>
      <c r="H110" s="8" t="s">
        <v>11</v>
      </c>
      <c r="I110" s="10" t="s">
        <v>16</v>
      </c>
      <c r="J110" s="8" t="s">
        <v>14</v>
      </c>
      <c r="K110" s="12"/>
      <c r="L110" s="8" t="s">
        <v>11</v>
      </c>
      <c r="M110" s="12"/>
      <c r="N110" s="8" t="s">
        <v>11</v>
      </c>
      <c r="O110" s="12"/>
      <c r="P110" s="8" t="s">
        <v>11</v>
      </c>
      <c r="Q110" s="12"/>
      <c r="R110" s="8" t="s">
        <v>14</v>
      </c>
      <c r="S110" s="13"/>
      <c r="T110" s="14"/>
      <c r="U110" s="14" t="s">
        <v>23</v>
      </c>
    </row>
    <row r="111" ht="15.75" customHeight="1">
      <c r="A111" s="6">
        <v>110.0</v>
      </c>
      <c r="B111" s="15" t="s">
        <v>10</v>
      </c>
      <c r="C111" s="16" t="s">
        <v>11</v>
      </c>
      <c r="D111" s="15" t="s">
        <v>12</v>
      </c>
      <c r="E111" s="17" t="s">
        <v>13</v>
      </c>
      <c r="F111" s="16" t="s">
        <v>14</v>
      </c>
      <c r="G111" s="17" t="s">
        <v>15</v>
      </c>
      <c r="H111" s="16" t="s">
        <v>11</v>
      </c>
      <c r="I111" s="18" t="s">
        <v>16</v>
      </c>
      <c r="J111" s="16" t="s">
        <v>14</v>
      </c>
      <c r="K111" s="19"/>
      <c r="L111" s="16" t="s">
        <v>11</v>
      </c>
      <c r="M111" s="19"/>
      <c r="N111" s="16" t="s">
        <v>11</v>
      </c>
      <c r="O111" s="19"/>
      <c r="P111" s="16" t="s">
        <v>11</v>
      </c>
      <c r="Q111" s="19"/>
      <c r="R111" s="16" t="s">
        <v>14</v>
      </c>
      <c r="S111" s="20"/>
      <c r="T111" s="21"/>
      <c r="U111" s="21" t="s">
        <v>23</v>
      </c>
    </row>
    <row r="112" ht="15.75" customHeight="1">
      <c r="A112" s="6">
        <v>111.0</v>
      </c>
      <c r="B112" s="7" t="s">
        <v>10</v>
      </c>
      <c r="C112" s="8" t="s">
        <v>11</v>
      </c>
      <c r="D112" s="7" t="s">
        <v>12</v>
      </c>
      <c r="E112" s="9" t="s">
        <v>13</v>
      </c>
      <c r="F112" s="8" t="s">
        <v>14</v>
      </c>
      <c r="G112" s="9" t="s">
        <v>15</v>
      </c>
      <c r="H112" s="8" t="s">
        <v>11</v>
      </c>
      <c r="I112" s="10" t="s">
        <v>16</v>
      </c>
      <c r="J112" s="8" t="s">
        <v>14</v>
      </c>
      <c r="K112" s="12"/>
      <c r="L112" s="8" t="s">
        <v>11</v>
      </c>
      <c r="M112" s="12"/>
      <c r="N112" s="8" t="s">
        <v>11</v>
      </c>
      <c r="O112" s="12"/>
      <c r="P112" s="8" t="s">
        <v>11</v>
      </c>
      <c r="Q112" s="12"/>
      <c r="R112" s="8" t="s">
        <v>14</v>
      </c>
      <c r="S112" s="13"/>
      <c r="T112" s="14"/>
      <c r="U112" s="14" t="s">
        <v>23</v>
      </c>
    </row>
    <row r="113" ht="15.75" customHeight="1">
      <c r="A113" s="6">
        <v>112.0</v>
      </c>
      <c r="B113" s="15" t="s">
        <v>10</v>
      </c>
      <c r="C113" s="16" t="s">
        <v>11</v>
      </c>
      <c r="D113" s="15" t="s">
        <v>12</v>
      </c>
      <c r="E113" s="17" t="s">
        <v>13</v>
      </c>
      <c r="F113" s="16" t="s">
        <v>14</v>
      </c>
      <c r="G113" s="17" t="s">
        <v>15</v>
      </c>
      <c r="H113" s="16" t="s">
        <v>11</v>
      </c>
      <c r="I113" s="18" t="s">
        <v>16</v>
      </c>
      <c r="J113" s="16" t="s">
        <v>14</v>
      </c>
      <c r="K113" s="19"/>
      <c r="L113" s="16" t="s">
        <v>11</v>
      </c>
      <c r="M113" s="19"/>
      <c r="N113" s="16" t="s">
        <v>11</v>
      </c>
      <c r="O113" s="19"/>
      <c r="P113" s="16" t="s">
        <v>11</v>
      </c>
      <c r="Q113" s="19"/>
      <c r="R113" s="16" t="s">
        <v>14</v>
      </c>
      <c r="S113" s="20"/>
      <c r="T113" s="21"/>
      <c r="U113" s="21" t="s">
        <v>23</v>
      </c>
    </row>
    <row r="114" ht="15.75" customHeight="1">
      <c r="A114" s="6">
        <v>113.0</v>
      </c>
      <c r="B114" s="7" t="s">
        <v>10</v>
      </c>
      <c r="C114" s="8" t="s">
        <v>11</v>
      </c>
      <c r="D114" s="7" t="s">
        <v>12</v>
      </c>
      <c r="E114" s="9" t="s">
        <v>13</v>
      </c>
      <c r="F114" s="8" t="s">
        <v>14</v>
      </c>
      <c r="G114" s="9" t="s">
        <v>15</v>
      </c>
      <c r="H114" s="8" t="s">
        <v>11</v>
      </c>
      <c r="I114" s="10" t="s">
        <v>16</v>
      </c>
      <c r="J114" s="8" t="s">
        <v>14</v>
      </c>
      <c r="K114" s="12"/>
      <c r="L114" s="8" t="s">
        <v>11</v>
      </c>
      <c r="M114" s="12"/>
      <c r="N114" s="8" t="s">
        <v>11</v>
      </c>
      <c r="O114" s="12"/>
      <c r="P114" s="8" t="s">
        <v>11</v>
      </c>
      <c r="Q114" s="12"/>
      <c r="R114" s="8" t="s">
        <v>14</v>
      </c>
      <c r="S114" s="13"/>
      <c r="T114" s="14"/>
      <c r="U114" s="14" t="s">
        <v>23</v>
      </c>
    </row>
    <row r="115" ht="15.75" customHeight="1">
      <c r="A115" s="6">
        <v>114.0</v>
      </c>
      <c r="B115" s="15" t="s">
        <v>10</v>
      </c>
      <c r="C115" s="16" t="s">
        <v>11</v>
      </c>
      <c r="D115" s="15" t="s">
        <v>12</v>
      </c>
      <c r="E115" s="17" t="s">
        <v>13</v>
      </c>
      <c r="F115" s="16" t="s">
        <v>14</v>
      </c>
      <c r="G115" s="17" t="s">
        <v>15</v>
      </c>
      <c r="H115" s="16" t="s">
        <v>11</v>
      </c>
      <c r="I115" s="18" t="s">
        <v>16</v>
      </c>
      <c r="J115" s="16" t="s">
        <v>14</v>
      </c>
      <c r="K115" s="19"/>
      <c r="L115" s="16" t="s">
        <v>11</v>
      </c>
      <c r="M115" s="19"/>
      <c r="N115" s="16" t="s">
        <v>11</v>
      </c>
      <c r="O115" s="19"/>
      <c r="P115" s="16" t="s">
        <v>11</v>
      </c>
      <c r="Q115" s="19"/>
      <c r="R115" s="16" t="s">
        <v>14</v>
      </c>
      <c r="S115" s="20"/>
      <c r="T115" s="21"/>
      <c r="U115" s="21" t="s">
        <v>23</v>
      </c>
    </row>
    <row r="116" ht="15.75" customHeight="1">
      <c r="A116" s="6">
        <v>115.0</v>
      </c>
      <c r="B116" s="7" t="s">
        <v>10</v>
      </c>
      <c r="C116" s="8" t="s">
        <v>11</v>
      </c>
      <c r="D116" s="7" t="s">
        <v>12</v>
      </c>
      <c r="E116" s="9" t="s">
        <v>13</v>
      </c>
      <c r="F116" s="8" t="s">
        <v>14</v>
      </c>
      <c r="G116" s="9" t="s">
        <v>15</v>
      </c>
      <c r="H116" s="8" t="s">
        <v>11</v>
      </c>
      <c r="I116" s="10" t="s">
        <v>16</v>
      </c>
      <c r="J116" s="8" t="s">
        <v>14</v>
      </c>
      <c r="K116" s="12"/>
      <c r="L116" s="8" t="s">
        <v>11</v>
      </c>
      <c r="M116" s="12"/>
      <c r="N116" s="8" t="s">
        <v>11</v>
      </c>
      <c r="O116" s="12"/>
      <c r="P116" s="8" t="s">
        <v>11</v>
      </c>
      <c r="Q116" s="12"/>
      <c r="R116" s="8" t="s">
        <v>14</v>
      </c>
      <c r="S116" s="13"/>
      <c r="T116" s="14"/>
      <c r="U116" s="14" t="s">
        <v>23</v>
      </c>
    </row>
    <row r="117" ht="15.75" customHeight="1">
      <c r="A117" s="6">
        <v>116.0</v>
      </c>
      <c r="B117" s="15" t="s">
        <v>10</v>
      </c>
      <c r="C117" s="16" t="s">
        <v>11</v>
      </c>
      <c r="D117" s="15" t="s">
        <v>12</v>
      </c>
      <c r="E117" s="17" t="s">
        <v>13</v>
      </c>
      <c r="F117" s="16" t="s">
        <v>14</v>
      </c>
      <c r="G117" s="17" t="s">
        <v>15</v>
      </c>
      <c r="H117" s="16" t="s">
        <v>11</v>
      </c>
      <c r="I117" s="18" t="s">
        <v>16</v>
      </c>
      <c r="J117" s="16" t="s">
        <v>14</v>
      </c>
      <c r="K117" s="19"/>
      <c r="L117" s="16" t="s">
        <v>11</v>
      </c>
      <c r="M117" s="19"/>
      <c r="N117" s="16" t="s">
        <v>11</v>
      </c>
      <c r="O117" s="19"/>
      <c r="P117" s="16" t="s">
        <v>11</v>
      </c>
      <c r="Q117" s="19"/>
      <c r="R117" s="16" t="s">
        <v>14</v>
      </c>
      <c r="S117" s="20"/>
      <c r="T117" s="21"/>
      <c r="U117" s="21" t="s">
        <v>23</v>
      </c>
    </row>
    <row r="118" ht="15.75" customHeight="1">
      <c r="A118" s="6">
        <v>117.0</v>
      </c>
      <c r="B118" s="7" t="s">
        <v>10</v>
      </c>
      <c r="C118" s="8" t="s">
        <v>11</v>
      </c>
      <c r="D118" s="7" t="s">
        <v>12</v>
      </c>
      <c r="E118" s="9" t="s">
        <v>13</v>
      </c>
      <c r="F118" s="8" t="s">
        <v>14</v>
      </c>
      <c r="G118" s="9" t="s">
        <v>15</v>
      </c>
      <c r="H118" s="8" t="s">
        <v>11</v>
      </c>
      <c r="I118" s="10" t="s">
        <v>16</v>
      </c>
      <c r="J118" s="8" t="s">
        <v>14</v>
      </c>
      <c r="K118" s="12"/>
      <c r="L118" s="8" t="s">
        <v>11</v>
      </c>
      <c r="M118" s="12"/>
      <c r="N118" s="8" t="s">
        <v>11</v>
      </c>
      <c r="O118" s="12"/>
      <c r="P118" s="8" t="s">
        <v>11</v>
      </c>
      <c r="Q118" s="12"/>
      <c r="R118" s="8" t="s">
        <v>14</v>
      </c>
      <c r="S118" s="13"/>
      <c r="T118" s="14"/>
      <c r="U118" s="14" t="s">
        <v>23</v>
      </c>
    </row>
    <row r="119" ht="15.75" customHeight="1">
      <c r="A119" s="6">
        <v>118.0</v>
      </c>
      <c r="B119" s="15" t="s">
        <v>10</v>
      </c>
      <c r="C119" s="16" t="s">
        <v>11</v>
      </c>
      <c r="D119" s="15" t="s">
        <v>12</v>
      </c>
      <c r="E119" s="17" t="s">
        <v>13</v>
      </c>
      <c r="F119" s="16" t="s">
        <v>14</v>
      </c>
      <c r="G119" s="17" t="s">
        <v>15</v>
      </c>
      <c r="H119" s="16" t="s">
        <v>11</v>
      </c>
      <c r="I119" s="18" t="s">
        <v>16</v>
      </c>
      <c r="J119" s="16" t="s">
        <v>14</v>
      </c>
      <c r="K119" s="19"/>
      <c r="L119" s="16" t="s">
        <v>11</v>
      </c>
      <c r="M119" s="19"/>
      <c r="N119" s="16" t="s">
        <v>11</v>
      </c>
      <c r="O119" s="19"/>
      <c r="P119" s="16" t="s">
        <v>11</v>
      </c>
      <c r="Q119" s="19"/>
      <c r="R119" s="16" t="s">
        <v>14</v>
      </c>
      <c r="S119" s="20"/>
      <c r="T119" s="21"/>
      <c r="U119" s="21" t="s">
        <v>23</v>
      </c>
    </row>
    <row r="120" ht="15.75" customHeight="1">
      <c r="A120" s="6">
        <v>119.0</v>
      </c>
      <c r="B120" s="7" t="s">
        <v>10</v>
      </c>
      <c r="C120" s="8" t="s">
        <v>11</v>
      </c>
      <c r="D120" s="7" t="s">
        <v>12</v>
      </c>
      <c r="E120" s="9" t="s">
        <v>13</v>
      </c>
      <c r="F120" s="8" t="s">
        <v>14</v>
      </c>
      <c r="G120" s="9" t="s">
        <v>15</v>
      </c>
      <c r="H120" s="8" t="s">
        <v>11</v>
      </c>
      <c r="I120" s="10" t="s">
        <v>16</v>
      </c>
      <c r="J120" s="8" t="s">
        <v>14</v>
      </c>
      <c r="K120" s="12"/>
      <c r="L120" s="8" t="s">
        <v>11</v>
      </c>
      <c r="M120" s="12"/>
      <c r="N120" s="8" t="s">
        <v>11</v>
      </c>
      <c r="O120" s="12"/>
      <c r="P120" s="8" t="s">
        <v>11</v>
      </c>
      <c r="Q120" s="12"/>
      <c r="R120" s="8" t="s">
        <v>14</v>
      </c>
      <c r="S120" s="13"/>
      <c r="T120" s="14"/>
      <c r="U120" s="14" t="s">
        <v>23</v>
      </c>
    </row>
    <row r="121" ht="15.75" customHeight="1">
      <c r="A121" s="6">
        <v>120.0</v>
      </c>
      <c r="B121" s="15" t="s">
        <v>10</v>
      </c>
      <c r="C121" s="16" t="s">
        <v>11</v>
      </c>
      <c r="D121" s="15" t="s">
        <v>12</v>
      </c>
      <c r="E121" s="17" t="s">
        <v>13</v>
      </c>
      <c r="F121" s="16" t="s">
        <v>14</v>
      </c>
      <c r="G121" s="17" t="s">
        <v>15</v>
      </c>
      <c r="H121" s="16" t="s">
        <v>11</v>
      </c>
      <c r="I121" s="18" t="s">
        <v>16</v>
      </c>
      <c r="J121" s="16" t="s">
        <v>14</v>
      </c>
      <c r="K121" s="19"/>
      <c r="L121" s="16" t="s">
        <v>11</v>
      </c>
      <c r="M121" s="19"/>
      <c r="N121" s="16" t="s">
        <v>11</v>
      </c>
      <c r="O121" s="19"/>
      <c r="P121" s="16" t="s">
        <v>11</v>
      </c>
      <c r="Q121" s="19"/>
      <c r="R121" s="16" t="s">
        <v>14</v>
      </c>
      <c r="S121" s="20"/>
      <c r="T121" s="21"/>
      <c r="U121" s="21" t="s">
        <v>23</v>
      </c>
    </row>
    <row r="122" ht="15.75" customHeight="1">
      <c r="A122" s="6">
        <v>121.0</v>
      </c>
      <c r="B122" s="7" t="s">
        <v>10</v>
      </c>
      <c r="C122" s="8" t="s">
        <v>11</v>
      </c>
      <c r="D122" s="7" t="s">
        <v>12</v>
      </c>
      <c r="E122" s="9" t="s">
        <v>13</v>
      </c>
      <c r="F122" s="8" t="s">
        <v>14</v>
      </c>
      <c r="G122" s="9" t="s">
        <v>15</v>
      </c>
      <c r="H122" s="8" t="s">
        <v>11</v>
      </c>
      <c r="I122" s="10" t="s">
        <v>16</v>
      </c>
      <c r="J122" s="8" t="s">
        <v>14</v>
      </c>
      <c r="K122" s="12"/>
      <c r="L122" s="8" t="s">
        <v>11</v>
      </c>
      <c r="M122" s="12"/>
      <c r="N122" s="8" t="s">
        <v>11</v>
      </c>
      <c r="O122" s="12"/>
      <c r="P122" s="8" t="s">
        <v>11</v>
      </c>
      <c r="Q122" s="12"/>
      <c r="R122" s="8" t="s">
        <v>14</v>
      </c>
      <c r="S122" s="13"/>
      <c r="T122" s="14"/>
      <c r="U122" s="14" t="s">
        <v>23</v>
      </c>
    </row>
    <row r="123" ht="15.75" customHeight="1">
      <c r="A123" s="6">
        <v>122.0</v>
      </c>
      <c r="B123" s="15" t="s">
        <v>10</v>
      </c>
      <c r="C123" s="16" t="s">
        <v>11</v>
      </c>
      <c r="D123" s="15" t="s">
        <v>12</v>
      </c>
      <c r="E123" s="17" t="s">
        <v>13</v>
      </c>
      <c r="F123" s="16" t="s">
        <v>14</v>
      </c>
      <c r="G123" s="17" t="s">
        <v>15</v>
      </c>
      <c r="H123" s="16" t="s">
        <v>11</v>
      </c>
      <c r="I123" s="18" t="s">
        <v>16</v>
      </c>
      <c r="J123" s="16" t="s">
        <v>14</v>
      </c>
      <c r="K123" s="19"/>
      <c r="L123" s="16" t="s">
        <v>11</v>
      </c>
      <c r="M123" s="19"/>
      <c r="N123" s="16" t="s">
        <v>11</v>
      </c>
      <c r="O123" s="19"/>
      <c r="P123" s="16" t="s">
        <v>11</v>
      </c>
      <c r="Q123" s="19"/>
      <c r="R123" s="16" t="s">
        <v>14</v>
      </c>
      <c r="S123" s="20"/>
      <c r="T123" s="21"/>
      <c r="U123" s="21" t="s">
        <v>23</v>
      </c>
    </row>
    <row r="124" ht="15.75" customHeight="1">
      <c r="A124" s="6">
        <v>123.0</v>
      </c>
      <c r="B124" s="7" t="s">
        <v>10</v>
      </c>
      <c r="C124" s="8" t="s">
        <v>11</v>
      </c>
      <c r="D124" s="7" t="s">
        <v>12</v>
      </c>
      <c r="E124" s="9" t="s">
        <v>13</v>
      </c>
      <c r="F124" s="8" t="s">
        <v>14</v>
      </c>
      <c r="G124" s="9" t="s">
        <v>15</v>
      </c>
      <c r="H124" s="8" t="s">
        <v>11</v>
      </c>
      <c r="I124" s="10" t="s">
        <v>16</v>
      </c>
      <c r="J124" s="8" t="s">
        <v>14</v>
      </c>
      <c r="K124" s="12"/>
      <c r="L124" s="8" t="s">
        <v>11</v>
      </c>
      <c r="M124" s="12"/>
      <c r="N124" s="8" t="s">
        <v>11</v>
      </c>
      <c r="O124" s="12"/>
      <c r="P124" s="8" t="s">
        <v>11</v>
      </c>
      <c r="Q124" s="12"/>
      <c r="R124" s="8" t="s">
        <v>14</v>
      </c>
      <c r="S124" s="13"/>
      <c r="T124" s="14"/>
      <c r="U124" s="14" t="s">
        <v>23</v>
      </c>
    </row>
    <row r="125" ht="15.75" customHeight="1">
      <c r="A125" s="6">
        <v>124.0</v>
      </c>
      <c r="B125" s="15" t="s">
        <v>10</v>
      </c>
      <c r="C125" s="16" t="s">
        <v>11</v>
      </c>
      <c r="D125" s="15" t="s">
        <v>12</v>
      </c>
      <c r="E125" s="17" t="s">
        <v>13</v>
      </c>
      <c r="F125" s="16" t="s">
        <v>14</v>
      </c>
      <c r="G125" s="17" t="s">
        <v>15</v>
      </c>
      <c r="H125" s="16" t="s">
        <v>11</v>
      </c>
      <c r="I125" s="18" t="s">
        <v>16</v>
      </c>
      <c r="J125" s="16" t="s">
        <v>14</v>
      </c>
      <c r="K125" s="19"/>
      <c r="L125" s="16" t="s">
        <v>11</v>
      </c>
      <c r="M125" s="19"/>
      <c r="N125" s="16" t="s">
        <v>11</v>
      </c>
      <c r="O125" s="19"/>
      <c r="P125" s="16" t="s">
        <v>11</v>
      </c>
      <c r="Q125" s="19"/>
      <c r="R125" s="16" t="s">
        <v>14</v>
      </c>
      <c r="S125" s="20"/>
      <c r="T125" s="21"/>
      <c r="U125" s="21" t="s">
        <v>23</v>
      </c>
    </row>
    <row r="126" ht="15.75" customHeight="1">
      <c r="A126" s="6">
        <v>125.0</v>
      </c>
      <c r="B126" s="7" t="s">
        <v>10</v>
      </c>
      <c r="C126" s="8" t="s">
        <v>11</v>
      </c>
      <c r="D126" s="7" t="s">
        <v>12</v>
      </c>
      <c r="E126" s="9" t="s">
        <v>13</v>
      </c>
      <c r="F126" s="8" t="s">
        <v>14</v>
      </c>
      <c r="G126" s="9" t="s">
        <v>15</v>
      </c>
      <c r="H126" s="8" t="s">
        <v>11</v>
      </c>
      <c r="I126" s="10" t="s">
        <v>16</v>
      </c>
      <c r="J126" s="8" t="s">
        <v>14</v>
      </c>
      <c r="K126" s="12"/>
      <c r="L126" s="8" t="s">
        <v>11</v>
      </c>
      <c r="M126" s="12"/>
      <c r="N126" s="8" t="s">
        <v>11</v>
      </c>
      <c r="O126" s="12"/>
      <c r="P126" s="8" t="s">
        <v>11</v>
      </c>
      <c r="Q126" s="12"/>
      <c r="R126" s="8" t="s">
        <v>14</v>
      </c>
      <c r="S126" s="13"/>
      <c r="T126" s="14"/>
      <c r="U126" s="14" t="s">
        <v>23</v>
      </c>
    </row>
    <row r="127" ht="15.75" customHeight="1">
      <c r="A127" s="6">
        <v>126.0</v>
      </c>
      <c r="B127" s="15" t="s">
        <v>10</v>
      </c>
      <c r="C127" s="16" t="s">
        <v>11</v>
      </c>
      <c r="D127" s="15" t="s">
        <v>12</v>
      </c>
      <c r="E127" s="17" t="s">
        <v>13</v>
      </c>
      <c r="F127" s="16" t="s">
        <v>14</v>
      </c>
      <c r="G127" s="17" t="s">
        <v>15</v>
      </c>
      <c r="H127" s="16" t="s">
        <v>11</v>
      </c>
      <c r="I127" s="18" t="s">
        <v>16</v>
      </c>
      <c r="J127" s="16" t="s">
        <v>14</v>
      </c>
      <c r="K127" s="19"/>
      <c r="L127" s="16" t="s">
        <v>11</v>
      </c>
      <c r="M127" s="19"/>
      <c r="N127" s="16" t="s">
        <v>11</v>
      </c>
      <c r="O127" s="19"/>
      <c r="P127" s="16" t="s">
        <v>11</v>
      </c>
      <c r="Q127" s="19"/>
      <c r="R127" s="16" t="s">
        <v>14</v>
      </c>
      <c r="S127" s="20"/>
      <c r="T127" s="21"/>
      <c r="U127" s="21" t="s">
        <v>23</v>
      </c>
    </row>
    <row r="128" ht="15.75" customHeight="1">
      <c r="A128" s="6">
        <v>127.0</v>
      </c>
      <c r="B128" s="7" t="s">
        <v>10</v>
      </c>
      <c r="C128" s="8" t="s">
        <v>11</v>
      </c>
      <c r="D128" s="7" t="s">
        <v>12</v>
      </c>
      <c r="E128" s="9" t="s">
        <v>13</v>
      </c>
      <c r="F128" s="8" t="s">
        <v>14</v>
      </c>
      <c r="G128" s="9" t="s">
        <v>15</v>
      </c>
      <c r="H128" s="8" t="s">
        <v>11</v>
      </c>
      <c r="I128" s="10" t="s">
        <v>16</v>
      </c>
      <c r="J128" s="8" t="s">
        <v>14</v>
      </c>
      <c r="K128" s="12"/>
      <c r="L128" s="8" t="s">
        <v>11</v>
      </c>
      <c r="M128" s="12"/>
      <c r="N128" s="8" t="s">
        <v>11</v>
      </c>
      <c r="O128" s="12"/>
      <c r="P128" s="8" t="s">
        <v>11</v>
      </c>
      <c r="Q128" s="12"/>
      <c r="R128" s="8" t="s">
        <v>14</v>
      </c>
      <c r="S128" s="13"/>
      <c r="T128" s="14"/>
      <c r="U128" s="14" t="s">
        <v>23</v>
      </c>
    </row>
    <row r="129" ht="15.75" customHeight="1">
      <c r="A129" s="6">
        <v>128.0</v>
      </c>
      <c r="B129" s="15" t="s">
        <v>10</v>
      </c>
      <c r="C129" s="16" t="s">
        <v>11</v>
      </c>
      <c r="D129" s="15" t="s">
        <v>12</v>
      </c>
      <c r="E129" s="17" t="s">
        <v>13</v>
      </c>
      <c r="F129" s="16" t="s">
        <v>14</v>
      </c>
      <c r="G129" s="17" t="s">
        <v>15</v>
      </c>
      <c r="H129" s="16" t="s">
        <v>11</v>
      </c>
      <c r="I129" s="18" t="s">
        <v>16</v>
      </c>
      <c r="J129" s="16" t="s">
        <v>14</v>
      </c>
      <c r="K129" s="19"/>
      <c r="L129" s="16" t="s">
        <v>11</v>
      </c>
      <c r="M129" s="19"/>
      <c r="N129" s="16" t="s">
        <v>11</v>
      </c>
      <c r="O129" s="19"/>
      <c r="P129" s="16" t="s">
        <v>11</v>
      </c>
      <c r="Q129" s="19"/>
      <c r="R129" s="16" t="s">
        <v>14</v>
      </c>
      <c r="S129" s="20"/>
      <c r="T129" s="21"/>
      <c r="U129" s="21" t="s">
        <v>23</v>
      </c>
    </row>
    <row r="130" ht="15.75" customHeight="1">
      <c r="A130" s="6">
        <v>129.0</v>
      </c>
      <c r="B130" s="7" t="s">
        <v>10</v>
      </c>
      <c r="C130" s="8" t="s">
        <v>11</v>
      </c>
      <c r="D130" s="7" t="s">
        <v>12</v>
      </c>
      <c r="E130" s="9" t="s">
        <v>13</v>
      </c>
      <c r="F130" s="8" t="s">
        <v>14</v>
      </c>
      <c r="G130" s="9" t="s">
        <v>15</v>
      </c>
      <c r="H130" s="8" t="s">
        <v>11</v>
      </c>
      <c r="I130" s="10" t="s">
        <v>16</v>
      </c>
      <c r="J130" s="8" t="s">
        <v>14</v>
      </c>
      <c r="K130" s="12"/>
      <c r="L130" s="8" t="s">
        <v>11</v>
      </c>
      <c r="M130" s="12"/>
      <c r="N130" s="8" t="s">
        <v>11</v>
      </c>
      <c r="O130" s="12"/>
      <c r="P130" s="8" t="s">
        <v>11</v>
      </c>
      <c r="Q130" s="12"/>
      <c r="R130" s="8" t="s">
        <v>14</v>
      </c>
      <c r="S130" s="13"/>
      <c r="T130" s="14"/>
      <c r="U130" s="14" t="s">
        <v>23</v>
      </c>
    </row>
    <row r="131" ht="15.75" customHeight="1">
      <c r="A131" s="6">
        <v>130.0</v>
      </c>
      <c r="B131" s="15" t="s">
        <v>10</v>
      </c>
      <c r="C131" s="16" t="s">
        <v>11</v>
      </c>
      <c r="D131" s="15" t="s">
        <v>12</v>
      </c>
      <c r="E131" s="17" t="s">
        <v>13</v>
      </c>
      <c r="F131" s="16" t="s">
        <v>14</v>
      </c>
      <c r="G131" s="17" t="s">
        <v>15</v>
      </c>
      <c r="H131" s="16" t="s">
        <v>11</v>
      </c>
      <c r="I131" s="18" t="s">
        <v>16</v>
      </c>
      <c r="J131" s="16" t="s">
        <v>14</v>
      </c>
      <c r="K131" s="19"/>
      <c r="L131" s="16" t="s">
        <v>11</v>
      </c>
      <c r="M131" s="19"/>
      <c r="N131" s="16" t="s">
        <v>11</v>
      </c>
      <c r="O131" s="19"/>
      <c r="P131" s="16" t="s">
        <v>11</v>
      </c>
      <c r="Q131" s="19"/>
      <c r="R131" s="16" t="s">
        <v>14</v>
      </c>
      <c r="S131" s="20"/>
      <c r="T131" s="21"/>
      <c r="U131" s="21" t="s">
        <v>23</v>
      </c>
    </row>
    <row r="132" ht="15.75" customHeight="1">
      <c r="A132" s="6">
        <v>131.0</v>
      </c>
      <c r="B132" s="7" t="s">
        <v>10</v>
      </c>
      <c r="C132" s="8" t="s">
        <v>11</v>
      </c>
      <c r="D132" s="7" t="s">
        <v>12</v>
      </c>
      <c r="E132" s="9" t="s">
        <v>13</v>
      </c>
      <c r="F132" s="8" t="s">
        <v>14</v>
      </c>
      <c r="G132" s="9" t="s">
        <v>15</v>
      </c>
      <c r="H132" s="8" t="s">
        <v>11</v>
      </c>
      <c r="I132" s="10" t="s">
        <v>16</v>
      </c>
      <c r="J132" s="8" t="s">
        <v>14</v>
      </c>
      <c r="K132" s="12"/>
      <c r="L132" s="8" t="s">
        <v>11</v>
      </c>
      <c r="M132" s="12"/>
      <c r="N132" s="8" t="s">
        <v>11</v>
      </c>
      <c r="O132" s="12"/>
      <c r="P132" s="8" t="s">
        <v>11</v>
      </c>
      <c r="Q132" s="12"/>
      <c r="R132" s="8" t="s">
        <v>14</v>
      </c>
      <c r="S132" s="13"/>
      <c r="T132" s="14"/>
      <c r="U132" s="14" t="s">
        <v>23</v>
      </c>
    </row>
    <row r="133" ht="15.75" customHeight="1">
      <c r="A133" s="6">
        <v>132.0</v>
      </c>
      <c r="B133" s="15" t="s">
        <v>10</v>
      </c>
      <c r="C133" s="16" t="s">
        <v>11</v>
      </c>
      <c r="D133" s="15" t="s">
        <v>12</v>
      </c>
      <c r="E133" s="17" t="s">
        <v>13</v>
      </c>
      <c r="F133" s="16" t="s">
        <v>14</v>
      </c>
      <c r="G133" s="17" t="s">
        <v>15</v>
      </c>
      <c r="H133" s="16" t="s">
        <v>11</v>
      </c>
      <c r="I133" s="18" t="s">
        <v>16</v>
      </c>
      <c r="J133" s="16" t="s">
        <v>14</v>
      </c>
      <c r="K133" s="19"/>
      <c r="L133" s="16" t="s">
        <v>11</v>
      </c>
      <c r="M133" s="19"/>
      <c r="N133" s="16" t="s">
        <v>11</v>
      </c>
      <c r="O133" s="19"/>
      <c r="P133" s="16" t="s">
        <v>11</v>
      </c>
      <c r="Q133" s="19"/>
      <c r="R133" s="16" t="s">
        <v>14</v>
      </c>
      <c r="S133" s="20"/>
      <c r="T133" s="21"/>
      <c r="U133" s="21" t="s">
        <v>23</v>
      </c>
    </row>
    <row r="134" ht="15.75" customHeight="1">
      <c r="A134" s="6">
        <v>133.0</v>
      </c>
      <c r="B134" s="7" t="s">
        <v>10</v>
      </c>
      <c r="C134" s="8" t="s">
        <v>11</v>
      </c>
      <c r="D134" s="7" t="s">
        <v>12</v>
      </c>
      <c r="E134" s="9" t="s">
        <v>13</v>
      </c>
      <c r="F134" s="8" t="s">
        <v>14</v>
      </c>
      <c r="G134" s="9" t="s">
        <v>15</v>
      </c>
      <c r="H134" s="8" t="s">
        <v>11</v>
      </c>
      <c r="I134" s="10" t="s">
        <v>16</v>
      </c>
      <c r="J134" s="8" t="s">
        <v>14</v>
      </c>
      <c r="K134" s="12"/>
      <c r="L134" s="8" t="s">
        <v>11</v>
      </c>
      <c r="M134" s="12"/>
      <c r="N134" s="8" t="s">
        <v>11</v>
      </c>
      <c r="O134" s="12"/>
      <c r="P134" s="8" t="s">
        <v>11</v>
      </c>
      <c r="Q134" s="12"/>
      <c r="R134" s="8" t="s">
        <v>14</v>
      </c>
      <c r="S134" s="13"/>
      <c r="T134" s="14"/>
      <c r="U134" s="14" t="s">
        <v>23</v>
      </c>
    </row>
    <row r="135" ht="15.75" customHeight="1">
      <c r="A135" s="6">
        <v>134.0</v>
      </c>
      <c r="B135" s="15" t="s">
        <v>10</v>
      </c>
      <c r="C135" s="16" t="s">
        <v>11</v>
      </c>
      <c r="D135" s="15" t="s">
        <v>12</v>
      </c>
      <c r="E135" s="17" t="s">
        <v>13</v>
      </c>
      <c r="F135" s="16" t="s">
        <v>14</v>
      </c>
      <c r="G135" s="17" t="s">
        <v>15</v>
      </c>
      <c r="H135" s="16" t="s">
        <v>11</v>
      </c>
      <c r="I135" s="18" t="s">
        <v>16</v>
      </c>
      <c r="J135" s="16" t="s">
        <v>14</v>
      </c>
      <c r="K135" s="19"/>
      <c r="L135" s="16" t="s">
        <v>11</v>
      </c>
      <c r="M135" s="19"/>
      <c r="N135" s="16" t="s">
        <v>11</v>
      </c>
      <c r="O135" s="19"/>
      <c r="P135" s="16" t="s">
        <v>11</v>
      </c>
      <c r="Q135" s="19"/>
      <c r="R135" s="16" t="s">
        <v>14</v>
      </c>
      <c r="S135" s="20"/>
      <c r="T135" s="21"/>
      <c r="U135" s="21" t="s">
        <v>23</v>
      </c>
    </row>
    <row r="136" ht="15.75" customHeight="1">
      <c r="A136" s="6">
        <v>135.0</v>
      </c>
      <c r="B136" s="7" t="s">
        <v>10</v>
      </c>
      <c r="C136" s="8" t="s">
        <v>11</v>
      </c>
      <c r="D136" s="7" t="s">
        <v>12</v>
      </c>
      <c r="E136" s="9" t="s">
        <v>13</v>
      </c>
      <c r="F136" s="8" t="s">
        <v>14</v>
      </c>
      <c r="G136" s="9" t="s">
        <v>15</v>
      </c>
      <c r="H136" s="8" t="s">
        <v>11</v>
      </c>
      <c r="I136" s="10" t="s">
        <v>16</v>
      </c>
      <c r="J136" s="8" t="s">
        <v>14</v>
      </c>
      <c r="K136" s="12"/>
      <c r="L136" s="8" t="s">
        <v>11</v>
      </c>
      <c r="M136" s="12"/>
      <c r="N136" s="8" t="s">
        <v>11</v>
      </c>
      <c r="O136" s="12"/>
      <c r="P136" s="8" t="s">
        <v>11</v>
      </c>
      <c r="Q136" s="12"/>
      <c r="R136" s="8" t="s">
        <v>14</v>
      </c>
      <c r="S136" s="13"/>
      <c r="T136" s="14"/>
      <c r="U136" s="14" t="s">
        <v>23</v>
      </c>
    </row>
    <row r="137" ht="15.75" customHeight="1">
      <c r="A137" s="6">
        <v>136.0</v>
      </c>
      <c r="B137" s="15" t="s">
        <v>10</v>
      </c>
      <c r="C137" s="16" t="s">
        <v>11</v>
      </c>
      <c r="D137" s="15" t="s">
        <v>12</v>
      </c>
      <c r="E137" s="17" t="s">
        <v>13</v>
      </c>
      <c r="F137" s="16" t="s">
        <v>14</v>
      </c>
      <c r="G137" s="17" t="s">
        <v>15</v>
      </c>
      <c r="H137" s="16" t="s">
        <v>11</v>
      </c>
      <c r="I137" s="18" t="s">
        <v>16</v>
      </c>
      <c r="J137" s="16" t="s">
        <v>14</v>
      </c>
      <c r="K137" s="19"/>
      <c r="L137" s="16" t="s">
        <v>11</v>
      </c>
      <c r="M137" s="19"/>
      <c r="N137" s="16" t="s">
        <v>11</v>
      </c>
      <c r="O137" s="19"/>
      <c r="P137" s="16" t="s">
        <v>11</v>
      </c>
      <c r="Q137" s="19"/>
      <c r="R137" s="16" t="s">
        <v>14</v>
      </c>
      <c r="S137" s="20"/>
      <c r="T137" s="21"/>
      <c r="U137" s="21" t="s">
        <v>23</v>
      </c>
    </row>
    <row r="138" ht="15.75" customHeight="1">
      <c r="A138" s="6">
        <v>137.0</v>
      </c>
      <c r="B138" s="7" t="s">
        <v>10</v>
      </c>
      <c r="C138" s="8" t="s">
        <v>11</v>
      </c>
      <c r="D138" s="7" t="s">
        <v>12</v>
      </c>
      <c r="E138" s="9" t="s">
        <v>13</v>
      </c>
      <c r="F138" s="8" t="s">
        <v>14</v>
      </c>
      <c r="G138" s="9" t="s">
        <v>15</v>
      </c>
      <c r="H138" s="8" t="s">
        <v>11</v>
      </c>
      <c r="I138" s="10" t="s">
        <v>16</v>
      </c>
      <c r="J138" s="8" t="s">
        <v>14</v>
      </c>
      <c r="K138" s="12"/>
      <c r="L138" s="8" t="s">
        <v>11</v>
      </c>
      <c r="M138" s="12"/>
      <c r="N138" s="8" t="s">
        <v>11</v>
      </c>
      <c r="O138" s="12"/>
      <c r="P138" s="8" t="s">
        <v>11</v>
      </c>
      <c r="Q138" s="12"/>
      <c r="R138" s="8" t="s">
        <v>14</v>
      </c>
      <c r="S138" s="13"/>
      <c r="T138" s="14"/>
      <c r="U138" s="14" t="s">
        <v>23</v>
      </c>
    </row>
    <row r="139" ht="15.75" customHeight="1">
      <c r="A139" s="6">
        <v>138.0</v>
      </c>
      <c r="B139" s="15" t="s">
        <v>10</v>
      </c>
      <c r="C139" s="16" t="s">
        <v>11</v>
      </c>
      <c r="D139" s="15" t="s">
        <v>12</v>
      </c>
      <c r="E139" s="17" t="s">
        <v>13</v>
      </c>
      <c r="F139" s="16" t="s">
        <v>14</v>
      </c>
      <c r="G139" s="17" t="s">
        <v>15</v>
      </c>
      <c r="H139" s="16" t="s">
        <v>11</v>
      </c>
      <c r="I139" s="18" t="s">
        <v>16</v>
      </c>
      <c r="J139" s="16" t="s">
        <v>14</v>
      </c>
      <c r="K139" s="19"/>
      <c r="L139" s="16" t="s">
        <v>11</v>
      </c>
      <c r="M139" s="19"/>
      <c r="N139" s="16" t="s">
        <v>11</v>
      </c>
      <c r="O139" s="19"/>
      <c r="P139" s="16" t="s">
        <v>11</v>
      </c>
      <c r="Q139" s="19"/>
      <c r="R139" s="16" t="s">
        <v>14</v>
      </c>
      <c r="S139" s="20"/>
      <c r="T139" s="21"/>
      <c r="U139" s="21" t="s">
        <v>23</v>
      </c>
    </row>
    <row r="140" ht="15.75" customHeight="1">
      <c r="A140" s="6">
        <v>139.0</v>
      </c>
      <c r="B140" s="7" t="s">
        <v>10</v>
      </c>
      <c r="C140" s="8" t="s">
        <v>11</v>
      </c>
      <c r="D140" s="7" t="s">
        <v>12</v>
      </c>
      <c r="E140" s="9" t="s">
        <v>13</v>
      </c>
      <c r="F140" s="8" t="s">
        <v>14</v>
      </c>
      <c r="G140" s="9" t="s">
        <v>15</v>
      </c>
      <c r="H140" s="8" t="s">
        <v>11</v>
      </c>
      <c r="I140" s="10" t="s">
        <v>16</v>
      </c>
      <c r="J140" s="8" t="s">
        <v>14</v>
      </c>
      <c r="K140" s="12"/>
      <c r="L140" s="8" t="s">
        <v>11</v>
      </c>
      <c r="M140" s="12"/>
      <c r="N140" s="8" t="s">
        <v>11</v>
      </c>
      <c r="O140" s="12"/>
      <c r="P140" s="8" t="s">
        <v>11</v>
      </c>
      <c r="Q140" s="12"/>
      <c r="R140" s="8" t="s">
        <v>14</v>
      </c>
      <c r="S140" s="13"/>
      <c r="T140" s="14"/>
      <c r="U140" s="14" t="s">
        <v>23</v>
      </c>
    </row>
    <row r="141" ht="15.75" customHeight="1">
      <c r="A141" s="6">
        <v>140.0</v>
      </c>
      <c r="B141" s="15" t="s">
        <v>10</v>
      </c>
      <c r="C141" s="16" t="s">
        <v>11</v>
      </c>
      <c r="D141" s="15" t="s">
        <v>12</v>
      </c>
      <c r="E141" s="17" t="s">
        <v>13</v>
      </c>
      <c r="F141" s="16" t="s">
        <v>14</v>
      </c>
      <c r="G141" s="17" t="s">
        <v>15</v>
      </c>
      <c r="H141" s="16" t="s">
        <v>11</v>
      </c>
      <c r="I141" s="18" t="s">
        <v>16</v>
      </c>
      <c r="J141" s="16" t="s">
        <v>14</v>
      </c>
      <c r="K141" s="19"/>
      <c r="L141" s="16" t="s">
        <v>11</v>
      </c>
      <c r="M141" s="19"/>
      <c r="N141" s="16" t="s">
        <v>11</v>
      </c>
      <c r="O141" s="19"/>
      <c r="P141" s="16" t="s">
        <v>11</v>
      </c>
      <c r="Q141" s="19"/>
      <c r="R141" s="16" t="s">
        <v>14</v>
      </c>
      <c r="S141" s="20"/>
      <c r="T141" s="21"/>
      <c r="U141" s="21" t="s">
        <v>23</v>
      </c>
    </row>
    <row r="142" ht="15.75" customHeight="1">
      <c r="A142" s="6">
        <v>141.0</v>
      </c>
      <c r="B142" s="7" t="s">
        <v>10</v>
      </c>
      <c r="C142" s="8" t="s">
        <v>11</v>
      </c>
      <c r="D142" s="7" t="s">
        <v>12</v>
      </c>
      <c r="E142" s="9" t="s">
        <v>13</v>
      </c>
      <c r="F142" s="8" t="s">
        <v>14</v>
      </c>
      <c r="G142" s="9" t="s">
        <v>15</v>
      </c>
      <c r="H142" s="8" t="s">
        <v>11</v>
      </c>
      <c r="I142" s="10" t="s">
        <v>16</v>
      </c>
      <c r="J142" s="8" t="s">
        <v>14</v>
      </c>
      <c r="K142" s="12"/>
      <c r="L142" s="8" t="s">
        <v>11</v>
      </c>
      <c r="M142" s="12"/>
      <c r="N142" s="8" t="s">
        <v>11</v>
      </c>
      <c r="O142" s="12"/>
      <c r="P142" s="8" t="s">
        <v>11</v>
      </c>
      <c r="Q142" s="12"/>
      <c r="R142" s="8" t="s">
        <v>14</v>
      </c>
      <c r="S142" s="13"/>
      <c r="T142" s="14"/>
      <c r="U142" s="14" t="s">
        <v>23</v>
      </c>
    </row>
    <row r="143" ht="15.75" customHeight="1">
      <c r="A143" s="6">
        <v>142.0</v>
      </c>
      <c r="B143" s="15" t="s">
        <v>10</v>
      </c>
      <c r="C143" s="16" t="s">
        <v>11</v>
      </c>
      <c r="D143" s="15" t="s">
        <v>12</v>
      </c>
      <c r="E143" s="17" t="s">
        <v>13</v>
      </c>
      <c r="F143" s="16" t="s">
        <v>14</v>
      </c>
      <c r="G143" s="17" t="s">
        <v>15</v>
      </c>
      <c r="H143" s="16" t="s">
        <v>11</v>
      </c>
      <c r="I143" s="18" t="s">
        <v>16</v>
      </c>
      <c r="J143" s="16" t="s">
        <v>14</v>
      </c>
      <c r="K143" s="19"/>
      <c r="L143" s="16" t="s">
        <v>11</v>
      </c>
      <c r="M143" s="19"/>
      <c r="N143" s="16" t="s">
        <v>11</v>
      </c>
      <c r="O143" s="19"/>
      <c r="P143" s="16" t="s">
        <v>11</v>
      </c>
      <c r="Q143" s="19"/>
      <c r="R143" s="16" t="s">
        <v>14</v>
      </c>
      <c r="S143" s="20"/>
      <c r="T143" s="21"/>
      <c r="U143" s="21" t="s">
        <v>23</v>
      </c>
    </row>
    <row r="144" ht="15.75" customHeight="1">
      <c r="A144" s="6">
        <v>143.0</v>
      </c>
      <c r="B144" s="7" t="s">
        <v>10</v>
      </c>
      <c r="C144" s="8" t="s">
        <v>11</v>
      </c>
      <c r="D144" s="7" t="s">
        <v>12</v>
      </c>
      <c r="E144" s="9" t="s">
        <v>13</v>
      </c>
      <c r="F144" s="8" t="s">
        <v>14</v>
      </c>
      <c r="G144" s="9" t="s">
        <v>15</v>
      </c>
      <c r="H144" s="8" t="s">
        <v>11</v>
      </c>
      <c r="I144" s="10" t="s">
        <v>16</v>
      </c>
      <c r="J144" s="8" t="s">
        <v>14</v>
      </c>
      <c r="K144" s="12"/>
      <c r="L144" s="8" t="s">
        <v>11</v>
      </c>
      <c r="M144" s="12"/>
      <c r="N144" s="8" t="s">
        <v>11</v>
      </c>
      <c r="O144" s="12"/>
      <c r="P144" s="8" t="s">
        <v>11</v>
      </c>
      <c r="Q144" s="12"/>
      <c r="R144" s="8" t="s">
        <v>14</v>
      </c>
      <c r="S144" s="13"/>
      <c r="T144" s="14"/>
      <c r="U144" s="14" t="s">
        <v>23</v>
      </c>
    </row>
    <row r="145" ht="15.75" customHeight="1">
      <c r="A145" s="6">
        <v>144.0</v>
      </c>
      <c r="B145" s="15" t="s">
        <v>10</v>
      </c>
      <c r="C145" s="16" t="s">
        <v>11</v>
      </c>
      <c r="D145" s="15" t="s">
        <v>12</v>
      </c>
      <c r="E145" s="17" t="s">
        <v>13</v>
      </c>
      <c r="F145" s="16" t="s">
        <v>14</v>
      </c>
      <c r="G145" s="17" t="s">
        <v>15</v>
      </c>
      <c r="H145" s="16" t="s">
        <v>11</v>
      </c>
      <c r="I145" s="18" t="s">
        <v>16</v>
      </c>
      <c r="J145" s="16" t="s">
        <v>14</v>
      </c>
      <c r="K145" s="19"/>
      <c r="L145" s="16" t="s">
        <v>11</v>
      </c>
      <c r="M145" s="19"/>
      <c r="N145" s="16" t="s">
        <v>11</v>
      </c>
      <c r="O145" s="19"/>
      <c r="P145" s="16" t="s">
        <v>11</v>
      </c>
      <c r="Q145" s="19"/>
      <c r="R145" s="16" t="s">
        <v>14</v>
      </c>
      <c r="S145" s="20"/>
      <c r="T145" s="21"/>
      <c r="U145" s="21" t="s">
        <v>23</v>
      </c>
    </row>
    <row r="146" ht="15.75" customHeight="1">
      <c r="A146" s="6">
        <v>145.0</v>
      </c>
      <c r="B146" s="7" t="s">
        <v>10</v>
      </c>
      <c r="C146" s="8" t="s">
        <v>11</v>
      </c>
      <c r="D146" s="7" t="s">
        <v>12</v>
      </c>
      <c r="E146" s="9" t="s">
        <v>13</v>
      </c>
      <c r="F146" s="8" t="s">
        <v>14</v>
      </c>
      <c r="G146" s="9" t="s">
        <v>15</v>
      </c>
      <c r="H146" s="8" t="s">
        <v>11</v>
      </c>
      <c r="I146" s="10" t="s">
        <v>16</v>
      </c>
      <c r="J146" s="8" t="s">
        <v>14</v>
      </c>
      <c r="K146" s="12"/>
      <c r="L146" s="8" t="s">
        <v>11</v>
      </c>
      <c r="M146" s="12"/>
      <c r="N146" s="8" t="s">
        <v>11</v>
      </c>
      <c r="O146" s="12"/>
      <c r="P146" s="8" t="s">
        <v>11</v>
      </c>
      <c r="Q146" s="12"/>
      <c r="R146" s="8" t="s">
        <v>14</v>
      </c>
      <c r="S146" s="13"/>
      <c r="T146" s="14"/>
      <c r="U146" s="14" t="s">
        <v>23</v>
      </c>
    </row>
    <row r="147" ht="15.75" customHeight="1">
      <c r="A147" s="6">
        <v>146.0</v>
      </c>
      <c r="B147" s="15" t="s">
        <v>10</v>
      </c>
      <c r="C147" s="16" t="s">
        <v>11</v>
      </c>
      <c r="D147" s="15" t="s">
        <v>12</v>
      </c>
      <c r="E147" s="17" t="s">
        <v>13</v>
      </c>
      <c r="F147" s="16" t="s">
        <v>14</v>
      </c>
      <c r="G147" s="17" t="s">
        <v>15</v>
      </c>
      <c r="H147" s="16" t="s">
        <v>11</v>
      </c>
      <c r="I147" s="18" t="s">
        <v>16</v>
      </c>
      <c r="J147" s="16" t="s">
        <v>14</v>
      </c>
      <c r="K147" s="19"/>
      <c r="L147" s="16" t="s">
        <v>11</v>
      </c>
      <c r="M147" s="19"/>
      <c r="N147" s="16" t="s">
        <v>11</v>
      </c>
      <c r="O147" s="19"/>
      <c r="P147" s="16" t="s">
        <v>11</v>
      </c>
      <c r="Q147" s="19"/>
      <c r="R147" s="16" t="s">
        <v>14</v>
      </c>
      <c r="S147" s="20"/>
      <c r="T147" s="21"/>
      <c r="U147" s="21" t="s">
        <v>23</v>
      </c>
    </row>
    <row r="148" ht="15.75" customHeight="1">
      <c r="A148" s="6">
        <v>147.0</v>
      </c>
      <c r="B148" s="7" t="s">
        <v>10</v>
      </c>
      <c r="C148" s="8" t="s">
        <v>11</v>
      </c>
      <c r="D148" s="7" t="s">
        <v>12</v>
      </c>
      <c r="E148" s="9" t="s">
        <v>13</v>
      </c>
      <c r="F148" s="8" t="s">
        <v>14</v>
      </c>
      <c r="G148" s="9" t="s">
        <v>15</v>
      </c>
      <c r="H148" s="8" t="s">
        <v>11</v>
      </c>
      <c r="I148" s="10" t="s">
        <v>16</v>
      </c>
      <c r="J148" s="8" t="s">
        <v>14</v>
      </c>
      <c r="K148" s="12"/>
      <c r="L148" s="8" t="s">
        <v>11</v>
      </c>
      <c r="M148" s="12"/>
      <c r="N148" s="8" t="s">
        <v>11</v>
      </c>
      <c r="O148" s="12"/>
      <c r="P148" s="8" t="s">
        <v>11</v>
      </c>
      <c r="Q148" s="12"/>
      <c r="R148" s="8" t="s">
        <v>14</v>
      </c>
      <c r="S148" s="13"/>
      <c r="T148" s="14"/>
      <c r="U148" s="14" t="s">
        <v>23</v>
      </c>
    </row>
    <row r="149" ht="15.75" customHeight="1">
      <c r="A149" s="6">
        <v>148.0</v>
      </c>
      <c r="B149" s="15" t="s">
        <v>10</v>
      </c>
      <c r="C149" s="16" t="s">
        <v>11</v>
      </c>
      <c r="D149" s="15" t="s">
        <v>12</v>
      </c>
      <c r="E149" s="17" t="s">
        <v>13</v>
      </c>
      <c r="F149" s="16" t="s">
        <v>14</v>
      </c>
      <c r="G149" s="17" t="s">
        <v>15</v>
      </c>
      <c r="H149" s="16" t="s">
        <v>11</v>
      </c>
      <c r="I149" s="18" t="s">
        <v>16</v>
      </c>
      <c r="J149" s="16" t="s">
        <v>14</v>
      </c>
      <c r="K149" s="19"/>
      <c r="L149" s="16" t="s">
        <v>11</v>
      </c>
      <c r="M149" s="19"/>
      <c r="N149" s="16" t="s">
        <v>11</v>
      </c>
      <c r="O149" s="19"/>
      <c r="P149" s="16" t="s">
        <v>11</v>
      </c>
      <c r="Q149" s="19"/>
      <c r="R149" s="16" t="s">
        <v>14</v>
      </c>
      <c r="S149" s="20"/>
      <c r="T149" s="21"/>
      <c r="U149" s="21" t="s">
        <v>23</v>
      </c>
    </row>
    <row r="150" ht="15.75" customHeight="1">
      <c r="A150" s="6">
        <v>149.0</v>
      </c>
      <c r="B150" s="7" t="s">
        <v>10</v>
      </c>
      <c r="C150" s="8" t="s">
        <v>11</v>
      </c>
      <c r="D150" s="7" t="s">
        <v>12</v>
      </c>
      <c r="E150" s="9" t="s">
        <v>13</v>
      </c>
      <c r="F150" s="8" t="s">
        <v>14</v>
      </c>
      <c r="G150" s="9" t="s">
        <v>15</v>
      </c>
      <c r="H150" s="8" t="s">
        <v>11</v>
      </c>
      <c r="I150" s="10" t="s">
        <v>16</v>
      </c>
      <c r="J150" s="8" t="s">
        <v>14</v>
      </c>
      <c r="K150" s="12"/>
      <c r="L150" s="8" t="s">
        <v>11</v>
      </c>
      <c r="M150" s="12"/>
      <c r="N150" s="8" t="s">
        <v>11</v>
      </c>
      <c r="O150" s="12"/>
      <c r="P150" s="8" t="s">
        <v>11</v>
      </c>
      <c r="Q150" s="12"/>
      <c r="R150" s="8" t="s">
        <v>14</v>
      </c>
      <c r="S150" s="13"/>
      <c r="T150" s="14"/>
      <c r="U150" s="14" t="s">
        <v>23</v>
      </c>
    </row>
    <row r="151" ht="15.75" customHeight="1">
      <c r="A151" s="6">
        <v>150.0</v>
      </c>
      <c r="B151" s="15" t="s">
        <v>10</v>
      </c>
      <c r="C151" s="16" t="s">
        <v>11</v>
      </c>
      <c r="D151" s="15" t="s">
        <v>12</v>
      </c>
      <c r="E151" s="17" t="s">
        <v>13</v>
      </c>
      <c r="F151" s="16" t="s">
        <v>14</v>
      </c>
      <c r="G151" s="17" t="s">
        <v>15</v>
      </c>
      <c r="H151" s="16" t="s">
        <v>11</v>
      </c>
      <c r="I151" s="18" t="s">
        <v>16</v>
      </c>
      <c r="J151" s="16" t="s">
        <v>14</v>
      </c>
      <c r="K151" s="19"/>
      <c r="L151" s="16" t="s">
        <v>11</v>
      </c>
      <c r="M151" s="19"/>
      <c r="N151" s="16" t="s">
        <v>11</v>
      </c>
      <c r="O151" s="19"/>
      <c r="P151" s="16" t="s">
        <v>11</v>
      </c>
      <c r="Q151" s="19"/>
      <c r="R151" s="16" t="s">
        <v>14</v>
      </c>
      <c r="S151" s="20"/>
      <c r="T151" s="21"/>
      <c r="U151" s="21" t="s">
        <v>23</v>
      </c>
    </row>
    <row r="152" ht="15.75" customHeight="1">
      <c r="A152" s="6">
        <v>151.0</v>
      </c>
      <c r="B152" s="7" t="s">
        <v>10</v>
      </c>
      <c r="C152" s="8" t="s">
        <v>11</v>
      </c>
      <c r="D152" s="7" t="s">
        <v>12</v>
      </c>
      <c r="E152" s="9" t="s">
        <v>13</v>
      </c>
      <c r="F152" s="8" t="s">
        <v>14</v>
      </c>
      <c r="G152" s="9" t="s">
        <v>15</v>
      </c>
      <c r="H152" s="8" t="s">
        <v>11</v>
      </c>
      <c r="I152" s="10" t="s">
        <v>16</v>
      </c>
      <c r="J152" s="8" t="s">
        <v>14</v>
      </c>
      <c r="K152" s="12"/>
      <c r="L152" s="8" t="s">
        <v>11</v>
      </c>
      <c r="M152" s="12"/>
      <c r="N152" s="8" t="s">
        <v>11</v>
      </c>
      <c r="O152" s="12"/>
      <c r="P152" s="8" t="s">
        <v>11</v>
      </c>
      <c r="Q152" s="12"/>
      <c r="R152" s="8" t="s">
        <v>14</v>
      </c>
      <c r="S152" s="13"/>
      <c r="T152" s="14"/>
      <c r="U152" s="14" t="s">
        <v>23</v>
      </c>
    </row>
    <row r="153" ht="15.75" customHeight="1">
      <c r="A153" s="6">
        <v>152.0</v>
      </c>
      <c r="B153" s="15" t="s">
        <v>10</v>
      </c>
      <c r="C153" s="16" t="s">
        <v>11</v>
      </c>
      <c r="D153" s="15" t="s">
        <v>12</v>
      </c>
      <c r="E153" s="17" t="s">
        <v>13</v>
      </c>
      <c r="F153" s="16" t="s">
        <v>14</v>
      </c>
      <c r="G153" s="17" t="s">
        <v>15</v>
      </c>
      <c r="H153" s="16" t="s">
        <v>11</v>
      </c>
      <c r="I153" s="18" t="s">
        <v>16</v>
      </c>
      <c r="J153" s="16" t="s">
        <v>14</v>
      </c>
      <c r="K153" s="19"/>
      <c r="L153" s="16" t="s">
        <v>11</v>
      </c>
      <c r="M153" s="19"/>
      <c r="N153" s="16" t="s">
        <v>11</v>
      </c>
      <c r="O153" s="19"/>
      <c r="P153" s="16" t="s">
        <v>11</v>
      </c>
      <c r="Q153" s="19"/>
      <c r="R153" s="16" t="s">
        <v>14</v>
      </c>
      <c r="S153" s="20"/>
      <c r="T153" s="21"/>
      <c r="U153" s="21" t="s">
        <v>23</v>
      </c>
    </row>
    <row r="154" ht="15.75" customHeight="1">
      <c r="A154" s="6">
        <v>153.0</v>
      </c>
      <c r="B154" s="7" t="s">
        <v>10</v>
      </c>
      <c r="C154" s="8" t="s">
        <v>11</v>
      </c>
      <c r="D154" s="7" t="s">
        <v>12</v>
      </c>
      <c r="E154" s="9" t="s">
        <v>13</v>
      </c>
      <c r="F154" s="8" t="s">
        <v>14</v>
      </c>
      <c r="G154" s="9" t="s">
        <v>15</v>
      </c>
      <c r="H154" s="8" t="s">
        <v>11</v>
      </c>
      <c r="I154" s="10" t="s">
        <v>16</v>
      </c>
      <c r="J154" s="8" t="s">
        <v>14</v>
      </c>
      <c r="K154" s="12"/>
      <c r="L154" s="8" t="s">
        <v>11</v>
      </c>
      <c r="M154" s="12"/>
      <c r="N154" s="8" t="s">
        <v>11</v>
      </c>
      <c r="O154" s="12"/>
      <c r="P154" s="8" t="s">
        <v>11</v>
      </c>
      <c r="Q154" s="12"/>
      <c r="R154" s="8" t="s">
        <v>14</v>
      </c>
      <c r="S154" s="13"/>
      <c r="T154" s="14"/>
      <c r="U154" s="14" t="s">
        <v>23</v>
      </c>
    </row>
    <row r="155" ht="15.75" customHeight="1">
      <c r="A155" s="6">
        <v>154.0</v>
      </c>
      <c r="B155" s="15" t="s">
        <v>10</v>
      </c>
      <c r="C155" s="16" t="s">
        <v>11</v>
      </c>
      <c r="D155" s="15" t="s">
        <v>12</v>
      </c>
      <c r="E155" s="17" t="s">
        <v>13</v>
      </c>
      <c r="F155" s="16" t="s">
        <v>14</v>
      </c>
      <c r="G155" s="17" t="s">
        <v>15</v>
      </c>
      <c r="H155" s="16" t="s">
        <v>11</v>
      </c>
      <c r="I155" s="18" t="s">
        <v>16</v>
      </c>
      <c r="J155" s="16" t="s">
        <v>14</v>
      </c>
      <c r="K155" s="19"/>
      <c r="L155" s="16" t="s">
        <v>11</v>
      </c>
      <c r="M155" s="19"/>
      <c r="N155" s="16" t="s">
        <v>11</v>
      </c>
      <c r="O155" s="19"/>
      <c r="P155" s="16" t="s">
        <v>11</v>
      </c>
      <c r="Q155" s="19"/>
      <c r="R155" s="16" t="s">
        <v>14</v>
      </c>
      <c r="S155" s="20"/>
      <c r="T155" s="21"/>
      <c r="U155" s="21" t="s">
        <v>23</v>
      </c>
    </row>
    <row r="156" ht="15.75" customHeight="1">
      <c r="A156" s="6">
        <v>155.0</v>
      </c>
      <c r="B156" s="7" t="s">
        <v>10</v>
      </c>
      <c r="C156" s="8" t="s">
        <v>11</v>
      </c>
      <c r="D156" s="7" t="s">
        <v>12</v>
      </c>
      <c r="E156" s="9" t="s">
        <v>13</v>
      </c>
      <c r="F156" s="8" t="s">
        <v>14</v>
      </c>
      <c r="G156" s="9" t="s">
        <v>15</v>
      </c>
      <c r="H156" s="8" t="s">
        <v>11</v>
      </c>
      <c r="I156" s="10" t="s">
        <v>16</v>
      </c>
      <c r="J156" s="8" t="s">
        <v>14</v>
      </c>
      <c r="K156" s="12"/>
      <c r="L156" s="8" t="s">
        <v>11</v>
      </c>
      <c r="M156" s="12"/>
      <c r="N156" s="8" t="s">
        <v>11</v>
      </c>
      <c r="O156" s="12"/>
      <c r="P156" s="8" t="s">
        <v>11</v>
      </c>
      <c r="Q156" s="12"/>
      <c r="R156" s="8" t="s">
        <v>14</v>
      </c>
      <c r="S156" s="13"/>
      <c r="T156" s="14"/>
      <c r="U156" s="14" t="s">
        <v>23</v>
      </c>
    </row>
    <row r="157" ht="15.75" customHeight="1">
      <c r="A157" s="6">
        <v>156.0</v>
      </c>
      <c r="B157" s="15" t="s">
        <v>10</v>
      </c>
      <c r="C157" s="16" t="s">
        <v>11</v>
      </c>
      <c r="D157" s="15" t="s">
        <v>12</v>
      </c>
      <c r="E157" s="17" t="s">
        <v>13</v>
      </c>
      <c r="F157" s="16" t="s">
        <v>14</v>
      </c>
      <c r="G157" s="17" t="s">
        <v>15</v>
      </c>
      <c r="H157" s="16" t="s">
        <v>11</v>
      </c>
      <c r="I157" s="18" t="s">
        <v>16</v>
      </c>
      <c r="J157" s="16" t="s">
        <v>14</v>
      </c>
      <c r="K157" s="19"/>
      <c r="L157" s="16" t="s">
        <v>11</v>
      </c>
      <c r="M157" s="19"/>
      <c r="N157" s="16" t="s">
        <v>11</v>
      </c>
      <c r="O157" s="19"/>
      <c r="P157" s="16" t="s">
        <v>11</v>
      </c>
      <c r="Q157" s="19"/>
      <c r="R157" s="16" t="s">
        <v>14</v>
      </c>
      <c r="S157" s="20"/>
      <c r="T157" s="21"/>
      <c r="U157" s="21" t="s">
        <v>23</v>
      </c>
    </row>
    <row r="158" ht="15.75" customHeight="1">
      <c r="A158" s="6">
        <v>157.0</v>
      </c>
      <c r="B158" s="7" t="s">
        <v>10</v>
      </c>
      <c r="C158" s="8" t="s">
        <v>11</v>
      </c>
      <c r="D158" s="7" t="s">
        <v>12</v>
      </c>
      <c r="E158" s="9" t="s">
        <v>13</v>
      </c>
      <c r="F158" s="8" t="s">
        <v>14</v>
      </c>
      <c r="G158" s="9" t="s">
        <v>15</v>
      </c>
      <c r="H158" s="8" t="s">
        <v>11</v>
      </c>
      <c r="I158" s="10" t="s">
        <v>16</v>
      </c>
      <c r="J158" s="8" t="s">
        <v>14</v>
      </c>
      <c r="K158" s="12"/>
      <c r="L158" s="8" t="s">
        <v>11</v>
      </c>
      <c r="M158" s="12"/>
      <c r="N158" s="8" t="s">
        <v>11</v>
      </c>
      <c r="O158" s="12"/>
      <c r="P158" s="8" t="s">
        <v>11</v>
      </c>
      <c r="Q158" s="12"/>
      <c r="R158" s="8" t="s">
        <v>14</v>
      </c>
      <c r="S158" s="13"/>
      <c r="T158" s="14"/>
      <c r="U158" s="14" t="s">
        <v>23</v>
      </c>
    </row>
    <row r="159" ht="15.75" customHeight="1">
      <c r="A159" s="6">
        <v>158.0</v>
      </c>
      <c r="B159" s="15" t="s">
        <v>10</v>
      </c>
      <c r="C159" s="16" t="s">
        <v>11</v>
      </c>
      <c r="D159" s="15" t="s">
        <v>12</v>
      </c>
      <c r="E159" s="17" t="s">
        <v>13</v>
      </c>
      <c r="F159" s="16" t="s">
        <v>14</v>
      </c>
      <c r="G159" s="17" t="s">
        <v>15</v>
      </c>
      <c r="H159" s="16" t="s">
        <v>11</v>
      </c>
      <c r="I159" s="18" t="s">
        <v>16</v>
      </c>
      <c r="J159" s="16" t="s">
        <v>14</v>
      </c>
      <c r="K159" s="19"/>
      <c r="L159" s="16" t="s">
        <v>11</v>
      </c>
      <c r="M159" s="19"/>
      <c r="N159" s="16" t="s">
        <v>11</v>
      </c>
      <c r="O159" s="19"/>
      <c r="P159" s="16" t="s">
        <v>11</v>
      </c>
      <c r="Q159" s="19"/>
      <c r="R159" s="16" t="s">
        <v>14</v>
      </c>
      <c r="S159" s="20"/>
      <c r="T159" s="21"/>
      <c r="U159" s="21" t="s">
        <v>23</v>
      </c>
    </row>
    <row r="160" ht="15.75" customHeight="1">
      <c r="A160" s="6">
        <v>159.0</v>
      </c>
      <c r="B160" s="7" t="s">
        <v>10</v>
      </c>
      <c r="C160" s="8" t="s">
        <v>11</v>
      </c>
      <c r="D160" s="7" t="s">
        <v>12</v>
      </c>
      <c r="E160" s="9" t="s">
        <v>13</v>
      </c>
      <c r="F160" s="8" t="s">
        <v>14</v>
      </c>
      <c r="G160" s="9" t="s">
        <v>15</v>
      </c>
      <c r="H160" s="8" t="s">
        <v>11</v>
      </c>
      <c r="I160" s="10" t="s">
        <v>16</v>
      </c>
      <c r="J160" s="8" t="s">
        <v>14</v>
      </c>
      <c r="K160" s="12"/>
      <c r="L160" s="8" t="s">
        <v>11</v>
      </c>
      <c r="M160" s="12"/>
      <c r="N160" s="8" t="s">
        <v>11</v>
      </c>
      <c r="O160" s="12"/>
      <c r="P160" s="8" t="s">
        <v>11</v>
      </c>
      <c r="Q160" s="12"/>
      <c r="R160" s="8" t="s">
        <v>14</v>
      </c>
      <c r="S160" s="13"/>
      <c r="T160" s="14"/>
      <c r="U160" s="14" t="s">
        <v>23</v>
      </c>
    </row>
    <row r="161" ht="15.75" customHeight="1">
      <c r="A161" s="6">
        <v>160.0</v>
      </c>
      <c r="B161" s="15" t="s">
        <v>10</v>
      </c>
      <c r="C161" s="16" t="s">
        <v>11</v>
      </c>
      <c r="D161" s="15" t="s">
        <v>12</v>
      </c>
      <c r="E161" s="17" t="s">
        <v>13</v>
      </c>
      <c r="F161" s="16" t="s">
        <v>14</v>
      </c>
      <c r="G161" s="17" t="s">
        <v>15</v>
      </c>
      <c r="H161" s="16" t="s">
        <v>11</v>
      </c>
      <c r="I161" s="18" t="s">
        <v>16</v>
      </c>
      <c r="J161" s="16" t="s">
        <v>14</v>
      </c>
      <c r="K161" s="19"/>
      <c r="L161" s="16" t="s">
        <v>11</v>
      </c>
      <c r="M161" s="19"/>
      <c r="N161" s="16" t="s">
        <v>11</v>
      </c>
      <c r="O161" s="19"/>
      <c r="P161" s="16" t="s">
        <v>11</v>
      </c>
      <c r="Q161" s="19"/>
      <c r="R161" s="16" t="s">
        <v>14</v>
      </c>
      <c r="S161" s="20"/>
      <c r="T161" s="21"/>
      <c r="U161" s="21" t="s">
        <v>23</v>
      </c>
    </row>
    <row r="162" ht="15.75" customHeight="1">
      <c r="A162" s="6">
        <v>161.0</v>
      </c>
      <c r="B162" s="7" t="s">
        <v>10</v>
      </c>
      <c r="C162" s="8" t="s">
        <v>11</v>
      </c>
      <c r="D162" s="7" t="s">
        <v>12</v>
      </c>
      <c r="E162" s="9" t="s">
        <v>13</v>
      </c>
      <c r="F162" s="8" t="s">
        <v>14</v>
      </c>
      <c r="G162" s="9" t="s">
        <v>15</v>
      </c>
      <c r="H162" s="8" t="s">
        <v>11</v>
      </c>
      <c r="I162" s="10" t="s">
        <v>16</v>
      </c>
      <c r="J162" s="8" t="s">
        <v>14</v>
      </c>
      <c r="K162" s="12"/>
      <c r="L162" s="8" t="s">
        <v>11</v>
      </c>
      <c r="M162" s="12"/>
      <c r="N162" s="8" t="s">
        <v>11</v>
      </c>
      <c r="O162" s="12"/>
      <c r="P162" s="8" t="s">
        <v>11</v>
      </c>
      <c r="Q162" s="12"/>
      <c r="R162" s="8" t="s">
        <v>14</v>
      </c>
      <c r="S162" s="13"/>
      <c r="T162" s="14"/>
      <c r="U162" s="14" t="s">
        <v>23</v>
      </c>
    </row>
    <row r="163" ht="15.75" customHeight="1">
      <c r="A163" s="6">
        <v>162.0</v>
      </c>
      <c r="B163" s="15" t="s">
        <v>10</v>
      </c>
      <c r="C163" s="16" t="s">
        <v>11</v>
      </c>
      <c r="D163" s="15" t="s">
        <v>12</v>
      </c>
      <c r="E163" s="17" t="s">
        <v>13</v>
      </c>
      <c r="F163" s="16" t="s">
        <v>14</v>
      </c>
      <c r="G163" s="17" t="s">
        <v>15</v>
      </c>
      <c r="H163" s="16" t="s">
        <v>11</v>
      </c>
      <c r="I163" s="18" t="s">
        <v>16</v>
      </c>
      <c r="J163" s="16" t="s">
        <v>14</v>
      </c>
      <c r="K163" s="19"/>
      <c r="L163" s="16" t="s">
        <v>11</v>
      </c>
      <c r="M163" s="19"/>
      <c r="N163" s="16" t="s">
        <v>11</v>
      </c>
      <c r="O163" s="19"/>
      <c r="P163" s="16" t="s">
        <v>11</v>
      </c>
      <c r="Q163" s="19"/>
      <c r="R163" s="16" t="s">
        <v>14</v>
      </c>
      <c r="S163" s="20"/>
      <c r="T163" s="21"/>
      <c r="U163" s="21" t="s">
        <v>23</v>
      </c>
    </row>
    <row r="164" ht="15.75" customHeight="1">
      <c r="A164" s="6">
        <v>163.0</v>
      </c>
      <c r="B164" s="7" t="s">
        <v>10</v>
      </c>
      <c r="C164" s="8" t="s">
        <v>11</v>
      </c>
      <c r="D164" s="7" t="s">
        <v>12</v>
      </c>
      <c r="E164" s="9" t="s">
        <v>13</v>
      </c>
      <c r="F164" s="8" t="s">
        <v>14</v>
      </c>
      <c r="G164" s="9" t="s">
        <v>15</v>
      </c>
      <c r="H164" s="8" t="s">
        <v>11</v>
      </c>
      <c r="I164" s="10" t="s">
        <v>16</v>
      </c>
      <c r="J164" s="8" t="s">
        <v>14</v>
      </c>
      <c r="K164" s="12"/>
      <c r="L164" s="8" t="s">
        <v>11</v>
      </c>
      <c r="M164" s="12"/>
      <c r="N164" s="8" t="s">
        <v>11</v>
      </c>
      <c r="O164" s="12"/>
      <c r="P164" s="8" t="s">
        <v>11</v>
      </c>
      <c r="Q164" s="12"/>
      <c r="R164" s="8" t="s">
        <v>14</v>
      </c>
      <c r="S164" s="13"/>
      <c r="T164" s="14"/>
      <c r="U164" s="14" t="s">
        <v>23</v>
      </c>
    </row>
    <row r="165" ht="15.75" customHeight="1">
      <c r="A165" s="6">
        <v>164.0</v>
      </c>
      <c r="B165" s="15" t="s">
        <v>10</v>
      </c>
      <c r="C165" s="16" t="s">
        <v>11</v>
      </c>
      <c r="D165" s="15" t="s">
        <v>12</v>
      </c>
      <c r="E165" s="17" t="s">
        <v>13</v>
      </c>
      <c r="F165" s="16" t="s">
        <v>14</v>
      </c>
      <c r="G165" s="17" t="s">
        <v>15</v>
      </c>
      <c r="H165" s="16" t="s">
        <v>11</v>
      </c>
      <c r="I165" s="18" t="s">
        <v>16</v>
      </c>
      <c r="J165" s="16" t="s">
        <v>14</v>
      </c>
      <c r="K165" s="19"/>
      <c r="L165" s="16" t="s">
        <v>11</v>
      </c>
      <c r="M165" s="19"/>
      <c r="N165" s="16" t="s">
        <v>11</v>
      </c>
      <c r="O165" s="19"/>
      <c r="P165" s="16" t="s">
        <v>11</v>
      </c>
      <c r="Q165" s="19"/>
      <c r="R165" s="16" t="s">
        <v>14</v>
      </c>
      <c r="S165" s="20"/>
      <c r="T165" s="21"/>
      <c r="U165" s="21" t="s">
        <v>23</v>
      </c>
    </row>
    <row r="166" ht="15.75" customHeight="1">
      <c r="A166" s="6">
        <v>165.0</v>
      </c>
      <c r="B166" s="7" t="s">
        <v>10</v>
      </c>
      <c r="C166" s="8" t="s">
        <v>11</v>
      </c>
      <c r="D166" s="7" t="s">
        <v>12</v>
      </c>
      <c r="E166" s="9" t="s">
        <v>13</v>
      </c>
      <c r="F166" s="8" t="s">
        <v>14</v>
      </c>
      <c r="G166" s="9" t="s">
        <v>15</v>
      </c>
      <c r="H166" s="8" t="s">
        <v>11</v>
      </c>
      <c r="I166" s="10" t="s">
        <v>16</v>
      </c>
      <c r="J166" s="8" t="s">
        <v>14</v>
      </c>
      <c r="K166" s="12"/>
      <c r="L166" s="8" t="s">
        <v>11</v>
      </c>
      <c r="M166" s="12"/>
      <c r="N166" s="8" t="s">
        <v>11</v>
      </c>
      <c r="O166" s="12"/>
      <c r="P166" s="8" t="s">
        <v>11</v>
      </c>
      <c r="Q166" s="12"/>
      <c r="R166" s="8" t="s">
        <v>14</v>
      </c>
      <c r="S166" s="13"/>
      <c r="T166" s="14"/>
      <c r="U166" s="14" t="s">
        <v>23</v>
      </c>
    </row>
    <row r="167" ht="15.75" customHeight="1">
      <c r="A167" s="6">
        <v>166.0</v>
      </c>
      <c r="B167" s="15" t="s">
        <v>10</v>
      </c>
      <c r="C167" s="16" t="s">
        <v>11</v>
      </c>
      <c r="D167" s="15" t="s">
        <v>12</v>
      </c>
      <c r="E167" s="17" t="s">
        <v>13</v>
      </c>
      <c r="F167" s="16" t="s">
        <v>14</v>
      </c>
      <c r="G167" s="17" t="s">
        <v>15</v>
      </c>
      <c r="H167" s="16" t="s">
        <v>11</v>
      </c>
      <c r="I167" s="18" t="s">
        <v>16</v>
      </c>
      <c r="J167" s="16" t="s">
        <v>14</v>
      </c>
      <c r="K167" s="19"/>
      <c r="L167" s="16" t="s">
        <v>11</v>
      </c>
      <c r="M167" s="19"/>
      <c r="N167" s="16" t="s">
        <v>11</v>
      </c>
      <c r="O167" s="19"/>
      <c r="P167" s="16" t="s">
        <v>11</v>
      </c>
      <c r="Q167" s="19"/>
      <c r="R167" s="16" t="s">
        <v>14</v>
      </c>
      <c r="S167" s="20"/>
      <c r="T167" s="21"/>
      <c r="U167" s="21" t="s">
        <v>23</v>
      </c>
    </row>
    <row r="168" ht="15.75" customHeight="1">
      <c r="A168" s="6">
        <v>167.0</v>
      </c>
      <c r="B168" s="7" t="s">
        <v>10</v>
      </c>
      <c r="C168" s="8" t="s">
        <v>11</v>
      </c>
      <c r="D168" s="7" t="s">
        <v>12</v>
      </c>
      <c r="E168" s="9" t="s">
        <v>13</v>
      </c>
      <c r="F168" s="8" t="s">
        <v>14</v>
      </c>
      <c r="G168" s="9" t="s">
        <v>15</v>
      </c>
      <c r="H168" s="8" t="s">
        <v>11</v>
      </c>
      <c r="I168" s="10" t="s">
        <v>16</v>
      </c>
      <c r="J168" s="8" t="s">
        <v>14</v>
      </c>
      <c r="K168" s="12"/>
      <c r="L168" s="8" t="s">
        <v>11</v>
      </c>
      <c r="M168" s="12"/>
      <c r="N168" s="8" t="s">
        <v>11</v>
      </c>
      <c r="O168" s="12"/>
      <c r="P168" s="8" t="s">
        <v>11</v>
      </c>
      <c r="Q168" s="12"/>
      <c r="R168" s="8" t="s">
        <v>14</v>
      </c>
      <c r="S168" s="13"/>
      <c r="T168" s="14"/>
      <c r="U168" s="14" t="s">
        <v>23</v>
      </c>
    </row>
    <row r="169" ht="15.75" customHeight="1">
      <c r="A169" s="6">
        <v>168.0</v>
      </c>
      <c r="B169" s="15" t="s">
        <v>10</v>
      </c>
      <c r="C169" s="16" t="s">
        <v>11</v>
      </c>
      <c r="D169" s="15" t="s">
        <v>12</v>
      </c>
      <c r="E169" s="17" t="s">
        <v>13</v>
      </c>
      <c r="F169" s="16" t="s">
        <v>14</v>
      </c>
      <c r="G169" s="17" t="s">
        <v>15</v>
      </c>
      <c r="H169" s="16" t="s">
        <v>11</v>
      </c>
      <c r="I169" s="18" t="s">
        <v>16</v>
      </c>
      <c r="J169" s="16" t="s">
        <v>14</v>
      </c>
      <c r="K169" s="19"/>
      <c r="L169" s="16" t="s">
        <v>11</v>
      </c>
      <c r="M169" s="19"/>
      <c r="N169" s="16" t="s">
        <v>11</v>
      </c>
      <c r="O169" s="19"/>
      <c r="P169" s="16" t="s">
        <v>11</v>
      </c>
      <c r="Q169" s="19"/>
      <c r="R169" s="16" t="s">
        <v>14</v>
      </c>
      <c r="S169" s="20"/>
      <c r="T169" s="21"/>
      <c r="U169" s="21" t="s">
        <v>23</v>
      </c>
    </row>
    <row r="170" ht="15.75" customHeight="1">
      <c r="A170" s="6">
        <v>169.0</v>
      </c>
      <c r="B170" s="7" t="s">
        <v>10</v>
      </c>
      <c r="C170" s="8" t="s">
        <v>11</v>
      </c>
      <c r="D170" s="7" t="s">
        <v>12</v>
      </c>
      <c r="E170" s="9" t="s">
        <v>13</v>
      </c>
      <c r="F170" s="8" t="s">
        <v>14</v>
      </c>
      <c r="G170" s="9" t="s">
        <v>15</v>
      </c>
      <c r="H170" s="8" t="s">
        <v>11</v>
      </c>
      <c r="I170" s="10" t="s">
        <v>16</v>
      </c>
      <c r="J170" s="8" t="s">
        <v>14</v>
      </c>
      <c r="K170" s="12"/>
      <c r="L170" s="8" t="s">
        <v>11</v>
      </c>
      <c r="M170" s="12"/>
      <c r="N170" s="8" t="s">
        <v>11</v>
      </c>
      <c r="O170" s="12"/>
      <c r="P170" s="8" t="s">
        <v>11</v>
      </c>
      <c r="Q170" s="12"/>
      <c r="R170" s="8" t="s">
        <v>14</v>
      </c>
      <c r="S170" s="13"/>
      <c r="T170" s="14"/>
      <c r="U170" s="14" t="s">
        <v>23</v>
      </c>
    </row>
    <row r="171" ht="15.75" customHeight="1">
      <c r="A171" s="6">
        <v>170.0</v>
      </c>
      <c r="B171" s="15" t="s">
        <v>10</v>
      </c>
      <c r="C171" s="16" t="s">
        <v>11</v>
      </c>
      <c r="D171" s="15" t="s">
        <v>12</v>
      </c>
      <c r="E171" s="17" t="s">
        <v>13</v>
      </c>
      <c r="F171" s="16" t="s">
        <v>14</v>
      </c>
      <c r="G171" s="17" t="s">
        <v>15</v>
      </c>
      <c r="H171" s="16" t="s">
        <v>11</v>
      </c>
      <c r="I171" s="18" t="s">
        <v>16</v>
      </c>
      <c r="J171" s="16" t="s">
        <v>14</v>
      </c>
      <c r="K171" s="19"/>
      <c r="L171" s="16" t="s">
        <v>11</v>
      </c>
      <c r="M171" s="19"/>
      <c r="N171" s="16" t="s">
        <v>11</v>
      </c>
      <c r="O171" s="19"/>
      <c r="P171" s="16" t="s">
        <v>11</v>
      </c>
      <c r="Q171" s="19"/>
      <c r="R171" s="16" t="s">
        <v>14</v>
      </c>
      <c r="S171" s="20"/>
      <c r="T171" s="21"/>
      <c r="U171" s="21" t="s">
        <v>23</v>
      </c>
    </row>
    <row r="172" ht="15.75" customHeight="1">
      <c r="A172" s="6">
        <v>171.0</v>
      </c>
      <c r="B172" s="7" t="s">
        <v>10</v>
      </c>
      <c r="C172" s="8" t="s">
        <v>11</v>
      </c>
      <c r="D172" s="7" t="s">
        <v>12</v>
      </c>
      <c r="E172" s="9" t="s">
        <v>13</v>
      </c>
      <c r="F172" s="8" t="s">
        <v>14</v>
      </c>
      <c r="G172" s="9" t="s">
        <v>15</v>
      </c>
      <c r="H172" s="8" t="s">
        <v>11</v>
      </c>
      <c r="I172" s="10" t="s">
        <v>16</v>
      </c>
      <c r="J172" s="8" t="s">
        <v>14</v>
      </c>
      <c r="K172" s="12"/>
      <c r="L172" s="8" t="s">
        <v>11</v>
      </c>
      <c r="M172" s="12"/>
      <c r="N172" s="8" t="s">
        <v>11</v>
      </c>
      <c r="O172" s="12"/>
      <c r="P172" s="8" t="s">
        <v>11</v>
      </c>
      <c r="Q172" s="12"/>
      <c r="R172" s="8" t="s">
        <v>14</v>
      </c>
      <c r="S172" s="13"/>
      <c r="T172" s="14"/>
      <c r="U172" s="14" t="s">
        <v>23</v>
      </c>
    </row>
    <row r="173" ht="15.75" customHeight="1">
      <c r="A173" s="6">
        <v>172.0</v>
      </c>
      <c r="B173" s="15" t="s">
        <v>10</v>
      </c>
      <c r="C173" s="16" t="s">
        <v>11</v>
      </c>
      <c r="D173" s="15" t="s">
        <v>12</v>
      </c>
      <c r="E173" s="17" t="s">
        <v>13</v>
      </c>
      <c r="F173" s="16" t="s">
        <v>14</v>
      </c>
      <c r="G173" s="17" t="s">
        <v>15</v>
      </c>
      <c r="H173" s="16" t="s">
        <v>11</v>
      </c>
      <c r="I173" s="18" t="s">
        <v>16</v>
      </c>
      <c r="J173" s="16" t="s">
        <v>14</v>
      </c>
      <c r="K173" s="19"/>
      <c r="L173" s="16" t="s">
        <v>11</v>
      </c>
      <c r="M173" s="19"/>
      <c r="N173" s="16" t="s">
        <v>11</v>
      </c>
      <c r="O173" s="19"/>
      <c r="P173" s="16" t="s">
        <v>11</v>
      </c>
      <c r="Q173" s="19"/>
      <c r="R173" s="16" t="s">
        <v>14</v>
      </c>
      <c r="S173" s="20"/>
      <c r="T173" s="21"/>
      <c r="U173" s="21" t="s">
        <v>23</v>
      </c>
    </row>
    <row r="174" ht="15.75" customHeight="1">
      <c r="A174" s="6">
        <v>173.0</v>
      </c>
      <c r="B174" s="7" t="s">
        <v>10</v>
      </c>
      <c r="C174" s="8" t="s">
        <v>11</v>
      </c>
      <c r="D174" s="7" t="s">
        <v>12</v>
      </c>
      <c r="E174" s="9" t="s">
        <v>13</v>
      </c>
      <c r="F174" s="8" t="s">
        <v>14</v>
      </c>
      <c r="G174" s="9" t="s">
        <v>15</v>
      </c>
      <c r="H174" s="8" t="s">
        <v>11</v>
      </c>
      <c r="I174" s="10" t="s">
        <v>16</v>
      </c>
      <c r="J174" s="8" t="s">
        <v>14</v>
      </c>
      <c r="K174" s="12"/>
      <c r="L174" s="8" t="s">
        <v>11</v>
      </c>
      <c r="M174" s="12"/>
      <c r="N174" s="8" t="s">
        <v>11</v>
      </c>
      <c r="O174" s="12"/>
      <c r="P174" s="8" t="s">
        <v>11</v>
      </c>
      <c r="Q174" s="12"/>
      <c r="R174" s="8" t="s">
        <v>14</v>
      </c>
      <c r="S174" s="13"/>
      <c r="T174" s="14"/>
      <c r="U174" s="14" t="s">
        <v>23</v>
      </c>
    </row>
    <row r="175" ht="15.75" customHeight="1">
      <c r="A175" s="6">
        <v>174.0</v>
      </c>
      <c r="B175" s="15" t="s">
        <v>10</v>
      </c>
      <c r="C175" s="16" t="s">
        <v>11</v>
      </c>
      <c r="D175" s="15" t="s">
        <v>12</v>
      </c>
      <c r="E175" s="17" t="s">
        <v>13</v>
      </c>
      <c r="F175" s="16" t="s">
        <v>14</v>
      </c>
      <c r="G175" s="17" t="s">
        <v>15</v>
      </c>
      <c r="H175" s="16" t="s">
        <v>11</v>
      </c>
      <c r="I175" s="18" t="s">
        <v>16</v>
      </c>
      <c r="J175" s="16" t="s">
        <v>14</v>
      </c>
      <c r="K175" s="19"/>
      <c r="L175" s="16" t="s">
        <v>11</v>
      </c>
      <c r="M175" s="19"/>
      <c r="N175" s="16" t="s">
        <v>11</v>
      </c>
      <c r="O175" s="19"/>
      <c r="P175" s="16" t="s">
        <v>11</v>
      </c>
      <c r="Q175" s="19"/>
      <c r="R175" s="16" t="s">
        <v>14</v>
      </c>
      <c r="S175" s="20"/>
      <c r="T175" s="21"/>
      <c r="U175" s="21" t="s">
        <v>23</v>
      </c>
    </row>
    <row r="176" ht="15.75" customHeight="1">
      <c r="A176" s="6">
        <v>175.0</v>
      </c>
      <c r="B176" s="7" t="s">
        <v>10</v>
      </c>
      <c r="C176" s="8" t="s">
        <v>11</v>
      </c>
      <c r="D176" s="7" t="s">
        <v>12</v>
      </c>
      <c r="E176" s="9" t="s">
        <v>13</v>
      </c>
      <c r="F176" s="8" t="s">
        <v>14</v>
      </c>
      <c r="G176" s="9" t="s">
        <v>15</v>
      </c>
      <c r="H176" s="8" t="s">
        <v>11</v>
      </c>
      <c r="I176" s="10" t="s">
        <v>16</v>
      </c>
      <c r="J176" s="8" t="s">
        <v>14</v>
      </c>
      <c r="K176" s="12"/>
      <c r="L176" s="8" t="s">
        <v>11</v>
      </c>
      <c r="M176" s="12"/>
      <c r="N176" s="8" t="s">
        <v>11</v>
      </c>
      <c r="O176" s="12"/>
      <c r="P176" s="8" t="s">
        <v>11</v>
      </c>
      <c r="Q176" s="12"/>
      <c r="R176" s="8" t="s">
        <v>14</v>
      </c>
      <c r="S176" s="13"/>
      <c r="T176" s="14"/>
      <c r="U176" s="14" t="s">
        <v>23</v>
      </c>
    </row>
    <row r="177" ht="15.75" customHeight="1">
      <c r="A177" s="6">
        <v>176.0</v>
      </c>
      <c r="B177" s="15" t="s">
        <v>10</v>
      </c>
      <c r="C177" s="16" t="s">
        <v>11</v>
      </c>
      <c r="D177" s="15" t="s">
        <v>12</v>
      </c>
      <c r="E177" s="17" t="s">
        <v>13</v>
      </c>
      <c r="F177" s="16" t="s">
        <v>14</v>
      </c>
      <c r="G177" s="17" t="s">
        <v>15</v>
      </c>
      <c r="H177" s="16" t="s">
        <v>11</v>
      </c>
      <c r="I177" s="18" t="s">
        <v>16</v>
      </c>
      <c r="J177" s="16" t="s">
        <v>14</v>
      </c>
      <c r="K177" s="19"/>
      <c r="L177" s="16" t="s">
        <v>11</v>
      </c>
      <c r="M177" s="19"/>
      <c r="N177" s="16" t="s">
        <v>11</v>
      </c>
      <c r="O177" s="19"/>
      <c r="P177" s="16" t="s">
        <v>11</v>
      </c>
      <c r="Q177" s="19"/>
      <c r="R177" s="16" t="s">
        <v>14</v>
      </c>
      <c r="S177" s="20"/>
      <c r="T177" s="21"/>
      <c r="U177" s="21" t="s">
        <v>23</v>
      </c>
    </row>
    <row r="178" ht="15.75" customHeight="1">
      <c r="A178" s="6">
        <v>177.0</v>
      </c>
      <c r="B178" s="7" t="s">
        <v>10</v>
      </c>
      <c r="C178" s="8" t="s">
        <v>11</v>
      </c>
      <c r="D178" s="7" t="s">
        <v>12</v>
      </c>
      <c r="E178" s="9" t="s">
        <v>13</v>
      </c>
      <c r="F178" s="8" t="s">
        <v>14</v>
      </c>
      <c r="G178" s="9" t="s">
        <v>15</v>
      </c>
      <c r="H178" s="8" t="s">
        <v>11</v>
      </c>
      <c r="I178" s="10" t="s">
        <v>16</v>
      </c>
      <c r="J178" s="8" t="s">
        <v>14</v>
      </c>
      <c r="K178" s="12"/>
      <c r="L178" s="8" t="s">
        <v>11</v>
      </c>
      <c r="M178" s="12"/>
      <c r="N178" s="8" t="s">
        <v>11</v>
      </c>
      <c r="O178" s="12"/>
      <c r="P178" s="8" t="s">
        <v>11</v>
      </c>
      <c r="Q178" s="12"/>
      <c r="R178" s="8" t="s">
        <v>14</v>
      </c>
      <c r="S178" s="13"/>
      <c r="T178" s="14"/>
      <c r="U178" s="14" t="s">
        <v>23</v>
      </c>
    </row>
    <row r="179" ht="15.75" customHeight="1">
      <c r="A179" s="6">
        <v>178.0</v>
      </c>
      <c r="B179" s="15" t="s">
        <v>10</v>
      </c>
      <c r="C179" s="16" t="s">
        <v>11</v>
      </c>
      <c r="D179" s="15" t="s">
        <v>12</v>
      </c>
      <c r="E179" s="17" t="s">
        <v>13</v>
      </c>
      <c r="F179" s="16" t="s">
        <v>14</v>
      </c>
      <c r="G179" s="17" t="s">
        <v>15</v>
      </c>
      <c r="H179" s="16" t="s">
        <v>11</v>
      </c>
      <c r="I179" s="18" t="s">
        <v>16</v>
      </c>
      <c r="J179" s="16" t="s">
        <v>14</v>
      </c>
      <c r="K179" s="19"/>
      <c r="L179" s="16" t="s">
        <v>11</v>
      </c>
      <c r="M179" s="19"/>
      <c r="N179" s="16" t="s">
        <v>11</v>
      </c>
      <c r="O179" s="19"/>
      <c r="P179" s="16" t="s">
        <v>11</v>
      </c>
      <c r="Q179" s="19"/>
      <c r="R179" s="16" t="s">
        <v>14</v>
      </c>
      <c r="S179" s="20"/>
      <c r="T179" s="21"/>
      <c r="U179" s="21" t="s">
        <v>23</v>
      </c>
    </row>
    <row r="180" ht="15.75" customHeight="1">
      <c r="A180" s="6">
        <v>179.0</v>
      </c>
      <c r="B180" s="7" t="s">
        <v>10</v>
      </c>
      <c r="C180" s="8" t="s">
        <v>11</v>
      </c>
      <c r="D180" s="7" t="s">
        <v>12</v>
      </c>
      <c r="E180" s="9" t="s">
        <v>13</v>
      </c>
      <c r="F180" s="8" t="s">
        <v>14</v>
      </c>
      <c r="G180" s="9" t="s">
        <v>15</v>
      </c>
      <c r="H180" s="8" t="s">
        <v>11</v>
      </c>
      <c r="I180" s="10" t="s">
        <v>16</v>
      </c>
      <c r="J180" s="8" t="s">
        <v>14</v>
      </c>
      <c r="K180" s="12"/>
      <c r="L180" s="8" t="s">
        <v>11</v>
      </c>
      <c r="M180" s="12"/>
      <c r="N180" s="8" t="s">
        <v>11</v>
      </c>
      <c r="O180" s="12"/>
      <c r="P180" s="8" t="s">
        <v>11</v>
      </c>
      <c r="Q180" s="12"/>
      <c r="R180" s="8" t="s">
        <v>14</v>
      </c>
      <c r="S180" s="13"/>
      <c r="T180" s="14"/>
      <c r="U180" s="14" t="s">
        <v>23</v>
      </c>
    </row>
    <row r="181" ht="15.75" customHeight="1">
      <c r="A181" s="6">
        <v>180.0</v>
      </c>
      <c r="B181" s="15" t="s">
        <v>10</v>
      </c>
      <c r="C181" s="16" t="s">
        <v>11</v>
      </c>
      <c r="D181" s="15" t="s">
        <v>12</v>
      </c>
      <c r="E181" s="17" t="s">
        <v>13</v>
      </c>
      <c r="F181" s="16" t="s">
        <v>14</v>
      </c>
      <c r="G181" s="17" t="s">
        <v>15</v>
      </c>
      <c r="H181" s="16" t="s">
        <v>11</v>
      </c>
      <c r="I181" s="18" t="s">
        <v>16</v>
      </c>
      <c r="J181" s="16" t="s">
        <v>14</v>
      </c>
      <c r="K181" s="19"/>
      <c r="L181" s="16" t="s">
        <v>11</v>
      </c>
      <c r="M181" s="19"/>
      <c r="N181" s="16" t="s">
        <v>11</v>
      </c>
      <c r="O181" s="19"/>
      <c r="P181" s="16" t="s">
        <v>11</v>
      </c>
      <c r="Q181" s="19"/>
      <c r="R181" s="16" t="s">
        <v>14</v>
      </c>
      <c r="S181" s="20"/>
      <c r="T181" s="21"/>
      <c r="U181" s="21" t="s">
        <v>23</v>
      </c>
    </row>
    <row r="182" ht="15.75" customHeight="1">
      <c r="A182" s="6">
        <v>181.0</v>
      </c>
      <c r="B182" s="7" t="s">
        <v>10</v>
      </c>
      <c r="C182" s="8" t="s">
        <v>11</v>
      </c>
      <c r="D182" s="7" t="s">
        <v>12</v>
      </c>
      <c r="E182" s="9" t="s">
        <v>13</v>
      </c>
      <c r="F182" s="8" t="s">
        <v>14</v>
      </c>
      <c r="G182" s="9" t="s">
        <v>15</v>
      </c>
      <c r="H182" s="8" t="s">
        <v>11</v>
      </c>
      <c r="I182" s="10" t="s">
        <v>16</v>
      </c>
      <c r="J182" s="8" t="s">
        <v>14</v>
      </c>
      <c r="K182" s="12"/>
      <c r="L182" s="8" t="s">
        <v>11</v>
      </c>
      <c r="M182" s="12"/>
      <c r="N182" s="8" t="s">
        <v>11</v>
      </c>
      <c r="O182" s="12"/>
      <c r="P182" s="8" t="s">
        <v>11</v>
      </c>
      <c r="Q182" s="12"/>
      <c r="R182" s="8" t="s">
        <v>14</v>
      </c>
      <c r="S182" s="13"/>
      <c r="T182" s="14"/>
      <c r="U182" s="14" t="s">
        <v>23</v>
      </c>
    </row>
    <row r="183" ht="15.75" customHeight="1">
      <c r="A183" s="6">
        <v>182.0</v>
      </c>
      <c r="B183" s="15" t="s">
        <v>10</v>
      </c>
      <c r="C183" s="16" t="s">
        <v>11</v>
      </c>
      <c r="D183" s="15" t="s">
        <v>12</v>
      </c>
      <c r="E183" s="17" t="s">
        <v>13</v>
      </c>
      <c r="F183" s="16" t="s">
        <v>14</v>
      </c>
      <c r="G183" s="17" t="s">
        <v>15</v>
      </c>
      <c r="H183" s="16" t="s">
        <v>11</v>
      </c>
      <c r="I183" s="18" t="s">
        <v>16</v>
      </c>
      <c r="J183" s="16" t="s">
        <v>14</v>
      </c>
      <c r="K183" s="19"/>
      <c r="L183" s="16" t="s">
        <v>11</v>
      </c>
      <c r="M183" s="19"/>
      <c r="N183" s="16" t="s">
        <v>11</v>
      </c>
      <c r="O183" s="19"/>
      <c r="P183" s="16" t="s">
        <v>11</v>
      </c>
      <c r="Q183" s="19"/>
      <c r="R183" s="16" t="s">
        <v>14</v>
      </c>
      <c r="S183" s="20"/>
      <c r="T183" s="21"/>
      <c r="U183" s="21" t="s">
        <v>23</v>
      </c>
    </row>
    <row r="184" ht="15.75" customHeight="1">
      <c r="A184" s="6">
        <v>183.0</v>
      </c>
      <c r="B184" s="7" t="s">
        <v>10</v>
      </c>
      <c r="C184" s="8" t="s">
        <v>11</v>
      </c>
      <c r="D184" s="7" t="s">
        <v>12</v>
      </c>
      <c r="E184" s="9" t="s">
        <v>13</v>
      </c>
      <c r="F184" s="8" t="s">
        <v>14</v>
      </c>
      <c r="G184" s="9" t="s">
        <v>15</v>
      </c>
      <c r="H184" s="8" t="s">
        <v>11</v>
      </c>
      <c r="I184" s="10" t="s">
        <v>16</v>
      </c>
      <c r="J184" s="8" t="s">
        <v>14</v>
      </c>
      <c r="K184" s="12"/>
      <c r="L184" s="8" t="s">
        <v>11</v>
      </c>
      <c r="M184" s="12"/>
      <c r="N184" s="8" t="s">
        <v>11</v>
      </c>
      <c r="O184" s="12"/>
      <c r="P184" s="8" t="s">
        <v>11</v>
      </c>
      <c r="Q184" s="12"/>
      <c r="R184" s="8" t="s">
        <v>14</v>
      </c>
      <c r="S184" s="13"/>
      <c r="T184" s="14"/>
      <c r="U184" s="14" t="s">
        <v>23</v>
      </c>
    </row>
    <row r="185" ht="15.75" customHeight="1">
      <c r="A185" s="6">
        <v>184.0</v>
      </c>
      <c r="B185" s="15" t="s">
        <v>10</v>
      </c>
      <c r="C185" s="16" t="s">
        <v>11</v>
      </c>
      <c r="D185" s="15" t="s">
        <v>12</v>
      </c>
      <c r="E185" s="17" t="s">
        <v>13</v>
      </c>
      <c r="F185" s="16" t="s">
        <v>14</v>
      </c>
      <c r="G185" s="17" t="s">
        <v>15</v>
      </c>
      <c r="H185" s="16" t="s">
        <v>11</v>
      </c>
      <c r="I185" s="18" t="s">
        <v>16</v>
      </c>
      <c r="J185" s="16" t="s">
        <v>14</v>
      </c>
      <c r="K185" s="19"/>
      <c r="L185" s="16" t="s">
        <v>11</v>
      </c>
      <c r="M185" s="19"/>
      <c r="N185" s="16" t="s">
        <v>11</v>
      </c>
      <c r="O185" s="19"/>
      <c r="P185" s="16" t="s">
        <v>11</v>
      </c>
      <c r="Q185" s="19"/>
      <c r="R185" s="16" t="s">
        <v>14</v>
      </c>
      <c r="S185" s="20"/>
      <c r="T185" s="21"/>
      <c r="U185" s="21" t="s">
        <v>23</v>
      </c>
    </row>
    <row r="186" ht="15.75" customHeight="1">
      <c r="A186" s="6">
        <v>185.0</v>
      </c>
      <c r="B186" s="7" t="s">
        <v>10</v>
      </c>
      <c r="C186" s="8" t="s">
        <v>11</v>
      </c>
      <c r="D186" s="7" t="s">
        <v>12</v>
      </c>
      <c r="E186" s="9" t="s">
        <v>13</v>
      </c>
      <c r="F186" s="8" t="s">
        <v>14</v>
      </c>
      <c r="G186" s="9" t="s">
        <v>15</v>
      </c>
      <c r="H186" s="8" t="s">
        <v>11</v>
      </c>
      <c r="I186" s="10" t="s">
        <v>16</v>
      </c>
      <c r="J186" s="8" t="s">
        <v>14</v>
      </c>
      <c r="K186" s="12"/>
      <c r="L186" s="8" t="s">
        <v>11</v>
      </c>
      <c r="M186" s="12"/>
      <c r="N186" s="8" t="s">
        <v>11</v>
      </c>
      <c r="O186" s="12"/>
      <c r="P186" s="8" t="s">
        <v>11</v>
      </c>
      <c r="Q186" s="12"/>
      <c r="R186" s="8" t="s">
        <v>14</v>
      </c>
      <c r="S186" s="13"/>
      <c r="T186" s="14"/>
      <c r="U186" s="14" t="s">
        <v>23</v>
      </c>
    </row>
    <row r="187" ht="15.75" customHeight="1">
      <c r="A187" s="6">
        <v>186.0</v>
      </c>
      <c r="B187" s="15" t="s">
        <v>10</v>
      </c>
      <c r="C187" s="16" t="s">
        <v>11</v>
      </c>
      <c r="D187" s="15" t="s">
        <v>12</v>
      </c>
      <c r="E187" s="17" t="s">
        <v>13</v>
      </c>
      <c r="F187" s="16" t="s">
        <v>14</v>
      </c>
      <c r="G187" s="17" t="s">
        <v>15</v>
      </c>
      <c r="H187" s="16" t="s">
        <v>11</v>
      </c>
      <c r="I187" s="18" t="s">
        <v>16</v>
      </c>
      <c r="J187" s="16" t="s">
        <v>14</v>
      </c>
      <c r="K187" s="19"/>
      <c r="L187" s="16" t="s">
        <v>11</v>
      </c>
      <c r="M187" s="19"/>
      <c r="N187" s="16" t="s">
        <v>11</v>
      </c>
      <c r="O187" s="19"/>
      <c r="P187" s="16" t="s">
        <v>11</v>
      </c>
      <c r="Q187" s="19"/>
      <c r="R187" s="16" t="s">
        <v>14</v>
      </c>
      <c r="S187" s="20"/>
      <c r="T187" s="21"/>
      <c r="U187" s="21" t="s">
        <v>23</v>
      </c>
    </row>
    <row r="188" ht="15.75" customHeight="1">
      <c r="A188" s="6">
        <v>187.0</v>
      </c>
      <c r="B188" s="7" t="s">
        <v>10</v>
      </c>
      <c r="C188" s="8" t="s">
        <v>11</v>
      </c>
      <c r="D188" s="7" t="s">
        <v>12</v>
      </c>
      <c r="E188" s="9" t="s">
        <v>13</v>
      </c>
      <c r="F188" s="8" t="s">
        <v>14</v>
      </c>
      <c r="G188" s="9" t="s">
        <v>15</v>
      </c>
      <c r="H188" s="8" t="s">
        <v>11</v>
      </c>
      <c r="I188" s="10" t="s">
        <v>16</v>
      </c>
      <c r="J188" s="8" t="s">
        <v>14</v>
      </c>
      <c r="K188" s="12"/>
      <c r="L188" s="8" t="s">
        <v>11</v>
      </c>
      <c r="M188" s="12"/>
      <c r="N188" s="8" t="s">
        <v>11</v>
      </c>
      <c r="O188" s="12"/>
      <c r="P188" s="8" t="s">
        <v>11</v>
      </c>
      <c r="Q188" s="12"/>
      <c r="R188" s="8" t="s">
        <v>14</v>
      </c>
      <c r="S188" s="13"/>
      <c r="T188" s="14"/>
      <c r="U188" s="14" t="s">
        <v>23</v>
      </c>
    </row>
    <row r="189" ht="15.75" customHeight="1">
      <c r="A189" s="6">
        <v>188.0</v>
      </c>
      <c r="B189" s="15" t="s">
        <v>10</v>
      </c>
      <c r="C189" s="16" t="s">
        <v>11</v>
      </c>
      <c r="D189" s="15" t="s">
        <v>12</v>
      </c>
      <c r="E189" s="17" t="s">
        <v>13</v>
      </c>
      <c r="F189" s="16" t="s">
        <v>14</v>
      </c>
      <c r="G189" s="17" t="s">
        <v>15</v>
      </c>
      <c r="H189" s="16" t="s">
        <v>11</v>
      </c>
      <c r="I189" s="18" t="s">
        <v>16</v>
      </c>
      <c r="J189" s="16" t="s">
        <v>14</v>
      </c>
      <c r="K189" s="19"/>
      <c r="L189" s="16" t="s">
        <v>11</v>
      </c>
      <c r="M189" s="19"/>
      <c r="N189" s="16" t="s">
        <v>11</v>
      </c>
      <c r="O189" s="19"/>
      <c r="P189" s="16" t="s">
        <v>11</v>
      </c>
      <c r="Q189" s="19"/>
      <c r="R189" s="16" t="s">
        <v>14</v>
      </c>
      <c r="S189" s="20"/>
      <c r="T189" s="21"/>
      <c r="U189" s="21" t="s">
        <v>23</v>
      </c>
    </row>
    <row r="190" ht="15.75" customHeight="1">
      <c r="A190" s="6">
        <v>189.0</v>
      </c>
      <c r="B190" s="7" t="s">
        <v>10</v>
      </c>
      <c r="C190" s="8" t="s">
        <v>11</v>
      </c>
      <c r="D190" s="7" t="s">
        <v>12</v>
      </c>
      <c r="E190" s="9" t="s">
        <v>13</v>
      </c>
      <c r="F190" s="8" t="s">
        <v>14</v>
      </c>
      <c r="G190" s="9" t="s">
        <v>15</v>
      </c>
      <c r="H190" s="8" t="s">
        <v>11</v>
      </c>
      <c r="I190" s="10" t="s">
        <v>16</v>
      </c>
      <c r="J190" s="8" t="s">
        <v>14</v>
      </c>
      <c r="K190" s="12"/>
      <c r="L190" s="8" t="s">
        <v>11</v>
      </c>
      <c r="M190" s="12"/>
      <c r="N190" s="8" t="s">
        <v>11</v>
      </c>
      <c r="O190" s="12"/>
      <c r="P190" s="8" t="s">
        <v>11</v>
      </c>
      <c r="Q190" s="12"/>
      <c r="R190" s="8" t="s">
        <v>14</v>
      </c>
      <c r="S190" s="13"/>
      <c r="T190" s="14"/>
      <c r="U190" s="14" t="s">
        <v>23</v>
      </c>
    </row>
    <row r="191" ht="15.75" customHeight="1">
      <c r="A191" s="6">
        <v>190.0</v>
      </c>
      <c r="B191" s="15" t="s">
        <v>10</v>
      </c>
      <c r="C191" s="16" t="s">
        <v>11</v>
      </c>
      <c r="D191" s="15" t="s">
        <v>12</v>
      </c>
      <c r="E191" s="17" t="s">
        <v>13</v>
      </c>
      <c r="F191" s="16" t="s">
        <v>14</v>
      </c>
      <c r="G191" s="17" t="s">
        <v>15</v>
      </c>
      <c r="H191" s="16" t="s">
        <v>11</v>
      </c>
      <c r="I191" s="18" t="s">
        <v>16</v>
      </c>
      <c r="J191" s="16" t="s">
        <v>14</v>
      </c>
      <c r="K191" s="19"/>
      <c r="L191" s="16" t="s">
        <v>11</v>
      </c>
      <c r="M191" s="19"/>
      <c r="N191" s="16" t="s">
        <v>11</v>
      </c>
      <c r="O191" s="19"/>
      <c r="P191" s="16" t="s">
        <v>11</v>
      </c>
      <c r="Q191" s="19"/>
      <c r="R191" s="16" t="s">
        <v>14</v>
      </c>
      <c r="S191" s="20"/>
      <c r="T191" s="21"/>
      <c r="U191" s="21" t="s">
        <v>23</v>
      </c>
    </row>
    <row r="192" ht="15.75" customHeight="1">
      <c r="A192" s="6">
        <v>191.0</v>
      </c>
      <c r="B192" s="7" t="s">
        <v>10</v>
      </c>
      <c r="C192" s="8" t="s">
        <v>11</v>
      </c>
      <c r="D192" s="7" t="s">
        <v>12</v>
      </c>
      <c r="E192" s="9" t="s">
        <v>13</v>
      </c>
      <c r="F192" s="8" t="s">
        <v>14</v>
      </c>
      <c r="G192" s="9" t="s">
        <v>15</v>
      </c>
      <c r="H192" s="8" t="s">
        <v>11</v>
      </c>
      <c r="I192" s="10" t="s">
        <v>16</v>
      </c>
      <c r="J192" s="8" t="s">
        <v>14</v>
      </c>
      <c r="K192" s="12"/>
      <c r="L192" s="8" t="s">
        <v>11</v>
      </c>
      <c r="M192" s="12"/>
      <c r="N192" s="8" t="s">
        <v>11</v>
      </c>
      <c r="O192" s="12"/>
      <c r="P192" s="8" t="s">
        <v>11</v>
      </c>
      <c r="Q192" s="12"/>
      <c r="R192" s="8" t="s">
        <v>14</v>
      </c>
      <c r="S192" s="13"/>
      <c r="T192" s="14"/>
      <c r="U192" s="14" t="s">
        <v>23</v>
      </c>
    </row>
    <row r="193" ht="15.75" customHeight="1">
      <c r="A193" s="6">
        <v>192.0</v>
      </c>
      <c r="B193" s="15" t="s">
        <v>10</v>
      </c>
      <c r="C193" s="16" t="s">
        <v>11</v>
      </c>
      <c r="D193" s="15" t="s">
        <v>12</v>
      </c>
      <c r="E193" s="17" t="s">
        <v>13</v>
      </c>
      <c r="F193" s="16" t="s">
        <v>14</v>
      </c>
      <c r="G193" s="17" t="s">
        <v>15</v>
      </c>
      <c r="H193" s="16" t="s">
        <v>11</v>
      </c>
      <c r="I193" s="18" t="s">
        <v>16</v>
      </c>
      <c r="J193" s="16" t="s">
        <v>14</v>
      </c>
      <c r="K193" s="19"/>
      <c r="L193" s="16" t="s">
        <v>11</v>
      </c>
      <c r="M193" s="19"/>
      <c r="N193" s="16" t="s">
        <v>11</v>
      </c>
      <c r="O193" s="19"/>
      <c r="P193" s="16" t="s">
        <v>11</v>
      </c>
      <c r="Q193" s="19"/>
      <c r="R193" s="16" t="s">
        <v>14</v>
      </c>
      <c r="S193" s="20"/>
      <c r="T193" s="21"/>
      <c r="U193" s="21" t="s">
        <v>23</v>
      </c>
    </row>
    <row r="194" ht="15.75" customHeight="1">
      <c r="A194" s="6">
        <v>193.0</v>
      </c>
      <c r="B194" s="7" t="s">
        <v>10</v>
      </c>
      <c r="C194" s="8" t="s">
        <v>11</v>
      </c>
      <c r="D194" s="7" t="s">
        <v>12</v>
      </c>
      <c r="E194" s="9" t="s">
        <v>13</v>
      </c>
      <c r="F194" s="8" t="s">
        <v>14</v>
      </c>
      <c r="G194" s="9" t="s">
        <v>15</v>
      </c>
      <c r="H194" s="8" t="s">
        <v>11</v>
      </c>
      <c r="I194" s="10" t="s">
        <v>16</v>
      </c>
      <c r="J194" s="8" t="s">
        <v>14</v>
      </c>
      <c r="K194" s="12"/>
      <c r="L194" s="8" t="s">
        <v>11</v>
      </c>
      <c r="M194" s="12"/>
      <c r="N194" s="8" t="s">
        <v>11</v>
      </c>
      <c r="O194" s="12"/>
      <c r="P194" s="8" t="s">
        <v>11</v>
      </c>
      <c r="Q194" s="12"/>
      <c r="R194" s="8" t="s">
        <v>14</v>
      </c>
      <c r="S194" s="13"/>
      <c r="T194" s="14"/>
      <c r="U194" s="14" t="s">
        <v>23</v>
      </c>
    </row>
    <row r="195" ht="15.75" customHeight="1">
      <c r="A195" s="6">
        <v>194.0</v>
      </c>
      <c r="B195" s="15" t="s">
        <v>10</v>
      </c>
      <c r="C195" s="16" t="s">
        <v>11</v>
      </c>
      <c r="D195" s="15" t="s">
        <v>12</v>
      </c>
      <c r="E195" s="17" t="s">
        <v>13</v>
      </c>
      <c r="F195" s="16" t="s">
        <v>14</v>
      </c>
      <c r="G195" s="17" t="s">
        <v>15</v>
      </c>
      <c r="H195" s="16" t="s">
        <v>11</v>
      </c>
      <c r="I195" s="18" t="s">
        <v>16</v>
      </c>
      <c r="J195" s="16" t="s">
        <v>14</v>
      </c>
      <c r="K195" s="19"/>
      <c r="L195" s="16" t="s">
        <v>11</v>
      </c>
      <c r="M195" s="19"/>
      <c r="N195" s="16" t="s">
        <v>11</v>
      </c>
      <c r="O195" s="19"/>
      <c r="P195" s="16" t="s">
        <v>11</v>
      </c>
      <c r="Q195" s="19"/>
      <c r="R195" s="16" t="s">
        <v>14</v>
      </c>
      <c r="S195" s="20"/>
      <c r="T195" s="21"/>
      <c r="U195" s="21" t="s">
        <v>23</v>
      </c>
    </row>
    <row r="196" ht="15.75" customHeight="1">
      <c r="A196" s="6">
        <v>195.0</v>
      </c>
      <c r="B196" s="7" t="s">
        <v>10</v>
      </c>
      <c r="C196" s="8" t="s">
        <v>11</v>
      </c>
      <c r="D196" s="7" t="s">
        <v>12</v>
      </c>
      <c r="E196" s="9" t="s">
        <v>13</v>
      </c>
      <c r="F196" s="8" t="s">
        <v>14</v>
      </c>
      <c r="G196" s="9" t="s">
        <v>15</v>
      </c>
      <c r="H196" s="8" t="s">
        <v>11</v>
      </c>
      <c r="I196" s="10" t="s">
        <v>16</v>
      </c>
      <c r="J196" s="8" t="s">
        <v>14</v>
      </c>
      <c r="K196" s="12"/>
      <c r="L196" s="8" t="s">
        <v>11</v>
      </c>
      <c r="M196" s="12"/>
      <c r="N196" s="8" t="s">
        <v>11</v>
      </c>
      <c r="O196" s="12"/>
      <c r="P196" s="8" t="s">
        <v>11</v>
      </c>
      <c r="Q196" s="12"/>
      <c r="R196" s="8" t="s">
        <v>14</v>
      </c>
      <c r="S196" s="13"/>
      <c r="T196" s="14"/>
      <c r="U196" s="14" t="s">
        <v>23</v>
      </c>
    </row>
    <row r="197" ht="15.75" customHeight="1">
      <c r="A197" s="6">
        <v>196.0</v>
      </c>
      <c r="B197" s="15" t="s">
        <v>10</v>
      </c>
      <c r="C197" s="16" t="s">
        <v>11</v>
      </c>
      <c r="D197" s="15" t="s">
        <v>12</v>
      </c>
      <c r="E197" s="17" t="s">
        <v>13</v>
      </c>
      <c r="F197" s="16" t="s">
        <v>14</v>
      </c>
      <c r="G197" s="17" t="s">
        <v>15</v>
      </c>
      <c r="H197" s="16" t="s">
        <v>11</v>
      </c>
      <c r="I197" s="18" t="s">
        <v>16</v>
      </c>
      <c r="J197" s="16" t="s">
        <v>14</v>
      </c>
      <c r="K197" s="19"/>
      <c r="L197" s="16" t="s">
        <v>11</v>
      </c>
      <c r="M197" s="19"/>
      <c r="N197" s="16" t="s">
        <v>11</v>
      </c>
      <c r="O197" s="19"/>
      <c r="P197" s="16" t="s">
        <v>11</v>
      </c>
      <c r="Q197" s="19"/>
      <c r="R197" s="16" t="s">
        <v>14</v>
      </c>
      <c r="S197" s="20"/>
      <c r="T197" s="21"/>
      <c r="U197" s="21" t="s">
        <v>23</v>
      </c>
    </row>
    <row r="198" ht="15.75" customHeight="1">
      <c r="A198" s="6">
        <v>197.0</v>
      </c>
      <c r="B198" s="7" t="s">
        <v>10</v>
      </c>
      <c r="C198" s="8" t="s">
        <v>11</v>
      </c>
      <c r="D198" s="7" t="s">
        <v>12</v>
      </c>
      <c r="E198" s="9" t="s">
        <v>13</v>
      </c>
      <c r="F198" s="8" t="s">
        <v>14</v>
      </c>
      <c r="G198" s="9" t="s">
        <v>15</v>
      </c>
      <c r="H198" s="8" t="s">
        <v>11</v>
      </c>
      <c r="I198" s="10" t="s">
        <v>16</v>
      </c>
      <c r="J198" s="8" t="s">
        <v>14</v>
      </c>
      <c r="K198" s="12"/>
      <c r="L198" s="8" t="s">
        <v>11</v>
      </c>
      <c r="M198" s="12"/>
      <c r="N198" s="8" t="s">
        <v>11</v>
      </c>
      <c r="O198" s="12"/>
      <c r="P198" s="8" t="s">
        <v>11</v>
      </c>
      <c r="Q198" s="12"/>
      <c r="R198" s="8" t="s">
        <v>14</v>
      </c>
      <c r="S198" s="13"/>
      <c r="T198" s="14"/>
      <c r="U198" s="14" t="s">
        <v>23</v>
      </c>
    </row>
    <row r="199" ht="15.75" customHeight="1">
      <c r="A199" s="6">
        <v>198.0</v>
      </c>
      <c r="B199" s="15" t="s">
        <v>10</v>
      </c>
      <c r="C199" s="16" t="s">
        <v>11</v>
      </c>
      <c r="D199" s="15" t="s">
        <v>12</v>
      </c>
      <c r="E199" s="17" t="s">
        <v>13</v>
      </c>
      <c r="F199" s="16" t="s">
        <v>14</v>
      </c>
      <c r="G199" s="17" t="s">
        <v>15</v>
      </c>
      <c r="H199" s="16" t="s">
        <v>11</v>
      </c>
      <c r="I199" s="18" t="s">
        <v>16</v>
      </c>
      <c r="J199" s="16" t="s">
        <v>14</v>
      </c>
      <c r="K199" s="19"/>
      <c r="L199" s="16" t="s">
        <v>11</v>
      </c>
      <c r="M199" s="19"/>
      <c r="N199" s="16" t="s">
        <v>11</v>
      </c>
      <c r="O199" s="19"/>
      <c r="P199" s="16" t="s">
        <v>11</v>
      </c>
      <c r="Q199" s="19"/>
      <c r="R199" s="16" t="s">
        <v>14</v>
      </c>
      <c r="S199" s="20"/>
      <c r="T199" s="21"/>
      <c r="U199" s="21" t="s">
        <v>23</v>
      </c>
    </row>
    <row r="200" ht="15.75" customHeight="1">
      <c r="A200" s="6">
        <v>199.0</v>
      </c>
      <c r="B200" s="7" t="s">
        <v>10</v>
      </c>
      <c r="C200" s="8" t="s">
        <v>11</v>
      </c>
      <c r="D200" s="7" t="s">
        <v>12</v>
      </c>
      <c r="E200" s="9" t="s">
        <v>13</v>
      </c>
      <c r="F200" s="8" t="s">
        <v>14</v>
      </c>
      <c r="G200" s="9" t="s">
        <v>15</v>
      </c>
      <c r="H200" s="8" t="s">
        <v>11</v>
      </c>
      <c r="I200" s="10" t="s">
        <v>16</v>
      </c>
      <c r="J200" s="8" t="s">
        <v>14</v>
      </c>
      <c r="K200" s="12"/>
      <c r="L200" s="8" t="s">
        <v>11</v>
      </c>
      <c r="M200" s="12"/>
      <c r="N200" s="8" t="s">
        <v>11</v>
      </c>
      <c r="O200" s="12"/>
      <c r="P200" s="8" t="s">
        <v>11</v>
      </c>
      <c r="Q200" s="12"/>
      <c r="R200" s="8" t="s">
        <v>14</v>
      </c>
      <c r="S200" s="13"/>
      <c r="T200" s="14"/>
      <c r="U200" s="14" t="s">
        <v>23</v>
      </c>
    </row>
    <row r="201" ht="15.75" customHeight="1">
      <c r="A201" s="6">
        <v>200.0</v>
      </c>
      <c r="B201" s="15" t="s">
        <v>10</v>
      </c>
      <c r="C201" s="16" t="s">
        <v>11</v>
      </c>
      <c r="D201" s="15" t="s">
        <v>12</v>
      </c>
      <c r="E201" s="17" t="s">
        <v>13</v>
      </c>
      <c r="F201" s="16" t="s">
        <v>14</v>
      </c>
      <c r="G201" s="17" t="s">
        <v>15</v>
      </c>
      <c r="H201" s="16" t="s">
        <v>11</v>
      </c>
      <c r="I201" s="18" t="s">
        <v>16</v>
      </c>
      <c r="J201" s="16" t="s">
        <v>14</v>
      </c>
      <c r="K201" s="19"/>
      <c r="L201" s="16" t="s">
        <v>11</v>
      </c>
      <c r="M201" s="19"/>
      <c r="N201" s="16" t="s">
        <v>11</v>
      </c>
      <c r="O201" s="19"/>
      <c r="P201" s="16" t="s">
        <v>11</v>
      </c>
      <c r="Q201" s="19"/>
      <c r="R201" s="16" t="s">
        <v>14</v>
      </c>
      <c r="S201" s="20"/>
      <c r="T201" s="21"/>
      <c r="U201" s="21" t="s">
        <v>23</v>
      </c>
    </row>
    <row r="202" ht="15.75" customHeight="1">
      <c r="A202" s="6">
        <v>201.0</v>
      </c>
      <c r="B202" s="7" t="s">
        <v>10</v>
      </c>
      <c r="C202" s="8" t="s">
        <v>11</v>
      </c>
      <c r="D202" s="7" t="s">
        <v>12</v>
      </c>
      <c r="E202" s="9" t="s">
        <v>13</v>
      </c>
      <c r="F202" s="8" t="s">
        <v>14</v>
      </c>
      <c r="G202" s="9" t="s">
        <v>15</v>
      </c>
      <c r="H202" s="8" t="s">
        <v>11</v>
      </c>
      <c r="I202" s="10" t="s">
        <v>16</v>
      </c>
      <c r="J202" s="8" t="s">
        <v>14</v>
      </c>
      <c r="K202" s="12"/>
      <c r="L202" s="8" t="s">
        <v>11</v>
      </c>
      <c r="M202" s="12"/>
      <c r="N202" s="8" t="s">
        <v>11</v>
      </c>
      <c r="O202" s="12"/>
      <c r="P202" s="8" t="s">
        <v>11</v>
      </c>
      <c r="Q202" s="12"/>
      <c r="R202" s="8" t="s">
        <v>14</v>
      </c>
      <c r="S202" s="13"/>
      <c r="T202" s="14"/>
      <c r="U202" s="14" t="s">
        <v>23</v>
      </c>
    </row>
    <row r="203" ht="15.75" customHeight="1">
      <c r="A203" s="6">
        <v>202.0</v>
      </c>
      <c r="B203" s="15" t="s">
        <v>10</v>
      </c>
      <c r="C203" s="16" t="s">
        <v>11</v>
      </c>
      <c r="D203" s="15" t="s">
        <v>12</v>
      </c>
      <c r="E203" s="17" t="s">
        <v>13</v>
      </c>
      <c r="F203" s="16" t="s">
        <v>14</v>
      </c>
      <c r="G203" s="17" t="s">
        <v>15</v>
      </c>
      <c r="H203" s="16" t="s">
        <v>11</v>
      </c>
      <c r="I203" s="18" t="s">
        <v>16</v>
      </c>
      <c r="J203" s="16" t="s">
        <v>14</v>
      </c>
      <c r="K203" s="19"/>
      <c r="L203" s="16" t="s">
        <v>11</v>
      </c>
      <c r="M203" s="19"/>
      <c r="N203" s="16" t="s">
        <v>11</v>
      </c>
      <c r="O203" s="19"/>
      <c r="P203" s="16" t="s">
        <v>11</v>
      </c>
      <c r="Q203" s="19"/>
      <c r="R203" s="16" t="s">
        <v>14</v>
      </c>
      <c r="S203" s="20"/>
      <c r="T203" s="21"/>
      <c r="U203" s="21" t="s">
        <v>23</v>
      </c>
    </row>
    <row r="204" ht="15.75" customHeight="1">
      <c r="A204" s="6">
        <v>203.0</v>
      </c>
      <c r="B204" s="7" t="s">
        <v>10</v>
      </c>
      <c r="C204" s="8" t="s">
        <v>11</v>
      </c>
      <c r="D204" s="7" t="s">
        <v>12</v>
      </c>
      <c r="E204" s="9" t="s">
        <v>13</v>
      </c>
      <c r="F204" s="8" t="s">
        <v>14</v>
      </c>
      <c r="G204" s="9" t="s">
        <v>15</v>
      </c>
      <c r="H204" s="8" t="s">
        <v>11</v>
      </c>
      <c r="I204" s="10" t="s">
        <v>16</v>
      </c>
      <c r="J204" s="8" t="s">
        <v>14</v>
      </c>
      <c r="K204" s="12"/>
      <c r="L204" s="8" t="s">
        <v>11</v>
      </c>
      <c r="M204" s="12"/>
      <c r="N204" s="8" t="s">
        <v>11</v>
      </c>
      <c r="O204" s="12"/>
      <c r="P204" s="8" t="s">
        <v>11</v>
      </c>
      <c r="Q204" s="12"/>
      <c r="R204" s="8" t="s">
        <v>14</v>
      </c>
      <c r="S204" s="13"/>
      <c r="T204" s="14"/>
      <c r="U204" s="14" t="s">
        <v>23</v>
      </c>
    </row>
    <row r="205" ht="15.75" customHeight="1">
      <c r="A205" s="6">
        <v>204.0</v>
      </c>
      <c r="B205" s="15" t="s">
        <v>10</v>
      </c>
      <c r="C205" s="16" t="s">
        <v>11</v>
      </c>
      <c r="D205" s="15" t="s">
        <v>12</v>
      </c>
      <c r="E205" s="17" t="s">
        <v>13</v>
      </c>
      <c r="F205" s="16" t="s">
        <v>14</v>
      </c>
      <c r="G205" s="17" t="s">
        <v>15</v>
      </c>
      <c r="H205" s="16" t="s">
        <v>11</v>
      </c>
      <c r="I205" s="18" t="s">
        <v>16</v>
      </c>
      <c r="J205" s="16" t="s">
        <v>14</v>
      </c>
      <c r="K205" s="19"/>
      <c r="L205" s="16" t="s">
        <v>11</v>
      </c>
      <c r="M205" s="19"/>
      <c r="N205" s="16" t="s">
        <v>11</v>
      </c>
      <c r="O205" s="19"/>
      <c r="P205" s="16" t="s">
        <v>11</v>
      </c>
      <c r="Q205" s="19"/>
      <c r="R205" s="16" t="s">
        <v>14</v>
      </c>
      <c r="S205" s="20"/>
      <c r="T205" s="21"/>
      <c r="U205" s="21" t="s">
        <v>23</v>
      </c>
    </row>
    <row r="206" ht="15.75" customHeight="1">
      <c r="A206" s="6">
        <v>205.0</v>
      </c>
      <c r="B206" s="7" t="s">
        <v>10</v>
      </c>
      <c r="C206" s="8" t="s">
        <v>11</v>
      </c>
      <c r="D206" s="7" t="s">
        <v>12</v>
      </c>
      <c r="E206" s="9" t="s">
        <v>13</v>
      </c>
      <c r="F206" s="8" t="s">
        <v>14</v>
      </c>
      <c r="G206" s="9" t="s">
        <v>15</v>
      </c>
      <c r="H206" s="8" t="s">
        <v>11</v>
      </c>
      <c r="I206" s="10" t="s">
        <v>16</v>
      </c>
      <c r="J206" s="8" t="s">
        <v>14</v>
      </c>
      <c r="K206" s="12"/>
      <c r="L206" s="8" t="s">
        <v>11</v>
      </c>
      <c r="M206" s="12"/>
      <c r="N206" s="8" t="s">
        <v>11</v>
      </c>
      <c r="O206" s="12"/>
      <c r="P206" s="8" t="s">
        <v>11</v>
      </c>
      <c r="Q206" s="12"/>
      <c r="R206" s="8" t="s">
        <v>14</v>
      </c>
      <c r="S206" s="13"/>
      <c r="T206" s="14"/>
      <c r="U206" s="14" t="s">
        <v>23</v>
      </c>
    </row>
    <row r="207" ht="15.75" customHeight="1">
      <c r="A207" s="6">
        <v>206.0</v>
      </c>
      <c r="B207" s="15" t="s">
        <v>10</v>
      </c>
      <c r="C207" s="16" t="s">
        <v>11</v>
      </c>
      <c r="D207" s="15" t="s">
        <v>12</v>
      </c>
      <c r="E207" s="17" t="s">
        <v>13</v>
      </c>
      <c r="F207" s="16" t="s">
        <v>14</v>
      </c>
      <c r="G207" s="17" t="s">
        <v>15</v>
      </c>
      <c r="H207" s="16" t="s">
        <v>11</v>
      </c>
      <c r="I207" s="18" t="s">
        <v>16</v>
      </c>
      <c r="J207" s="16" t="s">
        <v>14</v>
      </c>
      <c r="K207" s="19"/>
      <c r="L207" s="16" t="s">
        <v>11</v>
      </c>
      <c r="M207" s="19"/>
      <c r="N207" s="16" t="s">
        <v>11</v>
      </c>
      <c r="O207" s="19"/>
      <c r="P207" s="16" t="s">
        <v>11</v>
      </c>
      <c r="Q207" s="19"/>
      <c r="R207" s="16" t="s">
        <v>14</v>
      </c>
      <c r="S207" s="20"/>
      <c r="T207" s="21"/>
      <c r="U207" s="21" t="s">
        <v>23</v>
      </c>
    </row>
    <row r="208" ht="15.75" customHeight="1">
      <c r="A208" s="6">
        <v>207.0</v>
      </c>
      <c r="B208" s="7" t="s">
        <v>10</v>
      </c>
      <c r="C208" s="8" t="s">
        <v>11</v>
      </c>
      <c r="D208" s="7" t="s">
        <v>12</v>
      </c>
      <c r="E208" s="9" t="s">
        <v>13</v>
      </c>
      <c r="F208" s="8" t="s">
        <v>14</v>
      </c>
      <c r="G208" s="9" t="s">
        <v>15</v>
      </c>
      <c r="H208" s="8" t="s">
        <v>11</v>
      </c>
      <c r="I208" s="10" t="s">
        <v>16</v>
      </c>
      <c r="J208" s="8" t="s">
        <v>14</v>
      </c>
      <c r="K208" s="12"/>
      <c r="L208" s="8" t="s">
        <v>11</v>
      </c>
      <c r="M208" s="12"/>
      <c r="N208" s="8" t="s">
        <v>11</v>
      </c>
      <c r="O208" s="12"/>
      <c r="P208" s="8" t="s">
        <v>11</v>
      </c>
      <c r="Q208" s="12"/>
      <c r="R208" s="8" t="s">
        <v>14</v>
      </c>
      <c r="S208" s="13"/>
      <c r="T208" s="14"/>
      <c r="U208" s="14" t="s">
        <v>23</v>
      </c>
    </row>
    <row r="209" ht="15.75" customHeight="1">
      <c r="A209" s="6">
        <v>208.0</v>
      </c>
      <c r="B209" s="15" t="s">
        <v>10</v>
      </c>
      <c r="C209" s="16" t="s">
        <v>11</v>
      </c>
      <c r="D209" s="15" t="s">
        <v>12</v>
      </c>
      <c r="E209" s="17" t="s">
        <v>13</v>
      </c>
      <c r="F209" s="16" t="s">
        <v>14</v>
      </c>
      <c r="G209" s="17" t="s">
        <v>15</v>
      </c>
      <c r="H209" s="16" t="s">
        <v>11</v>
      </c>
      <c r="I209" s="18" t="s">
        <v>16</v>
      </c>
      <c r="J209" s="16" t="s">
        <v>14</v>
      </c>
      <c r="K209" s="19"/>
      <c r="L209" s="16" t="s">
        <v>11</v>
      </c>
      <c r="M209" s="19"/>
      <c r="N209" s="16" t="s">
        <v>11</v>
      </c>
      <c r="O209" s="19"/>
      <c r="P209" s="16" t="s">
        <v>11</v>
      </c>
      <c r="Q209" s="19"/>
      <c r="R209" s="16" t="s">
        <v>14</v>
      </c>
      <c r="S209" s="20"/>
      <c r="T209" s="21"/>
      <c r="U209" s="21" t="s">
        <v>23</v>
      </c>
    </row>
    <row r="210" ht="15.75" customHeight="1">
      <c r="A210" s="6">
        <v>209.0</v>
      </c>
      <c r="B210" s="7" t="s">
        <v>10</v>
      </c>
      <c r="C210" s="8" t="s">
        <v>11</v>
      </c>
      <c r="D210" s="7" t="s">
        <v>12</v>
      </c>
      <c r="E210" s="9" t="s">
        <v>13</v>
      </c>
      <c r="F210" s="8" t="s">
        <v>14</v>
      </c>
      <c r="G210" s="9" t="s">
        <v>15</v>
      </c>
      <c r="H210" s="8" t="s">
        <v>11</v>
      </c>
      <c r="I210" s="10" t="s">
        <v>16</v>
      </c>
      <c r="J210" s="8" t="s">
        <v>14</v>
      </c>
      <c r="K210" s="12"/>
      <c r="L210" s="8" t="s">
        <v>11</v>
      </c>
      <c r="M210" s="12"/>
      <c r="N210" s="8" t="s">
        <v>11</v>
      </c>
      <c r="O210" s="12"/>
      <c r="P210" s="8" t="s">
        <v>11</v>
      </c>
      <c r="Q210" s="12"/>
      <c r="R210" s="8" t="s">
        <v>14</v>
      </c>
      <c r="S210" s="13"/>
      <c r="T210" s="14"/>
      <c r="U210" s="14" t="s">
        <v>23</v>
      </c>
    </row>
    <row r="211" ht="15.75" customHeight="1">
      <c r="A211" s="6">
        <v>210.0</v>
      </c>
      <c r="B211" s="15" t="s">
        <v>10</v>
      </c>
      <c r="C211" s="16" t="s">
        <v>11</v>
      </c>
      <c r="D211" s="15" t="s">
        <v>12</v>
      </c>
      <c r="E211" s="17" t="s">
        <v>13</v>
      </c>
      <c r="F211" s="16" t="s">
        <v>14</v>
      </c>
      <c r="G211" s="17" t="s">
        <v>15</v>
      </c>
      <c r="H211" s="16" t="s">
        <v>11</v>
      </c>
      <c r="I211" s="18" t="s">
        <v>16</v>
      </c>
      <c r="J211" s="16" t="s">
        <v>14</v>
      </c>
      <c r="K211" s="19"/>
      <c r="L211" s="16" t="s">
        <v>11</v>
      </c>
      <c r="M211" s="19"/>
      <c r="N211" s="16" t="s">
        <v>11</v>
      </c>
      <c r="O211" s="19"/>
      <c r="P211" s="16" t="s">
        <v>11</v>
      </c>
      <c r="Q211" s="19"/>
      <c r="R211" s="16" t="s">
        <v>14</v>
      </c>
      <c r="S211" s="20"/>
      <c r="T211" s="21"/>
      <c r="U211" s="21" t="s">
        <v>23</v>
      </c>
    </row>
    <row r="212" ht="15.75" customHeight="1">
      <c r="A212" s="6">
        <v>211.0</v>
      </c>
      <c r="B212" s="7" t="s">
        <v>10</v>
      </c>
      <c r="C212" s="8" t="s">
        <v>11</v>
      </c>
      <c r="D212" s="7" t="s">
        <v>12</v>
      </c>
      <c r="E212" s="9" t="s">
        <v>13</v>
      </c>
      <c r="F212" s="8" t="s">
        <v>14</v>
      </c>
      <c r="G212" s="9" t="s">
        <v>15</v>
      </c>
      <c r="H212" s="8" t="s">
        <v>11</v>
      </c>
      <c r="I212" s="10" t="s">
        <v>16</v>
      </c>
      <c r="J212" s="8" t="s">
        <v>14</v>
      </c>
      <c r="K212" s="12"/>
      <c r="L212" s="8" t="s">
        <v>11</v>
      </c>
      <c r="M212" s="12"/>
      <c r="N212" s="8" t="s">
        <v>11</v>
      </c>
      <c r="O212" s="12"/>
      <c r="P212" s="8" t="s">
        <v>11</v>
      </c>
      <c r="Q212" s="12"/>
      <c r="R212" s="8" t="s">
        <v>14</v>
      </c>
      <c r="S212" s="13"/>
      <c r="T212" s="14"/>
      <c r="U212" s="14" t="s">
        <v>23</v>
      </c>
    </row>
    <row r="213" ht="15.75" customHeight="1">
      <c r="A213" s="6">
        <v>212.0</v>
      </c>
      <c r="B213" s="15" t="s">
        <v>10</v>
      </c>
      <c r="C213" s="16" t="s">
        <v>11</v>
      </c>
      <c r="D213" s="15" t="s">
        <v>12</v>
      </c>
      <c r="E213" s="17" t="s">
        <v>13</v>
      </c>
      <c r="F213" s="16" t="s">
        <v>14</v>
      </c>
      <c r="G213" s="17" t="s">
        <v>15</v>
      </c>
      <c r="H213" s="16" t="s">
        <v>11</v>
      </c>
      <c r="I213" s="18" t="s">
        <v>16</v>
      </c>
      <c r="J213" s="16" t="s">
        <v>14</v>
      </c>
      <c r="K213" s="19"/>
      <c r="L213" s="16" t="s">
        <v>11</v>
      </c>
      <c r="M213" s="19"/>
      <c r="N213" s="16" t="s">
        <v>11</v>
      </c>
      <c r="O213" s="19"/>
      <c r="P213" s="16" t="s">
        <v>11</v>
      </c>
      <c r="Q213" s="19"/>
      <c r="R213" s="16" t="s">
        <v>14</v>
      </c>
      <c r="S213" s="20"/>
      <c r="T213" s="21"/>
      <c r="U213" s="21" t="s">
        <v>23</v>
      </c>
    </row>
    <row r="214" ht="15.75" customHeight="1">
      <c r="A214" s="6">
        <v>213.0</v>
      </c>
      <c r="B214" s="7" t="s">
        <v>10</v>
      </c>
      <c r="C214" s="8" t="s">
        <v>11</v>
      </c>
      <c r="D214" s="7" t="s">
        <v>12</v>
      </c>
      <c r="E214" s="9" t="s">
        <v>13</v>
      </c>
      <c r="F214" s="8" t="s">
        <v>14</v>
      </c>
      <c r="G214" s="9" t="s">
        <v>15</v>
      </c>
      <c r="H214" s="8" t="s">
        <v>11</v>
      </c>
      <c r="I214" s="10" t="s">
        <v>16</v>
      </c>
      <c r="J214" s="8" t="s">
        <v>14</v>
      </c>
      <c r="K214" s="12"/>
      <c r="L214" s="8" t="s">
        <v>11</v>
      </c>
      <c r="M214" s="12"/>
      <c r="N214" s="8" t="s">
        <v>11</v>
      </c>
      <c r="O214" s="12"/>
      <c r="P214" s="8" t="s">
        <v>11</v>
      </c>
      <c r="Q214" s="12"/>
      <c r="R214" s="8" t="s">
        <v>14</v>
      </c>
      <c r="S214" s="13"/>
      <c r="T214" s="14"/>
      <c r="U214" s="14" t="s">
        <v>23</v>
      </c>
    </row>
    <row r="215" ht="15.75" customHeight="1">
      <c r="A215" s="6">
        <v>214.0</v>
      </c>
      <c r="B215" s="15" t="s">
        <v>10</v>
      </c>
      <c r="C215" s="16" t="s">
        <v>11</v>
      </c>
      <c r="D215" s="15" t="s">
        <v>12</v>
      </c>
      <c r="E215" s="17" t="s">
        <v>13</v>
      </c>
      <c r="F215" s="16" t="s">
        <v>14</v>
      </c>
      <c r="G215" s="17" t="s">
        <v>15</v>
      </c>
      <c r="H215" s="16" t="s">
        <v>11</v>
      </c>
      <c r="I215" s="18" t="s">
        <v>16</v>
      </c>
      <c r="J215" s="16" t="s">
        <v>14</v>
      </c>
      <c r="K215" s="19"/>
      <c r="L215" s="16" t="s">
        <v>11</v>
      </c>
      <c r="M215" s="19"/>
      <c r="N215" s="16" t="s">
        <v>11</v>
      </c>
      <c r="O215" s="19"/>
      <c r="P215" s="16" t="s">
        <v>11</v>
      </c>
      <c r="Q215" s="19"/>
      <c r="R215" s="16" t="s">
        <v>14</v>
      </c>
      <c r="S215" s="20"/>
      <c r="T215" s="21"/>
      <c r="U215" s="21" t="s">
        <v>23</v>
      </c>
    </row>
    <row r="216" ht="15.75" customHeight="1">
      <c r="A216" s="6">
        <v>215.0</v>
      </c>
      <c r="B216" s="7" t="s">
        <v>10</v>
      </c>
      <c r="C216" s="8" t="s">
        <v>11</v>
      </c>
      <c r="D216" s="7" t="s">
        <v>12</v>
      </c>
      <c r="E216" s="9" t="s">
        <v>13</v>
      </c>
      <c r="F216" s="8" t="s">
        <v>14</v>
      </c>
      <c r="G216" s="9" t="s">
        <v>15</v>
      </c>
      <c r="H216" s="8" t="s">
        <v>11</v>
      </c>
      <c r="I216" s="10" t="s">
        <v>16</v>
      </c>
      <c r="J216" s="8" t="s">
        <v>14</v>
      </c>
      <c r="K216" s="12"/>
      <c r="L216" s="8" t="s">
        <v>11</v>
      </c>
      <c r="M216" s="12"/>
      <c r="N216" s="8" t="s">
        <v>11</v>
      </c>
      <c r="O216" s="12"/>
      <c r="P216" s="8" t="s">
        <v>11</v>
      </c>
      <c r="Q216" s="12"/>
      <c r="R216" s="8" t="s">
        <v>14</v>
      </c>
      <c r="S216" s="13"/>
      <c r="T216" s="14"/>
      <c r="U216" s="14" t="s">
        <v>23</v>
      </c>
    </row>
    <row r="217" ht="15.75" customHeight="1">
      <c r="A217" s="6">
        <v>216.0</v>
      </c>
      <c r="B217" s="15" t="s">
        <v>10</v>
      </c>
      <c r="C217" s="16" t="s">
        <v>11</v>
      </c>
      <c r="D217" s="15" t="s">
        <v>12</v>
      </c>
      <c r="E217" s="17" t="s">
        <v>13</v>
      </c>
      <c r="F217" s="16" t="s">
        <v>14</v>
      </c>
      <c r="G217" s="17" t="s">
        <v>15</v>
      </c>
      <c r="H217" s="16" t="s">
        <v>11</v>
      </c>
      <c r="I217" s="18" t="s">
        <v>16</v>
      </c>
      <c r="J217" s="16" t="s">
        <v>14</v>
      </c>
      <c r="K217" s="19"/>
      <c r="L217" s="16" t="s">
        <v>11</v>
      </c>
      <c r="M217" s="19"/>
      <c r="N217" s="16" t="s">
        <v>11</v>
      </c>
      <c r="O217" s="19"/>
      <c r="P217" s="16" t="s">
        <v>11</v>
      </c>
      <c r="Q217" s="19"/>
      <c r="R217" s="16" t="s">
        <v>14</v>
      </c>
      <c r="S217" s="20"/>
      <c r="T217" s="21"/>
      <c r="U217" s="21" t="s">
        <v>23</v>
      </c>
    </row>
    <row r="218" ht="15.75" customHeight="1">
      <c r="A218" s="6">
        <v>217.0</v>
      </c>
      <c r="B218" s="7" t="s">
        <v>10</v>
      </c>
      <c r="C218" s="8" t="s">
        <v>11</v>
      </c>
      <c r="D218" s="7" t="s">
        <v>12</v>
      </c>
      <c r="E218" s="9" t="s">
        <v>13</v>
      </c>
      <c r="F218" s="8" t="s">
        <v>14</v>
      </c>
      <c r="G218" s="9" t="s">
        <v>15</v>
      </c>
      <c r="H218" s="8" t="s">
        <v>11</v>
      </c>
      <c r="I218" s="10" t="s">
        <v>16</v>
      </c>
      <c r="J218" s="8" t="s">
        <v>14</v>
      </c>
      <c r="K218" s="12"/>
      <c r="L218" s="8" t="s">
        <v>11</v>
      </c>
      <c r="M218" s="12"/>
      <c r="N218" s="8" t="s">
        <v>11</v>
      </c>
      <c r="O218" s="12"/>
      <c r="P218" s="8" t="s">
        <v>11</v>
      </c>
      <c r="Q218" s="12"/>
      <c r="R218" s="8" t="s">
        <v>14</v>
      </c>
      <c r="S218" s="13"/>
      <c r="T218" s="14"/>
      <c r="U218" s="14" t="s">
        <v>23</v>
      </c>
    </row>
    <row r="219" ht="15.75" customHeight="1">
      <c r="A219" s="6">
        <v>218.0</v>
      </c>
      <c r="B219" s="15" t="s">
        <v>10</v>
      </c>
      <c r="C219" s="16" t="s">
        <v>11</v>
      </c>
      <c r="D219" s="15" t="s">
        <v>12</v>
      </c>
      <c r="E219" s="17" t="s">
        <v>13</v>
      </c>
      <c r="F219" s="16" t="s">
        <v>14</v>
      </c>
      <c r="G219" s="17" t="s">
        <v>15</v>
      </c>
      <c r="H219" s="16" t="s">
        <v>11</v>
      </c>
      <c r="I219" s="18" t="s">
        <v>16</v>
      </c>
      <c r="J219" s="16" t="s">
        <v>14</v>
      </c>
      <c r="K219" s="19"/>
      <c r="L219" s="16" t="s">
        <v>11</v>
      </c>
      <c r="M219" s="19"/>
      <c r="N219" s="16" t="s">
        <v>11</v>
      </c>
      <c r="O219" s="19"/>
      <c r="P219" s="16" t="s">
        <v>11</v>
      </c>
      <c r="Q219" s="19"/>
      <c r="R219" s="16" t="s">
        <v>14</v>
      </c>
      <c r="S219" s="20"/>
      <c r="T219" s="21"/>
      <c r="U219" s="21" t="s">
        <v>23</v>
      </c>
    </row>
    <row r="220" ht="15.75" customHeight="1">
      <c r="A220" s="6">
        <v>219.0</v>
      </c>
      <c r="B220" s="7" t="s">
        <v>10</v>
      </c>
      <c r="C220" s="8" t="s">
        <v>11</v>
      </c>
      <c r="D220" s="7" t="s">
        <v>12</v>
      </c>
      <c r="E220" s="9" t="s">
        <v>13</v>
      </c>
      <c r="F220" s="8" t="s">
        <v>14</v>
      </c>
      <c r="G220" s="9" t="s">
        <v>15</v>
      </c>
      <c r="H220" s="8" t="s">
        <v>11</v>
      </c>
      <c r="I220" s="10" t="s">
        <v>16</v>
      </c>
      <c r="J220" s="8" t="s">
        <v>14</v>
      </c>
      <c r="K220" s="12"/>
      <c r="L220" s="8" t="s">
        <v>11</v>
      </c>
      <c r="M220" s="12"/>
      <c r="N220" s="8" t="s">
        <v>11</v>
      </c>
      <c r="O220" s="12"/>
      <c r="P220" s="8" t="s">
        <v>11</v>
      </c>
      <c r="Q220" s="12"/>
      <c r="R220" s="8" t="s">
        <v>14</v>
      </c>
      <c r="S220" s="13"/>
      <c r="T220" s="14"/>
      <c r="U220" s="14" t="s">
        <v>23</v>
      </c>
    </row>
    <row r="221" ht="15.75" customHeight="1">
      <c r="A221" s="6">
        <v>220.0</v>
      </c>
      <c r="B221" s="15" t="s">
        <v>10</v>
      </c>
      <c r="C221" s="16" t="s">
        <v>11</v>
      </c>
      <c r="D221" s="15" t="s">
        <v>12</v>
      </c>
      <c r="E221" s="17" t="s">
        <v>13</v>
      </c>
      <c r="F221" s="16" t="s">
        <v>14</v>
      </c>
      <c r="G221" s="17" t="s">
        <v>15</v>
      </c>
      <c r="H221" s="16" t="s">
        <v>11</v>
      </c>
      <c r="I221" s="18" t="s">
        <v>16</v>
      </c>
      <c r="J221" s="16" t="s">
        <v>14</v>
      </c>
      <c r="K221" s="19"/>
      <c r="L221" s="16" t="s">
        <v>11</v>
      </c>
      <c r="M221" s="19"/>
      <c r="N221" s="16" t="s">
        <v>11</v>
      </c>
      <c r="O221" s="19"/>
      <c r="P221" s="16" t="s">
        <v>11</v>
      </c>
      <c r="Q221" s="19"/>
      <c r="R221" s="16" t="s">
        <v>14</v>
      </c>
      <c r="S221" s="20"/>
      <c r="T221" s="21"/>
      <c r="U221" s="21" t="s">
        <v>23</v>
      </c>
    </row>
    <row r="222" ht="15.75" customHeight="1">
      <c r="A222" s="6">
        <v>221.0</v>
      </c>
      <c r="B222" s="7" t="s">
        <v>10</v>
      </c>
      <c r="C222" s="8" t="s">
        <v>11</v>
      </c>
      <c r="D222" s="7" t="s">
        <v>12</v>
      </c>
      <c r="E222" s="9" t="s">
        <v>13</v>
      </c>
      <c r="F222" s="8" t="s">
        <v>14</v>
      </c>
      <c r="G222" s="9" t="s">
        <v>15</v>
      </c>
      <c r="H222" s="8" t="s">
        <v>11</v>
      </c>
      <c r="I222" s="10" t="s">
        <v>16</v>
      </c>
      <c r="J222" s="8" t="s">
        <v>14</v>
      </c>
      <c r="K222" s="12"/>
      <c r="L222" s="8" t="s">
        <v>11</v>
      </c>
      <c r="M222" s="12"/>
      <c r="N222" s="8" t="s">
        <v>11</v>
      </c>
      <c r="O222" s="12"/>
      <c r="P222" s="8" t="s">
        <v>11</v>
      </c>
      <c r="Q222" s="12"/>
      <c r="R222" s="8" t="s">
        <v>14</v>
      </c>
      <c r="S222" s="13"/>
      <c r="T222" s="14"/>
      <c r="U222" s="14" t="s">
        <v>23</v>
      </c>
    </row>
    <row r="223" ht="15.75" customHeight="1">
      <c r="A223" s="6">
        <v>222.0</v>
      </c>
      <c r="B223" s="15" t="s">
        <v>10</v>
      </c>
      <c r="C223" s="16" t="s">
        <v>11</v>
      </c>
      <c r="D223" s="15" t="s">
        <v>12</v>
      </c>
      <c r="E223" s="17" t="s">
        <v>13</v>
      </c>
      <c r="F223" s="16" t="s">
        <v>14</v>
      </c>
      <c r="G223" s="17" t="s">
        <v>15</v>
      </c>
      <c r="H223" s="16" t="s">
        <v>11</v>
      </c>
      <c r="I223" s="18" t="s">
        <v>16</v>
      </c>
      <c r="J223" s="16" t="s">
        <v>14</v>
      </c>
      <c r="K223" s="19"/>
      <c r="L223" s="16" t="s">
        <v>11</v>
      </c>
      <c r="M223" s="19"/>
      <c r="N223" s="16" t="s">
        <v>11</v>
      </c>
      <c r="O223" s="19"/>
      <c r="P223" s="16" t="s">
        <v>11</v>
      </c>
      <c r="Q223" s="19"/>
      <c r="R223" s="16" t="s">
        <v>14</v>
      </c>
      <c r="S223" s="20"/>
      <c r="T223" s="21"/>
      <c r="U223" s="21" t="s">
        <v>23</v>
      </c>
    </row>
    <row r="224" ht="15.75" customHeight="1">
      <c r="A224" s="6">
        <v>223.0</v>
      </c>
      <c r="B224" s="7" t="s">
        <v>10</v>
      </c>
      <c r="C224" s="8" t="s">
        <v>11</v>
      </c>
      <c r="D224" s="7" t="s">
        <v>12</v>
      </c>
      <c r="E224" s="9" t="s">
        <v>13</v>
      </c>
      <c r="F224" s="8" t="s">
        <v>14</v>
      </c>
      <c r="G224" s="9" t="s">
        <v>15</v>
      </c>
      <c r="H224" s="8" t="s">
        <v>11</v>
      </c>
      <c r="I224" s="10" t="s">
        <v>16</v>
      </c>
      <c r="J224" s="8" t="s">
        <v>14</v>
      </c>
      <c r="K224" s="12"/>
      <c r="L224" s="8" t="s">
        <v>11</v>
      </c>
      <c r="M224" s="12"/>
      <c r="N224" s="8" t="s">
        <v>11</v>
      </c>
      <c r="O224" s="12"/>
      <c r="P224" s="8" t="s">
        <v>11</v>
      </c>
      <c r="Q224" s="12"/>
      <c r="R224" s="8" t="s">
        <v>14</v>
      </c>
      <c r="S224" s="13"/>
      <c r="T224" s="14"/>
      <c r="U224" s="14" t="s">
        <v>23</v>
      </c>
    </row>
    <row r="225" ht="15.75" customHeight="1">
      <c r="A225" s="6">
        <v>224.0</v>
      </c>
      <c r="B225" s="15" t="s">
        <v>10</v>
      </c>
      <c r="C225" s="16" t="s">
        <v>11</v>
      </c>
      <c r="D225" s="15" t="s">
        <v>12</v>
      </c>
      <c r="E225" s="17" t="s">
        <v>13</v>
      </c>
      <c r="F225" s="16" t="s">
        <v>14</v>
      </c>
      <c r="G225" s="17" t="s">
        <v>15</v>
      </c>
      <c r="H225" s="16" t="s">
        <v>11</v>
      </c>
      <c r="I225" s="18" t="s">
        <v>16</v>
      </c>
      <c r="J225" s="16" t="s">
        <v>14</v>
      </c>
      <c r="K225" s="19"/>
      <c r="L225" s="16" t="s">
        <v>11</v>
      </c>
      <c r="M225" s="19"/>
      <c r="N225" s="16" t="s">
        <v>11</v>
      </c>
      <c r="O225" s="19"/>
      <c r="P225" s="16" t="s">
        <v>11</v>
      </c>
      <c r="Q225" s="19"/>
      <c r="R225" s="16" t="s">
        <v>14</v>
      </c>
      <c r="S225" s="20"/>
      <c r="T225" s="21"/>
      <c r="U225" s="21" t="s">
        <v>23</v>
      </c>
    </row>
    <row r="226" ht="15.75" customHeight="1">
      <c r="A226" s="6">
        <v>225.0</v>
      </c>
      <c r="B226" s="7" t="s">
        <v>10</v>
      </c>
      <c r="C226" s="8" t="s">
        <v>11</v>
      </c>
      <c r="D226" s="7" t="s">
        <v>12</v>
      </c>
      <c r="E226" s="9" t="s">
        <v>13</v>
      </c>
      <c r="F226" s="8" t="s">
        <v>14</v>
      </c>
      <c r="G226" s="9" t="s">
        <v>15</v>
      </c>
      <c r="H226" s="8" t="s">
        <v>11</v>
      </c>
      <c r="I226" s="10" t="s">
        <v>16</v>
      </c>
      <c r="J226" s="8" t="s">
        <v>14</v>
      </c>
      <c r="K226" s="12"/>
      <c r="L226" s="8" t="s">
        <v>11</v>
      </c>
      <c r="M226" s="12"/>
      <c r="N226" s="8" t="s">
        <v>11</v>
      </c>
      <c r="O226" s="12"/>
      <c r="P226" s="8" t="s">
        <v>11</v>
      </c>
      <c r="Q226" s="12"/>
      <c r="R226" s="8" t="s">
        <v>14</v>
      </c>
      <c r="S226" s="13"/>
      <c r="T226" s="14"/>
      <c r="U226" s="14" t="s">
        <v>23</v>
      </c>
    </row>
    <row r="227" ht="15.75" customHeight="1">
      <c r="A227" s="6">
        <v>226.0</v>
      </c>
      <c r="B227" s="15" t="s">
        <v>10</v>
      </c>
      <c r="C227" s="16" t="s">
        <v>11</v>
      </c>
      <c r="D227" s="15" t="s">
        <v>12</v>
      </c>
      <c r="E227" s="17" t="s">
        <v>13</v>
      </c>
      <c r="F227" s="16" t="s">
        <v>14</v>
      </c>
      <c r="G227" s="17" t="s">
        <v>15</v>
      </c>
      <c r="H227" s="16" t="s">
        <v>11</v>
      </c>
      <c r="I227" s="18" t="s">
        <v>16</v>
      </c>
      <c r="J227" s="16" t="s">
        <v>14</v>
      </c>
      <c r="K227" s="19"/>
      <c r="L227" s="16" t="s">
        <v>11</v>
      </c>
      <c r="M227" s="19"/>
      <c r="N227" s="16" t="s">
        <v>11</v>
      </c>
      <c r="O227" s="19"/>
      <c r="P227" s="16" t="s">
        <v>11</v>
      </c>
      <c r="Q227" s="19"/>
      <c r="R227" s="16" t="s">
        <v>14</v>
      </c>
      <c r="S227" s="20"/>
      <c r="T227" s="21"/>
      <c r="U227" s="21" t="s">
        <v>23</v>
      </c>
    </row>
    <row r="228" ht="15.75" customHeight="1">
      <c r="A228" s="6">
        <v>227.0</v>
      </c>
      <c r="B228" s="7" t="s">
        <v>10</v>
      </c>
      <c r="C228" s="8" t="s">
        <v>11</v>
      </c>
      <c r="D228" s="7" t="s">
        <v>12</v>
      </c>
      <c r="E228" s="9" t="s">
        <v>13</v>
      </c>
      <c r="F228" s="8" t="s">
        <v>14</v>
      </c>
      <c r="G228" s="9" t="s">
        <v>15</v>
      </c>
      <c r="H228" s="8" t="s">
        <v>11</v>
      </c>
      <c r="I228" s="10" t="s">
        <v>16</v>
      </c>
      <c r="J228" s="8" t="s">
        <v>14</v>
      </c>
      <c r="K228" s="39"/>
      <c r="L228" s="8" t="s">
        <v>11</v>
      </c>
      <c r="M228" s="39"/>
      <c r="N228" s="8" t="s">
        <v>11</v>
      </c>
      <c r="O228" s="39"/>
      <c r="P228" s="8" t="s">
        <v>11</v>
      </c>
      <c r="Q228" s="12"/>
      <c r="R228" s="8" t="s">
        <v>14</v>
      </c>
      <c r="S228" s="40"/>
      <c r="T228" s="41"/>
      <c r="U228" s="14" t="s">
        <v>23</v>
      </c>
    </row>
    <row r="229" ht="15.75" customHeight="1">
      <c r="A229" s="6">
        <v>228.0</v>
      </c>
      <c r="B229" s="15" t="s">
        <v>10</v>
      </c>
      <c r="C229" s="16" t="s">
        <v>11</v>
      </c>
      <c r="D229" s="15" t="s">
        <v>12</v>
      </c>
      <c r="E229" s="17" t="s">
        <v>13</v>
      </c>
      <c r="F229" s="16" t="s">
        <v>14</v>
      </c>
      <c r="G229" s="17" t="s">
        <v>15</v>
      </c>
      <c r="H229" s="16" t="s">
        <v>11</v>
      </c>
      <c r="I229" s="18" t="s">
        <v>16</v>
      </c>
      <c r="J229" s="16" t="s">
        <v>14</v>
      </c>
      <c r="K229" s="19"/>
      <c r="L229" s="16" t="s">
        <v>11</v>
      </c>
      <c r="M229" s="19"/>
      <c r="N229" s="16" t="s">
        <v>11</v>
      </c>
      <c r="O229" s="19"/>
      <c r="P229" s="16" t="s">
        <v>11</v>
      </c>
      <c r="Q229" s="19"/>
      <c r="R229" s="16" t="s">
        <v>14</v>
      </c>
      <c r="S229" s="20"/>
      <c r="T229" s="21"/>
      <c r="U229" s="21" t="s">
        <v>23</v>
      </c>
    </row>
    <row r="230" ht="15.75" customHeight="1">
      <c r="A230" s="6">
        <v>229.0</v>
      </c>
      <c r="B230" s="7" t="s">
        <v>10</v>
      </c>
      <c r="C230" s="8" t="s">
        <v>11</v>
      </c>
      <c r="D230" s="7" t="s">
        <v>12</v>
      </c>
      <c r="E230" s="9" t="s">
        <v>13</v>
      </c>
      <c r="F230" s="8" t="s">
        <v>14</v>
      </c>
      <c r="G230" s="9" t="s">
        <v>15</v>
      </c>
      <c r="H230" s="8" t="s">
        <v>11</v>
      </c>
      <c r="I230" s="10" t="s">
        <v>16</v>
      </c>
      <c r="J230" s="8" t="s">
        <v>14</v>
      </c>
      <c r="K230" s="12"/>
      <c r="L230" s="8" t="s">
        <v>11</v>
      </c>
      <c r="M230" s="12"/>
      <c r="N230" s="8" t="s">
        <v>11</v>
      </c>
      <c r="O230" s="12"/>
      <c r="P230" s="8" t="s">
        <v>11</v>
      </c>
      <c r="Q230" s="12"/>
      <c r="R230" s="8" t="s">
        <v>14</v>
      </c>
      <c r="S230" s="13"/>
      <c r="T230" s="14"/>
      <c r="U230" s="14" t="s">
        <v>23</v>
      </c>
    </row>
    <row r="231" ht="15.75" customHeight="1">
      <c r="A231" s="6">
        <v>230.0</v>
      </c>
      <c r="B231" s="15" t="s">
        <v>10</v>
      </c>
      <c r="C231" s="16" t="s">
        <v>11</v>
      </c>
      <c r="D231" s="15" t="s">
        <v>12</v>
      </c>
      <c r="E231" s="17" t="s">
        <v>13</v>
      </c>
      <c r="F231" s="16" t="s">
        <v>14</v>
      </c>
      <c r="G231" s="17" t="s">
        <v>15</v>
      </c>
      <c r="H231" s="16" t="s">
        <v>11</v>
      </c>
      <c r="I231" s="18" t="s">
        <v>16</v>
      </c>
      <c r="J231" s="16" t="s">
        <v>14</v>
      </c>
      <c r="K231" s="19"/>
      <c r="L231" s="16" t="s">
        <v>11</v>
      </c>
      <c r="M231" s="19"/>
      <c r="N231" s="16" t="s">
        <v>11</v>
      </c>
      <c r="O231" s="19"/>
      <c r="P231" s="16" t="s">
        <v>11</v>
      </c>
      <c r="Q231" s="19"/>
      <c r="R231" s="16" t="s">
        <v>14</v>
      </c>
      <c r="S231" s="20"/>
      <c r="T231" s="21"/>
      <c r="U231" s="21" t="s">
        <v>23</v>
      </c>
    </row>
    <row r="232" ht="15.75" customHeight="1">
      <c r="A232" s="6">
        <v>231.0</v>
      </c>
      <c r="B232" s="7" t="s">
        <v>10</v>
      </c>
      <c r="C232" s="8" t="s">
        <v>11</v>
      </c>
      <c r="D232" s="7" t="s">
        <v>12</v>
      </c>
      <c r="E232" s="9" t="s">
        <v>13</v>
      </c>
      <c r="F232" s="8" t="s">
        <v>14</v>
      </c>
      <c r="G232" s="9" t="s">
        <v>15</v>
      </c>
      <c r="H232" s="8" t="s">
        <v>11</v>
      </c>
      <c r="I232" s="10" t="s">
        <v>16</v>
      </c>
      <c r="J232" s="8" t="s">
        <v>14</v>
      </c>
      <c r="K232" s="12"/>
      <c r="L232" s="8" t="s">
        <v>11</v>
      </c>
      <c r="M232" s="12"/>
      <c r="N232" s="8" t="s">
        <v>11</v>
      </c>
      <c r="O232" s="12"/>
      <c r="P232" s="8" t="s">
        <v>11</v>
      </c>
      <c r="Q232" s="12"/>
      <c r="R232" s="8" t="s">
        <v>14</v>
      </c>
      <c r="S232" s="13"/>
      <c r="T232" s="14"/>
      <c r="U232" s="14" t="s">
        <v>23</v>
      </c>
    </row>
    <row r="233" ht="15.75" customHeight="1">
      <c r="A233" s="6">
        <v>232.0</v>
      </c>
      <c r="B233" s="15" t="s">
        <v>10</v>
      </c>
      <c r="C233" s="16" t="s">
        <v>11</v>
      </c>
      <c r="D233" s="15" t="s">
        <v>12</v>
      </c>
      <c r="E233" s="17" t="s">
        <v>13</v>
      </c>
      <c r="F233" s="16" t="s">
        <v>14</v>
      </c>
      <c r="G233" s="17" t="s">
        <v>15</v>
      </c>
      <c r="H233" s="16" t="s">
        <v>11</v>
      </c>
      <c r="I233" s="18" t="s">
        <v>16</v>
      </c>
      <c r="J233" s="16" t="s">
        <v>14</v>
      </c>
      <c r="K233" s="19"/>
      <c r="L233" s="16" t="s">
        <v>11</v>
      </c>
      <c r="M233" s="19"/>
      <c r="N233" s="16" t="s">
        <v>11</v>
      </c>
      <c r="O233" s="19"/>
      <c r="P233" s="16" t="s">
        <v>11</v>
      </c>
      <c r="Q233" s="19"/>
      <c r="R233" s="16" t="s">
        <v>14</v>
      </c>
      <c r="S233" s="20"/>
      <c r="T233" s="21"/>
      <c r="U233" s="21" t="s">
        <v>23</v>
      </c>
    </row>
    <row r="234" ht="15.75" customHeight="1">
      <c r="A234" s="6">
        <v>233.0</v>
      </c>
      <c r="B234" s="7" t="s">
        <v>10</v>
      </c>
      <c r="C234" s="8" t="s">
        <v>11</v>
      </c>
      <c r="D234" s="7" t="s">
        <v>12</v>
      </c>
      <c r="E234" s="9" t="s">
        <v>13</v>
      </c>
      <c r="F234" s="8" t="s">
        <v>14</v>
      </c>
      <c r="G234" s="9" t="s">
        <v>15</v>
      </c>
      <c r="H234" s="8" t="s">
        <v>11</v>
      </c>
      <c r="I234" s="10" t="s">
        <v>16</v>
      </c>
      <c r="J234" s="8" t="s">
        <v>14</v>
      </c>
      <c r="K234" s="12"/>
      <c r="L234" s="8" t="s">
        <v>11</v>
      </c>
      <c r="M234" s="12"/>
      <c r="N234" s="8" t="s">
        <v>11</v>
      </c>
      <c r="O234" s="12"/>
      <c r="P234" s="8" t="s">
        <v>11</v>
      </c>
      <c r="Q234" s="12"/>
      <c r="R234" s="8" t="s">
        <v>14</v>
      </c>
      <c r="S234" s="13"/>
      <c r="T234" s="14"/>
      <c r="U234" s="14" t="s">
        <v>23</v>
      </c>
    </row>
    <row r="235" ht="15.75" customHeight="1">
      <c r="A235" s="6">
        <v>234.0</v>
      </c>
      <c r="B235" s="15" t="s">
        <v>10</v>
      </c>
      <c r="C235" s="16" t="s">
        <v>11</v>
      </c>
      <c r="D235" s="15" t="s">
        <v>12</v>
      </c>
      <c r="E235" s="17" t="s">
        <v>13</v>
      </c>
      <c r="F235" s="16" t="s">
        <v>14</v>
      </c>
      <c r="G235" s="17" t="s">
        <v>15</v>
      </c>
      <c r="H235" s="16" t="s">
        <v>11</v>
      </c>
      <c r="I235" s="18" t="s">
        <v>16</v>
      </c>
      <c r="J235" s="16" t="s">
        <v>14</v>
      </c>
      <c r="K235" s="19"/>
      <c r="L235" s="16" t="s">
        <v>11</v>
      </c>
      <c r="M235" s="19"/>
      <c r="N235" s="16" t="s">
        <v>11</v>
      </c>
      <c r="O235" s="19"/>
      <c r="P235" s="16" t="s">
        <v>11</v>
      </c>
      <c r="Q235" s="19"/>
      <c r="R235" s="16" t="s">
        <v>14</v>
      </c>
      <c r="S235" s="20"/>
      <c r="T235" s="21"/>
      <c r="U235" s="21" t="s">
        <v>23</v>
      </c>
    </row>
    <row r="236" ht="15.75" customHeight="1">
      <c r="A236" s="6">
        <v>235.0</v>
      </c>
      <c r="B236" s="7" t="s">
        <v>10</v>
      </c>
      <c r="C236" s="8" t="s">
        <v>11</v>
      </c>
      <c r="D236" s="7" t="s">
        <v>12</v>
      </c>
      <c r="E236" s="9" t="s">
        <v>13</v>
      </c>
      <c r="F236" s="8" t="s">
        <v>14</v>
      </c>
      <c r="G236" s="9" t="s">
        <v>15</v>
      </c>
      <c r="H236" s="8" t="s">
        <v>11</v>
      </c>
      <c r="I236" s="10" t="s">
        <v>16</v>
      </c>
      <c r="J236" s="8" t="s">
        <v>14</v>
      </c>
      <c r="K236" s="12"/>
      <c r="L236" s="8" t="s">
        <v>11</v>
      </c>
      <c r="M236" s="12"/>
      <c r="N236" s="8" t="s">
        <v>11</v>
      </c>
      <c r="O236" s="12"/>
      <c r="P236" s="8" t="s">
        <v>11</v>
      </c>
      <c r="Q236" s="12"/>
      <c r="R236" s="8" t="s">
        <v>14</v>
      </c>
      <c r="S236" s="13"/>
      <c r="T236" s="14"/>
      <c r="U236" s="14" t="s">
        <v>23</v>
      </c>
    </row>
    <row r="237" ht="15.75" customHeight="1">
      <c r="A237" s="6">
        <v>236.0</v>
      </c>
      <c r="B237" s="15" t="s">
        <v>10</v>
      </c>
      <c r="C237" s="16" t="s">
        <v>11</v>
      </c>
      <c r="D237" s="15" t="s">
        <v>12</v>
      </c>
      <c r="E237" s="17" t="s">
        <v>13</v>
      </c>
      <c r="F237" s="16" t="s">
        <v>14</v>
      </c>
      <c r="G237" s="17" t="s">
        <v>15</v>
      </c>
      <c r="H237" s="16" t="s">
        <v>11</v>
      </c>
      <c r="I237" s="18" t="s">
        <v>16</v>
      </c>
      <c r="J237" s="16" t="s">
        <v>14</v>
      </c>
      <c r="K237" s="19"/>
      <c r="L237" s="16" t="s">
        <v>11</v>
      </c>
      <c r="M237" s="19"/>
      <c r="N237" s="16" t="s">
        <v>11</v>
      </c>
      <c r="O237" s="19"/>
      <c r="P237" s="16" t="s">
        <v>11</v>
      </c>
      <c r="Q237" s="19"/>
      <c r="R237" s="16" t="s">
        <v>14</v>
      </c>
      <c r="S237" s="20"/>
      <c r="T237" s="21"/>
      <c r="U237" s="21" t="s">
        <v>23</v>
      </c>
    </row>
    <row r="238" ht="15.75" customHeight="1">
      <c r="A238" s="6">
        <v>237.0</v>
      </c>
      <c r="B238" s="7" t="s">
        <v>10</v>
      </c>
      <c r="C238" s="8" t="s">
        <v>11</v>
      </c>
      <c r="D238" s="7" t="s">
        <v>12</v>
      </c>
      <c r="E238" s="9" t="s">
        <v>13</v>
      </c>
      <c r="F238" s="8" t="s">
        <v>14</v>
      </c>
      <c r="G238" s="9" t="s">
        <v>15</v>
      </c>
      <c r="H238" s="8" t="s">
        <v>11</v>
      </c>
      <c r="I238" s="10" t="s">
        <v>16</v>
      </c>
      <c r="J238" s="8" t="s">
        <v>14</v>
      </c>
      <c r="K238" s="12"/>
      <c r="L238" s="8" t="s">
        <v>11</v>
      </c>
      <c r="M238" s="12"/>
      <c r="N238" s="8" t="s">
        <v>11</v>
      </c>
      <c r="O238" s="12"/>
      <c r="P238" s="8" t="s">
        <v>11</v>
      </c>
      <c r="Q238" s="12"/>
      <c r="R238" s="8" t="s">
        <v>14</v>
      </c>
      <c r="S238" s="13"/>
      <c r="T238" s="14"/>
      <c r="U238" s="14" t="s">
        <v>23</v>
      </c>
    </row>
    <row r="239" ht="15.75" customHeight="1">
      <c r="A239" s="6">
        <v>238.0</v>
      </c>
      <c r="B239" s="15" t="s">
        <v>10</v>
      </c>
      <c r="C239" s="16" t="s">
        <v>11</v>
      </c>
      <c r="D239" s="15" t="s">
        <v>12</v>
      </c>
      <c r="E239" s="17" t="s">
        <v>13</v>
      </c>
      <c r="F239" s="16" t="s">
        <v>14</v>
      </c>
      <c r="G239" s="17" t="s">
        <v>15</v>
      </c>
      <c r="H239" s="16" t="s">
        <v>11</v>
      </c>
      <c r="I239" s="18" t="s">
        <v>16</v>
      </c>
      <c r="J239" s="16" t="s">
        <v>14</v>
      </c>
      <c r="K239" s="19"/>
      <c r="L239" s="16" t="s">
        <v>11</v>
      </c>
      <c r="M239" s="19"/>
      <c r="N239" s="16" t="s">
        <v>11</v>
      </c>
      <c r="O239" s="19"/>
      <c r="P239" s="16" t="s">
        <v>11</v>
      </c>
      <c r="Q239" s="19"/>
      <c r="R239" s="16" t="s">
        <v>14</v>
      </c>
      <c r="S239" s="20"/>
      <c r="T239" s="21"/>
      <c r="U239" s="21" t="s">
        <v>23</v>
      </c>
    </row>
    <row r="240" ht="15.75" customHeight="1">
      <c r="A240" s="6">
        <v>239.0</v>
      </c>
      <c r="B240" s="7" t="s">
        <v>10</v>
      </c>
      <c r="C240" s="8" t="s">
        <v>11</v>
      </c>
      <c r="D240" s="7" t="s">
        <v>12</v>
      </c>
      <c r="E240" s="9" t="s">
        <v>13</v>
      </c>
      <c r="F240" s="8" t="s">
        <v>14</v>
      </c>
      <c r="G240" s="9" t="s">
        <v>15</v>
      </c>
      <c r="H240" s="8" t="s">
        <v>11</v>
      </c>
      <c r="I240" s="10" t="s">
        <v>16</v>
      </c>
      <c r="J240" s="8" t="s">
        <v>14</v>
      </c>
      <c r="K240" s="12"/>
      <c r="L240" s="8" t="s">
        <v>11</v>
      </c>
      <c r="M240" s="12"/>
      <c r="N240" s="8" t="s">
        <v>11</v>
      </c>
      <c r="O240" s="12"/>
      <c r="P240" s="8" t="s">
        <v>11</v>
      </c>
      <c r="Q240" s="12"/>
      <c r="R240" s="8" t="s">
        <v>14</v>
      </c>
      <c r="S240" s="13"/>
      <c r="T240" s="14"/>
      <c r="U240" s="14" t="s">
        <v>23</v>
      </c>
    </row>
    <row r="241" ht="15.75" customHeight="1">
      <c r="A241" s="6">
        <v>240.0</v>
      </c>
      <c r="B241" s="15" t="s">
        <v>10</v>
      </c>
      <c r="C241" s="16" t="s">
        <v>11</v>
      </c>
      <c r="D241" s="15" t="s">
        <v>12</v>
      </c>
      <c r="E241" s="17" t="s">
        <v>13</v>
      </c>
      <c r="F241" s="16" t="s">
        <v>14</v>
      </c>
      <c r="G241" s="17" t="s">
        <v>15</v>
      </c>
      <c r="H241" s="16" t="s">
        <v>11</v>
      </c>
      <c r="I241" s="18" t="s">
        <v>16</v>
      </c>
      <c r="J241" s="16" t="s">
        <v>14</v>
      </c>
      <c r="K241" s="19"/>
      <c r="L241" s="16" t="s">
        <v>11</v>
      </c>
      <c r="M241" s="19"/>
      <c r="N241" s="16" t="s">
        <v>11</v>
      </c>
      <c r="O241" s="19"/>
      <c r="P241" s="16" t="s">
        <v>11</v>
      </c>
      <c r="Q241" s="19"/>
      <c r="R241" s="16" t="s">
        <v>14</v>
      </c>
      <c r="S241" s="20"/>
      <c r="T241" s="21"/>
      <c r="U241" s="21" t="s">
        <v>23</v>
      </c>
    </row>
    <row r="242" ht="15.75" customHeight="1">
      <c r="A242" s="6">
        <v>241.0</v>
      </c>
      <c r="B242" s="7" t="s">
        <v>10</v>
      </c>
      <c r="C242" s="8" t="s">
        <v>11</v>
      </c>
      <c r="D242" s="7" t="s">
        <v>12</v>
      </c>
      <c r="E242" s="9" t="s">
        <v>13</v>
      </c>
      <c r="F242" s="8" t="s">
        <v>14</v>
      </c>
      <c r="G242" s="9" t="s">
        <v>15</v>
      </c>
      <c r="H242" s="8" t="s">
        <v>11</v>
      </c>
      <c r="I242" s="10" t="s">
        <v>16</v>
      </c>
      <c r="J242" s="8" t="s">
        <v>14</v>
      </c>
      <c r="K242" s="12"/>
      <c r="L242" s="8" t="s">
        <v>11</v>
      </c>
      <c r="M242" s="12"/>
      <c r="N242" s="8" t="s">
        <v>11</v>
      </c>
      <c r="O242" s="12"/>
      <c r="P242" s="8" t="s">
        <v>11</v>
      </c>
      <c r="Q242" s="12"/>
      <c r="R242" s="8" t="s">
        <v>14</v>
      </c>
      <c r="S242" s="13"/>
      <c r="T242" s="14"/>
      <c r="U242" s="14" t="s">
        <v>23</v>
      </c>
    </row>
    <row r="243" ht="15.75" customHeight="1">
      <c r="A243" s="6">
        <v>242.0</v>
      </c>
      <c r="B243" s="15" t="s">
        <v>10</v>
      </c>
      <c r="C243" s="16" t="s">
        <v>11</v>
      </c>
      <c r="D243" s="15" t="s">
        <v>12</v>
      </c>
      <c r="E243" s="17" t="s">
        <v>13</v>
      </c>
      <c r="F243" s="16" t="s">
        <v>14</v>
      </c>
      <c r="G243" s="17" t="s">
        <v>15</v>
      </c>
      <c r="H243" s="16" t="s">
        <v>11</v>
      </c>
      <c r="I243" s="18" t="s">
        <v>16</v>
      </c>
      <c r="J243" s="16" t="s">
        <v>14</v>
      </c>
      <c r="K243" s="19"/>
      <c r="L243" s="16" t="s">
        <v>11</v>
      </c>
      <c r="M243" s="19"/>
      <c r="N243" s="16" t="s">
        <v>11</v>
      </c>
      <c r="O243" s="19"/>
      <c r="P243" s="16" t="s">
        <v>11</v>
      </c>
      <c r="Q243" s="19"/>
      <c r="R243" s="16" t="s">
        <v>14</v>
      </c>
      <c r="S243" s="20"/>
      <c r="T243" s="21"/>
      <c r="U243" s="21" t="s">
        <v>23</v>
      </c>
    </row>
    <row r="244" ht="15.75" customHeight="1">
      <c r="A244" s="6">
        <v>243.0</v>
      </c>
      <c r="B244" s="7" t="s">
        <v>10</v>
      </c>
      <c r="C244" s="8" t="s">
        <v>11</v>
      </c>
      <c r="D244" s="7" t="s">
        <v>12</v>
      </c>
      <c r="E244" s="9" t="s">
        <v>13</v>
      </c>
      <c r="F244" s="8" t="s">
        <v>14</v>
      </c>
      <c r="G244" s="9" t="s">
        <v>15</v>
      </c>
      <c r="H244" s="8" t="s">
        <v>11</v>
      </c>
      <c r="I244" s="10" t="s">
        <v>16</v>
      </c>
      <c r="J244" s="8" t="s">
        <v>14</v>
      </c>
      <c r="K244" s="12"/>
      <c r="L244" s="8" t="s">
        <v>11</v>
      </c>
      <c r="M244" s="12"/>
      <c r="N244" s="8" t="s">
        <v>11</v>
      </c>
      <c r="O244" s="12"/>
      <c r="P244" s="8" t="s">
        <v>11</v>
      </c>
      <c r="Q244" s="12"/>
      <c r="R244" s="8" t="s">
        <v>14</v>
      </c>
      <c r="S244" s="13"/>
      <c r="T244" s="14"/>
      <c r="U244" s="14" t="s">
        <v>23</v>
      </c>
    </row>
    <row r="245" ht="15.75" customHeight="1">
      <c r="A245" s="6">
        <v>244.0</v>
      </c>
      <c r="B245" s="15" t="s">
        <v>10</v>
      </c>
      <c r="C245" s="16" t="s">
        <v>11</v>
      </c>
      <c r="D245" s="15" t="s">
        <v>12</v>
      </c>
      <c r="E245" s="17" t="s">
        <v>13</v>
      </c>
      <c r="F245" s="16" t="s">
        <v>14</v>
      </c>
      <c r="G245" s="17" t="s">
        <v>15</v>
      </c>
      <c r="H245" s="16" t="s">
        <v>11</v>
      </c>
      <c r="I245" s="18" t="s">
        <v>16</v>
      </c>
      <c r="J245" s="16" t="s">
        <v>14</v>
      </c>
      <c r="K245" s="19"/>
      <c r="L245" s="16" t="s">
        <v>11</v>
      </c>
      <c r="M245" s="19"/>
      <c r="N245" s="16" t="s">
        <v>11</v>
      </c>
      <c r="O245" s="19"/>
      <c r="P245" s="16" t="s">
        <v>11</v>
      </c>
      <c r="Q245" s="19"/>
      <c r="R245" s="16" t="s">
        <v>14</v>
      </c>
      <c r="S245" s="20"/>
      <c r="T245" s="21"/>
      <c r="U245" s="21" t="s">
        <v>23</v>
      </c>
    </row>
    <row r="246" ht="15.75" customHeight="1">
      <c r="A246" s="6">
        <v>245.0</v>
      </c>
      <c r="B246" s="7" t="s">
        <v>10</v>
      </c>
      <c r="C246" s="8" t="s">
        <v>11</v>
      </c>
      <c r="D246" s="7" t="s">
        <v>12</v>
      </c>
      <c r="E246" s="9" t="s">
        <v>13</v>
      </c>
      <c r="F246" s="8" t="s">
        <v>14</v>
      </c>
      <c r="G246" s="9" t="s">
        <v>15</v>
      </c>
      <c r="H246" s="8" t="s">
        <v>11</v>
      </c>
      <c r="I246" s="10" t="s">
        <v>16</v>
      </c>
      <c r="J246" s="8" t="s">
        <v>14</v>
      </c>
      <c r="K246" s="12"/>
      <c r="L246" s="8" t="s">
        <v>11</v>
      </c>
      <c r="M246" s="12"/>
      <c r="N246" s="8" t="s">
        <v>11</v>
      </c>
      <c r="O246" s="12"/>
      <c r="P246" s="8" t="s">
        <v>11</v>
      </c>
      <c r="Q246" s="12"/>
      <c r="R246" s="8" t="s">
        <v>14</v>
      </c>
      <c r="S246" s="13"/>
      <c r="T246" s="14"/>
      <c r="U246" s="14" t="s">
        <v>23</v>
      </c>
    </row>
    <row r="247" ht="15.75" customHeight="1">
      <c r="A247" s="6">
        <v>246.0</v>
      </c>
      <c r="B247" s="15" t="s">
        <v>10</v>
      </c>
      <c r="C247" s="16" t="s">
        <v>11</v>
      </c>
      <c r="D247" s="15" t="s">
        <v>12</v>
      </c>
      <c r="E247" s="17" t="s">
        <v>13</v>
      </c>
      <c r="F247" s="16" t="s">
        <v>14</v>
      </c>
      <c r="G247" s="17" t="s">
        <v>15</v>
      </c>
      <c r="H247" s="16" t="s">
        <v>11</v>
      </c>
      <c r="I247" s="18" t="s">
        <v>16</v>
      </c>
      <c r="J247" s="16" t="s">
        <v>14</v>
      </c>
      <c r="K247" s="19"/>
      <c r="L247" s="16" t="s">
        <v>11</v>
      </c>
      <c r="M247" s="19"/>
      <c r="N247" s="16" t="s">
        <v>11</v>
      </c>
      <c r="O247" s="19"/>
      <c r="P247" s="16" t="s">
        <v>11</v>
      </c>
      <c r="Q247" s="19"/>
      <c r="R247" s="16" t="s">
        <v>14</v>
      </c>
      <c r="S247" s="20"/>
      <c r="T247" s="21"/>
      <c r="U247" s="21" t="s">
        <v>23</v>
      </c>
    </row>
    <row r="248" ht="15.75" customHeight="1">
      <c r="A248" s="6">
        <v>247.0</v>
      </c>
      <c r="B248" s="7" t="s">
        <v>10</v>
      </c>
      <c r="C248" s="8" t="s">
        <v>11</v>
      </c>
      <c r="D248" s="7" t="s">
        <v>12</v>
      </c>
      <c r="E248" s="9" t="s">
        <v>13</v>
      </c>
      <c r="F248" s="8" t="s">
        <v>14</v>
      </c>
      <c r="G248" s="9" t="s">
        <v>15</v>
      </c>
      <c r="H248" s="8" t="s">
        <v>11</v>
      </c>
      <c r="I248" s="10" t="s">
        <v>16</v>
      </c>
      <c r="J248" s="8" t="s">
        <v>14</v>
      </c>
      <c r="K248" s="12"/>
      <c r="L248" s="8" t="s">
        <v>11</v>
      </c>
      <c r="M248" s="12"/>
      <c r="N248" s="8" t="s">
        <v>11</v>
      </c>
      <c r="O248" s="12"/>
      <c r="P248" s="8" t="s">
        <v>11</v>
      </c>
      <c r="Q248" s="12"/>
      <c r="R248" s="8" t="s">
        <v>14</v>
      </c>
      <c r="S248" s="13"/>
      <c r="T248" s="14"/>
      <c r="U248" s="14" t="s">
        <v>23</v>
      </c>
    </row>
    <row r="249" ht="15.75" customHeight="1">
      <c r="A249" s="6">
        <v>248.0</v>
      </c>
      <c r="B249" s="15" t="s">
        <v>10</v>
      </c>
      <c r="C249" s="16" t="s">
        <v>11</v>
      </c>
      <c r="D249" s="15" t="s">
        <v>12</v>
      </c>
      <c r="E249" s="17" t="s">
        <v>13</v>
      </c>
      <c r="F249" s="16" t="s">
        <v>14</v>
      </c>
      <c r="G249" s="17" t="s">
        <v>15</v>
      </c>
      <c r="H249" s="16" t="s">
        <v>11</v>
      </c>
      <c r="I249" s="18" t="s">
        <v>16</v>
      </c>
      <c r="J249" s="16" t="s">
        <v>14</v>
      </c>
      <c r="K249" s="19"/>
      <c r="L249" s="16" t="s">
        <v>11</v>
      </c>
      <c r="M249" s="19"/>
      <c r="N249" s="16" t="s">
        <v>11</v>
      </c>
      <c r="O249" s="19"/>
      <c r="P249" s="16" t="s">
        <v>11</v>
      </c>
      <c r="Q249" s="19"/>
      <c r="R249" s="16" t="s">
        <v>14</v>
      </c>
      <c r="S249" s="20"/>
      <c r="T249" s="21"/>
      <c r="U249" s="21" t="s">
        <v>23</v>
      </c>
    </row>
    <row r="250" ht="15.75" customHeight="1">
      <c r="A250" s="6">
        <v>249.0</v>
      </c>
      <c r="B250" s="7" t="s">
        <v>10</v>
      </c>
      <c r="C250" s="8" t="s">
        <v>11</v>
      </c>
      <c r="D250" s="7" t="s">
        <v>12</v>
      </c>
      <c r="E250" s="9" t="s">
        <v>13</v>
      </c>
      <c r="F250" s="8" t="s">
        <v>14</v>
      </c>
      <c r="G250" s="9" t="s">
        <v>15</v>
      </c>
      <c r="H250" s="8" t="s">
        <v>11</v>
      </c>
      <c r="I250" s="10" t="s">
        <v>16</v>
      </c>
      <c r="J250" s="8" t="s">
        <v>14</v>
      </c>
      <c r="K250" s="12"/>
      <c r="L250" s="8" t="s">
        <v>11</v>
      </c>
      <c r="M250" s="12"/>
      <c r="N250" s="8" t="s">
        <v>11</v>
      </c>
      <c r="O250" s="12"/>
      <c r="P250" s="8" t="s">
        <v>11</v>
      </c>
      <c r="Q250" s="12"/>
      <c r="R250" s="8" t="s">
        <v>14</v>
      </c>
      <c r="S250" s="13"/>
      <c r="T250" s="14"/>
      <c r="U250" s="14" t="s">
        <v>23</v>
      </c>
    </row>
    <row r="251" ht="15.75" customHeight="1">
      <c r="A251" s="6">
        <v>250.0</v>
      </c>
      <c r="B251" s="15" t="s">
        <v>10</v>
      </c>
      <c r="C251" s="16" t="s">
        <v>11</v>
      </c>
      <c r="D251" s="15" t="s">
        <v>12</v>
      </c>
      <c r="E251" s="17" t="s">
        <v>13</v>
      </c>
      <c r="F251" s="16" t="s">
        <v>14</v>
      </c>
      <c r="G251" s="17" t="s">
        <v>15</v>
      </c>
      <c r="H251" s="16" t="s">
        <v>11</v>
      </c>
      <c r="I251" s="18" t="s">
        <v>16</v>
      </c>
      <c r="J251" s="16" t="s">
        <v>14</v>
      </c>
      <c r="K251" s="19"/>
      <c r="L251" s="16" t="s">
        <v>11</v>
      </c>
      <c r="M251" s="19"/>
      <c r="N251" s="16" t="s">
        <v>11</v>
      </c>
      <c r="O251" s="19"/>
      <c r="P251" s="16" t="s">
        <v>11</v>
      </c>
      <c r="Q251" s="19"/>
      <c r="R251" s="16" t="s">
        <v>14</v>
      </c>
      <c r="S251" s="20"/>
      <c r="T251" s="21"/>
      <c r="U251" s="21" t="s">
        <v>23</v>
      </c>
    </row>
    <row r="252" ht="15.75" customHeight="1">
      <c r="A252" s="6">
        <v>251.0</v>
      </c>
      <c r="B252" s="7" t="s">
        <v>10</v>
      </c>
      <c r="C252" s="8" t="s">
        <v>11</v>
      </c>
      <c r="D252" s="7" t="s">
        <v>12</v>
      </c>
      <c r="E252" s="9" t="s">
        <v>13</v>
      </c>
      <c r="F252" s="8" t="s">
        <v>14</v>
      </c>
      <c r="G252" s="9" t="s">
        <v>15</v>
      </c>
      <c r="H252" s="8" t="s">
        <v>11</v>
      </c>
      <c r="I252" s="10" t="s">
        <v>16</v>
      </c>
      <c r="J252" s="8" t="s">
        <v>14</v>
      </c>
      <c r="K252" s="12"/>
      <c r="L252" s="8" t="s">
        <v>11</v>
      </c>
      <c r="M252" s="12"/>
      <c r="N252" s="8" t="s">
        <v>11</v>
      </c>
      <c r="O252" s="12"/>
      <c r="P252" s="8" t="s">
        <v>11</v>
      </c>
      <c r="Q252" s="12"/>
      <c r="R252" s="8" t="s">
        <v>14</v>
      </c>
      <c r="S252" s="13"/>
      <c r="T252" s="14"/>
      <c r="U252" s="14" t="s">
        <v>23</v>
      </c>
    </row>
    <row r="253" ht="15.75" customHeight="1">
      <c r="A253" s="6">
        <v>252.0</v>
      </c>
      <c r="B253" s="15" t="s">
        <v>10</v>
      </c>
      <c r="C253" s="16" t="s">
        <v>11</v>
      </c>
      <c r="D253" s="15" t="s">
        <v>12</v>
      </c>
      <c r="E253" s="17" t="s">
        <v>13</v>
      </c>
      <c r="F253" s="16" t="s">
        <v>14</v>
      </c>
      <c r="G253" s="17" t="s">
        <v>15</v>
      </c>
      <c r="H253" s="16" t="s">
        <v>11</v>
      </c>
      <c r="I253" s="18" t="s">
        <v>16</v>
      </c>
      <c r="J253" s="16" t="s">
        <v>14</v>
      </c>
      <c r="K253" s="19"/>
      <c r="L253" s="16" t="s">
        <v>11</v>
      </c>
      <c r="M253" s="19"/>
      <c r="N253" s="16" t="s">
        <v>11</v>
      </c>
      <c r="O253" s="19"/>
      <c r="P253" s="16" t="s">
        <v>11</v>
      </c>
      <c r="Q253" s="19"/>
      <c r="R253" s="16" t="s">
        <v>14</v>
      </c>
      <c r="S253" s="20"/>
      <c r="T253" s="21"/>
      <c r="U253" s="21" t="s">
        <v>23</v>
      </c>
    </row>
    <row r="254" ht="15.75" customHeight="1">
      <c r="A254" s="6">
        <v>253.0</v>
      </c>
      <c r="B254" s="7" t="s">
        <v>10</v>
      </c>
      <c r="C254" s="8" t="s">
        <v>11</v>
      </c>
      <c r="D254" s="7" t="s">
        <v>12</v>
      </c>
      <c r="E254" s="9" t="s">
        <v>13</v>
      </c>
      <c r="F254" s="8" t="s">
        <v>14</v>
      </c>
      <c r="G254" s="9" t="s">
        <v>15</v>
      </c>
      <c r="H254" s="8" t="s">
        <v>11</v>
      </c>
      <c r="I254" s="10" t="s">
        <v>16</v>
      </c>
      <c r="J254" s="8" t="s">
        <v>14</v>
      </c>
      <c r="K254" s="12"/>
      <c r="L254" s="8" t="s">
        <v>11</v>
      </c>
      <c r="M254" s="12"/>
      <c r="N254" s="8" t="s">
        <v>11</v>
      </c>
      <c r="O254" s="12"/>
      <c r="P254" s="8" t="s">
        <v>11</v>
      </c>
      <c r="Q254" s="12"/>
      <c r="R254" s="8" t="s">
        <v>14</v>
      </c>
      <c r="S254" s="13"/>
      <c r="T254" s="14"/>
      <c r="U254" s="14" t="s">
        <v>23</v>
      </c>
    </row>
    <row r="255" ht="15.75" customHeight="1">
      <c r="A255" s="6">
        <v>254.0</v>
      </c>
      <c r="B255" s="15" t="s">
        <v>10</v>
      </c>
      <c r="C255" s="16" t="s">
        <v>11</v>
      </c>
      <c r="D255" s="15" t="s">
        <v>12</v>
      </c>
      <c r="E255" s="17" t="s">
        <v>13</v>
      </c>
      <c r="F255" s="16" t="s">
        <v>14</v>
      </c>
      <c r="G255" s="17" t="s">
        <v>15</v>
      </c>
      <c r="H255" s="16" t="s">
        <v>11</v>
      </c>
      <c r="I255" s="18" t="s">
        <v>16</v>
      </c>
      <c r="J255" s="16" t="s">
        <v>14</v>
      </c>
      <c r="K255" s="19"/>
      <c r="L255" s="16" t="s">
        <v>11</v>
      </c>
      <c r="M255" s="19"/>
      <c r="N255" s="16" t="s">
        <v>11</v>
      </c>
      <c r="O255" s="19"/>
      <c r="P255" s="16" t="s">
        <v>11</v>
      </c>
      <c r="Q255" s="19"/>
      <c r="R255" s="16" t="s">
        <v>14</v>
      </c>
      <c r="S255" s="20"/>
      <c r="T255" s="21"/>
      <c r="U255" s="21" t="s">
        <v>23</v>
      </c>
    </row>
    <row r="256" ht="15.75" customHeight="1">
      <c r="A256" s="6">
        <v>255.0</v>
      </c>
      <c r="B256" s="7" t="s">
        <v>10</v>
      </c>
      <c r="C256" s="8" t="s">
        <v>11</v>
      </c>
      <c r="D256" s="7" t="s">
        <v>12</v>
      </c>
      <c r="E256" s="9" t="s">
        <v>13</v>
      </c>
      <c r="F256" s="8" t="s">
        <v>14</v>
      </c>
      <c r="G256" s="9" t="s">
        <v>15</v>
      </c>
      <c r="H256" s="8" t="s">
        <v>11</v>
      </c>
      <c r="I256" s="10" t="s">
        <v>16</v>
      </c>
      <c r="J256" s="8" t="s">
        <v>14</v>
      </c>
      <c r="K256" s="12"/>
      <c r="L256" s="8" t="s">
        <v>11</v>
      </c>
      <c r="M256" s="12"/>
      <c r="N256" s="8" t="s">
        <v>11</v>
      </c>
      <c r="O256" s="12"/>
      <c r="P256" s="8" t="s">
        <v>11</v>
      </c>
      <c r="Q256" s="12"/>
      <c r="R256" s="8" t="s">
        <v>14</v>
      </c>
      <c r="S256" s="13"/>
      <c r="T256" s="14"/>
      <c r="U256" s="14" t="s">
        <v>23</v>
      </c>
    </row>
    <row r="257" ht="15.75" customHeight="1">
      <c r="A257" s="6">
        <v>256.0</v>
      </c>
      <c r="B257" s="15" t="s">
        <v>10</v>
      </c>
      <c r="C257" s="16" t="s">
        <v>11</v>
      </c>
      <c r="D257" s="15" t="s">
        <v>12</v>
      </c>
      <c r="E257" s="17" t="s">
        <v>13</v>
      </c>
      <c r="F257" s="16" t="s">
        <v>14</v>
      </c>
      <c r="G257" s="17" t="s">
        <v>15</v>
      </c>
      <c r="H257" s="16" t="s">
        <v>11</v>
      </c>
      <c r="I257" s="18" t="s">
        <v>16</v>
      </c>
      <c r="J257" s="16" t="s">
        <v>14</v>
      </c>
      <c r="K257" s="19"/>
      <c r="L257" s="16" t="s">
        <v>11</v>
      </c>
      <c r="M257" s="19"/>
      <c r="N257" s="16" t="s">
        <v>11</v>
      </c>
      <c r="O257" s="19"/>
      <c r="P257" s="16" t="s">
        <v>11</v>
      </c>
      <c r="Q257" s="19"/>
      <c r="R257" s="16" t="s">
        <v>14</v>
      </c>
      <c r="S257" s="20"/>
      <c r="T257" s="21"/>
      <c r="U257" s="21" t="s">
        <v>23</v>
      </c>
    </row>
    <row r="258" ht="15.75" customHeight="1">
      <c r="A258" s="6">
        <v>257.0</v>
      </c>
      <c r="B258" s="7" t="s">
        <v>10</v>
      </c>
      <c r="C258" s="8" t="s">
        <v>11</v>
      </c>
      <c r="D258" s="7" t="s">
        <v>12</v>
      </c>
      <c r="E258" s="9" t="s">
        <v>13</v>
      </c>
      <c r="F258" s="8" t="s">
        <v>14</v>
      </c>
      <c r="G258" s="9" t="s">
        <v>15</v>
      </c>
      <c r="H258" s="8" t="s">
        <v>11</v>
      </c>
      <c r="I258" s="10" t="s">
        <v>16</v>
      </c>
      <c r="J258" s="8" t="s">
        <v>14</v>
      </c>
      <c r="K258" s="12"/>
      <c r="L258" s="8" t="s">
        <v>11</v>
      </c>
      <c r="M258" s="12"/>
      <c r="N258" s="8" t="s">
        <v>11</v>
      </c>
      <c r="O258" s="12"/>
      <c r="P258" s="8" t="s">
        <v>11</v>
      </c>
      <c r="Q258" s="12"/>
      <c r="R258" s="8" t="s">
        <v>14</v>
      </c>
      <c r="S258" s="13"/>
      <c r="T258" s="14"/>
      <c r="U258" s="14" t="s">
        <v>23</v>
      </c>
    </row>
    <row r="259" ht="15.75" customHeight="1">
      <c r="A259" s="6">
        <v>258.0</v>
      </c>
      <c r="B259" s="15" t="s">
        <v>10</v>
      </c>
      <c r="C259" s="16" t="s">
        <v>11</v>
      </c>
      <c r="D259" s="15" t="s">
        <v>12</v>
      </c>
      <c r="E259" s="17" t="s">
        <v>13</v>
      </c>
      <c r="F259" s="16" t="s">
        <v>14</v>
      </c>
      <c r="G259" s="17" t="s">
        <v>15</v>
      </c>
      <c r="H259" s="16" t="s">
        <v>11</v>
      </c>
      <c r="I259" s="18" t="s">
        <v>16</v>
      </c>
      <c r="J259" s="16" t="s">
        <v>14</v>
      </c>
      <c r="K259" s="19"/>
      <c r="L259" s="16" t="s">
        <v>11</v>
      </c>
      <c r="M259" s="19"/>
      <c r="N259" s="16" t="s">
        <v>11</v>
      </c>
      <c r="O259" s="19"/>
      <c r="P259" s="16" t="s">
        <v>11</v>
      </c>
      <c r="Q259" s="19"/>
      <c r="R259" s="16" t="s">
        <v>14</v>
      </c>
      <c r="S259" s="20"/>
      <c r="T259" s="21"/>
      <c r="U259" s="21" t="s">
        <v>23</v>
      </c>
    </row>
    <row r="260" ht="15.75" customHeight="1">
      <c r="A260" s="6">
        <v>259.0</v>
      </c>
      <c r="B260" s="7" t="s">
        <v>10</v>
      </c>
      <c r="C260" s="8" t="s">
        <v>11</v>
      </c>
      <c r="D260" s="7" t="s">
        <v>12</v>
      </c>
      <c r="E260" s="9" t="s">
        <v>13</v>
      </c>
      <c r="F260" s="8" t="s">
        <v>14</v>
      </c>
      <c r="G260" s="9" t="s">
        <v>15</v>
      </c>
      <c r="H260" s="8" t="s">
        <v>11</v>
      </c>
      <c r="I260" s="10" t="s">
        <v>16</v>
      </c>
      <c r="J260" s="8" t="s">
        <v>14</v>
      </c>
      <c r="K260" s="12"/>
      <c r="L260" s="8" t="s">
        <v>11</v>
      </c>
      <c r="M260" s="12"/>
      <c r="N260" s="8" t="s">
        <v>11</v>
      </c>
      <c r="O260" s="12"/>
      <c r="P260" s="8" t="s">
        <v>11</v>
      </c>
      <c r="Q260" s="12"/>
      <c r="R260" s="8" t="s">
        <v>14</v>
      </c>
      <c r="S260" s="13"/>
      <c r="T260" s="14"/>
      <c r="U260" s="14" t="s">
        <v>23</v>
      </c>
    </row>
    <row r="261" ht="15.75" customHeight="1">
      <c r="A261" s="6">
        <v>260.0</v>
      </c>
      <c r="B261" s="15" t="s">
        <v>10</v>
      </c>
      <c r="C261" s="16" t="s">
        <v>11</v>
      </c>
      <c r="D261" s="15" t="s">
        <v>12</v>
      </c>
      <c r="E261" s="17" t="s">
        <v>13</v>
      </c>
      <c r="F261" s="16" t="s">
        <v>14</v>
      </c>
      <c r="G261" s="17" t="s">
        <v>15</v>
      </c>
      <c r="H261" s="16" t="s">
        <v>11</v>
      </c>
      <c r="I261" s="18" t="s">
        <v>16</v>
      </c>
      <c r="J261" s="16" t="s">
        <v>14</v>
      </c>
      <c r="K261" s="19"/>
      <c r="L261" s="16" t="s">
        <v>11</v>
      </c>
      <c r="M261" s="19"/>
      <c r="N261" s="16" t="s">
        <v>11</v>
      </c>
      <c r="O261" s="19"/>
      <c r="P261" s="16" t="s">
        <v>11</v>
      </c>
      <c r="Q261" s="19"/>
      <c r="R261" s="16" t="s">
        <v>14</v>
      </c>
      <c r="S261" s="20"/>
      <c r="T261" s="21"/>
      <c r="U261" s="21" t="s">
        <v>23</v>
      </c>
    </row>
    <row r="262" ht="15.75" customHeight="1">
      <c r="A262" s="6">
        <v>261.0</v>
      </c>
      <c r="B262" s="7" t="s">
        <v>10</v>
      </c>
      <c r="C262" s="8" t="s">
        <v>11</v>
      </c>
      <c r="D262" s="7" t="s">
        <v>12</v>
      </c>
      <c r="E262" s="9" t="s">
        <v>13</v>
      </c>
      <c r="F262" s="8" t="s">
        <v>14</v>
      </c>
      <c r="G262" s="9" t="s">
        <v>15</v>
      </c>
      <c r="H262" s="8" t="s">
        <v>11</v>
      </c>
      <c r="I262" s="10" t="s">
        <v>16</v>
      </c>
      <c r="J262" s="8" t="s">
        <v>14</v>
      </c>
      <c r="K262" s="12"/>
      <c r="L262" s="8" t="s">
        <v>11</v>
      </c>
      <c r="M262" s="12"/>
      <c r="N262" s="8" t="s">
        <v>11</v>
      </c>
      <c r="O262" s="12"/>
      <c r="P262" s="8" t="s">
        <v>11</v>
      </c>
      <c r="Q262" s="12"/>
      <c r="R262" s="8" t="s">
        <v>14</v>
      </c>
      <c r="S262" s="13"/>
      <c r="T262" s="14"/>
      <c r="U262" s="14" t="s">
        <v>23</v>
      </c>
    </row>
    <row r="263" ht="15.75" customHeight="1">
      <c r="A263" s="6">
        <v>262.0</v>
      </c>
      <c r="B263" s="15" t="s">
        <v>10</v>
      </c>
      <c r="C263" s="16" t="s">
        <v>11</v>
      </c>
      <c r="D263" s="15" t="s">
        <v>12</v>
      </c>
      <c r="E263" s="17" t="s">
        <v>13</v>
      </c>
      <c r="F263" s="16" t="s">
        <v>14</v>
      </c>
      <c r="G263" s="17" t="s">
        <v>15</v>
      </c>
      <c r="H263" s="16" t="s">
        <v>11</v>
      </c>
      <c r="I263" s="18" t="s">
        <v>16</v>
      </c>
      <c r="J263" s="16" t="s">
        <v>14</v>
      </c>
      <c r="K263" s="19"/>
      <c r="L263" s="16" t="s">
        <v>11</v>
      </c>
      <c r="M263" s="19"/>
      <c r="N263" s="16" t="s">
        <v>11</v>
      </c>
      <c r="O263" s="19"/>
      <c r="P263" s="16" t="s">
        <v>11</v>
      </c>
      <c r="Q263" s="19"/>
      <c r="R263" s="16" t="s">
        <v>14</v>
      </c>
      <c r="S263" s="20"/>
      <c r="T263" s="21"/>
      <c r="U263" s="21" t="s">
        <v>23</v>
      </c>
    </row>
    <row r="264" ht="15.75" customHeight="1">
      <c r="A264" s="6">
        <v>263.0</v>
      </c>
      <c r="B264" s="7" t="s">
        <v>10</v>
      </c>
      <c r="C264" s="8" t="s">
        <v>11</v>
      </c>
      <c r="D264" s="7" t="s">
        <v>12</v>
      </c>
      <c r="E264" s="9" t="s">
        <v>13</v>
      </c>
      <c r="F264" s="8" t="s">
        <v>14</v>
      </c>
      <c r="G264" s="9" t="s">
        <v>15</v>
      </c>
      <c r="H264" s="8" t="s">
        <v>11</v>
      </c>
      <c r="I264" s="10" t="s">
        <v>16</v>
      </c>
      <c r="J264" s="8" t="s">
        <v>14</v>
      </c>
      <c r="K264" s="12"/>
      <c r="L264" s="8" t="s">
        <v>11</v>
      </c>
      <c r="M264" s="12"/>
      <c r="N264" s="8" t="s">
        <v>11</v>
      </c>
      <c r="O264" s="12"/>
      <c r="P264" s="8" t="s">
        <v>11</v>
      </c>
      <c r="Q264" s="12"/>
      <c r="R264" s="8" t="s">
        <v>14</v>
      </c>
      <c r="S264" s="13"/>
      <c r="T264" s="14"/>
      <c r="U264" s="14" t="s">
        <v>23</v>
      </c>
    </row>
    <row r="265" ht="15.75" customHeight="1">
      <c r="A265" s="6">
        <v>264.0</v>
      </c>
      <c r="B265" s="15" t="s">
        <v>10</v>
      </c>
      <c r="C265" s="16" t="s">
        <v>11</v>
      </c>
      <c r="D265" s="15" t="s">
        <v>12</v>
      </c>
      <c r="E265" s="17" t="s">
        <v>13</v>
      </c>
      <c r="F265" s="16" t="s">
        <v>14</v>
      </c>
      <c r="G265" s="17" t="s">
        <v>15</v>
      </c>
      <c r="H265" s="16" t="s">
        <v>11</v>
      </c>
      <c r="I265" s="18" t="s">
        <v>16</v>
      </c>
      <c r="J265" s="16" t="s">
        <v>14</v>
      </c>
      <c r="K265" s="19"/>
      <c r="L265" s="16" t="s">
        <v>11</v>
      </c>
      <c r="M265" s="19"/>
      <c r="N265" s="16" t="s">
        <v>11</v>
      </c>
      <c r="O265" s="19"/>
      <c r="P265" s="16" t="s">
        <v>11</v>
      </c>
      <c r="Q265" s="19"/>
      <c r="R265" s="16" t="s">
        <v>14</v>
      </c>
      <c r="S265" s="20"/>
      <c r="T265" s="21"/>
      <c r="U265" s="21" t="s">
        <v>23</v>
      </c>
    </row>
    <row r="266" ht="15.75" customHeight="1">
      <c r="A266" s="6">
        <v>265.0</v>
      </c>
      <c r="B266" s="7" t="s">
        <v>10</v>
      </c>
      <c r="C266" s="8" t="s">
        <v>11</v>
      </c>
      <c r="D266" s="7" t="s">
        <v>12</v>
      </c>
      <c r="E266" s="9" t="s">
        <v>13</v>
      </c>
      <c r="F266" s="8" t="s">
        <v>14</v>
      </c>
      <c r="G266" s="9" t="s">
        <v>15</v>
      </c>
      <c r="H266" s="8" t="s">
        <v>11</v>
      </c>
      <c r="I266" s="10" t="s">
        <v>16</v>
      </c>
      <c r="J266" s="8" t="s">
        <v>14</v>
      </c>
      <c r="K266" s="12"/>
      <c r="L266" s="8" t="s">
        <v>11</v>
      </c>
      <c r="M266" s="12"/>
      <c r="N266" s="8" t="s">
        <v>11</v>
      </c>
      <c r="O266" s="12"/>
      <c r="P266" s="8" t="s">
        <v>11</v>
      </c>
      <c r="Q266" s="12"/>
      <c r="R266" s="8" t="s">
        <v>14</v>
      </c>
      <c r="S266" s="13"/>
      <c r="T266" s="14"/>
      <c r="U266" s="14" t="s">
        <v>23</v>
      </c>
    </row>
    <row r="267" ht="15.75" customHeight="1">
      <c r="A267" s="6">
        <v>266.0</v>
      </c>
      <c r="B267" s="15" t="s">
        <v>10</v>
      </c>
      <c r="C267" s="16" t="s">
        <v>11</v>
      </c>
      <c r="D267" s="15" t="s">
        <v>12</v>
      </c>
      <c r="E267" s="17" t="s">
        <v>13</v>
      </c>
      <c r="F267" s="16" t="s">
        <v>14</v>
      </c>
      <c r="G267" s="17" t="s">
        <v>15</v>
      </c>
      <c r="H267" s="16" t="s">
        <v>11</v>
      </c>
      <c r="I267" s="18" t="s">
        <v>16</v>
      </c>
      <c r="J267" s="16" t="s">
        <v>14</v>
      </c>
      <c r="K267" s="19"/>
      <c r="L267" s="16" t="s">
        <v>11</v>
      </c>
      <c r="M267" s="19"/>
      <c r="N267" s="16" t="s">
        <v>11</v>
      </c>
      <c r="O267" s="19"/>
      <c r="P267" s="16" t="s">
        <v>11</v>
      </c>
      <c r="Q267" s="19"/>
      <c r="R267" s="16" t="s">
        <v>14</v>
      </c>
      <c r="S267" s="20"/>
      <c r="T267" s="21"/>
      <c r="U267" s="21" t="s">
        <v>23</v>
      </c>
    </row>
    <row r="268" ht="15.75" customHeight="1">
      <c r="A268" s="6">
        <v>267.0</v>
      </c>
      <c r="B268" s="7" t="s">
        <v>10</v>
      </c>
      <c r="C268" s="8" t="s">
        <v>11</v>
      </c>
      <c r="D268" s="7" t="s">
        <v>12</v>
      </c>
      <c r="E268" s="9" t="s">
        <v>13</v>
      </c>
      <c r="F268" s="8" t="s">
        <v>14</v>
      </c>
      <c r="G268" s="9" t="s">
        <v>15</v>
      </c>
      <c r="H268" s="8" t="s">
        <v>11</v>
      </c>
      <c r="I268" s="10" t="s">
        <v>16</v>
      </c>
      <c r="J268" s="8" t="s">
        <v>14</v>
      </c>
      <c r="K268" s="12"/>
      <c r="L268" s="8" t="s">
        <v>11</v>
      </c>
      <c r="M268" s="12"/>
      <c r="N268" s="8" t="s">
        <v>11</v>
      </c>
      <c r="O268" s="12"/>
      <c r="P268" s="8" t="s">
        <v>11</v>
      </c>
      <c r="Q268" s="12"/>
      <c r="R268" s="8" t="s">
        <v>14</v>
      </c>
      <c r="S268" s="13"/>
      <c r="T268" s="14"/>
      <c r="U268" s="14" t="s">
        <v>23</v>
      </c>
    </row>
    <row r="269" ht="15.75" customHeight="1">
      <c r="A269" s="6">
        <v>268.0</v>
      </c>
      <c r="B269" s="15" t="s">
        <v>10</v>
      </c>
      <c r="C269" s="16" t="s">
        <v>11</v>
      </c>
      <c r="D269" s="15" t="s">
        <v>12</v>
      </c>
      <c r="E269" s="17" t="s">
        <v>13</v>
      </c>
      <c r="F269" s="16" t="s">
        <v>14</v>
      </c>
      <c r="G269" s="17" t="s">
        <v>15</v>
      </c>
      <c r="H269" s="16" t="s">
        <v>11</v>
      </c>
      <c r="I269" s="18" t="s">
        <v>16</v>
      </c>
      <c r="J269" s="16" t="s">
        <v>14</v>
      </c>
      <c r="K269" s="19"/>
      <c r="L269" s="16" t="s">
        <v>11</v>
      </c>
      <c r="M269" s="19"/>
      <c r="N269" s="16" t="s">
        <v>11</v>
      </c>
      <c r="O269" s="19"/>
      <c r="P269" s="16" t="s">
        <v>11</v>
      </c>
      <c r="Q269" s="19"/>
      <c r="R269" s="16" t="s">
        <v>14</v>
      </c>
      <c r="S269" s="20"/>
      <c r="T269" s="21"/>
      <c r="U269" s="21" t="s">
        <v>23</v>
      </c>
    </row>
    <row r="270" ht="15.75" customHeight="1">
      <c r="A270" s="6">
        <v>269.0</v>
      </c>
      <c r="B270" s="7" t="s">
        <v>10</v>
      </c>
      <c r="C270" s="8" t="s">
        <v>11</v>
      </c>
      <c r="D270" s="7" t="s">
        <v>12</v>
      </c>
      <c r="E270" s="9" t="s">
        <v>13</v>
      </c>
      <c r="F270" s="8" t="s">
        <v>14</v>
      </c>
      <c r="G270" s="9" t="s">
        <v>15</v>
      </c>
      <c r="H270" s="8" t="s">
        <v>11</v>
      </c>
      <c r="I270" s="10" t="s">
        <v>16</v>
      </c>
      <c r="J270" s="8" t="s">
        <v>14</v>
      </c>
      <c r="K270" s="12"/>
      <c r="L270" s="8" t="s">
        <v>11</v>
      </c>
      <c r="M270" s="12"/>
      <c r="N270" s="8" t="s">
        <v>11</v>
      </c>
      <c r="O270" s="12"/>
      <c r="P270" s="8" t="s">
        <v>11</v>
      </c>
      <c r="Q270" s="12"/>
      <c r="R270" s="8" t="s">
        <v>14</v>
      </c>
      <c r="S270" s="13"/>
      <c r="T270" s="14"/>
      <c r="U270" s="14" t="s">
        <v>23</v>
      </c>
    </row>
    <row r="271" ht="15.75" customHeight="1">
      <c r="A271" s="6">
        <v>270.0</v>
      </c>
      <c r="B271" s="15" t="s">
        <v>10</v>
      </c>
      <c r="C271" s="16" t="s">
        <v>11</v>
      </c>
      <c r="D271" s="15" t="s">
        <v>12</v>
      </c>
      <c r="E271" s="17" t="s">
        <v>13</v>
      </c>
      <c r="F271" s="16" t="s">
        <v>14</v>
      </c>
      <c r="G271" s="17" t="s">
        <v>15</v>
      </c>
      <c r="H271" s="16" t="s">
        <v>11</v>
      </c>
      <c r="I271" s="18" t="s">
        <v>16</v>
      </c>
      <c r="J271" s="16" t="s">
        <v>14</v>
      </c>
      <c r="K271" s="19"/>
      <c r="L271" s="16" t="s">
        <v>11</v>
      </c>
      <c r="M271" s="19"/>
      <c r="N271" s="16" t="s">
        <v>11</v>
      </c>
      <c r="O271" s="19"/>
      <c r="P271" s="16" t="s">
        <v>11</v>
      </c>
      <c r="Q271" s="19"/>
      <c r="R271" s="16" t="s">
        <v>14</v>
      </c>
      <c r="S271" s="20"/>
      <c r="T271" s="21"/>
      <c r="U271" s="21" t="s">
        <v>23</v>
      </c>
    </row>
    <row r="272" ht="15.75" customHeight="1">
      <c r="A272" s="6">
        <v>271.0</v>
      </c>
      <c r="B272" s="7" t="s">
        <v>10</v>
      </c>
      <c r="C272" s="8" t="s">
        <v>11</v>
      </c>
      <c r="D272" s="7" t="s">
        <v>12</v>
      </c>
      <c r="E272" s="9" t="s">
        <v>13</v>
      </c>
      <c r="F272" s="8" t="s">
        <v>14</v>
      </c>
      <c r="G272" s="9" t="s">
        <v>15</v>
      </c>
      <c r="H272" s="8" t="s">
        <v>11</v>
      </c>
      <c r="I272" s="10" t="s">
        <v>16</v>
      </c>
      <c r="J272" s="8" t="s">
        <v>14</v>
      </c>
      <c r="K272" s="12"/>
      <c r="L272" s="8" t="s">
        <v>11</v>
      </c>
      <c r="M272" s="12"/>
      <c r="N272" s="8" t="s">
        <v>11</v>
      </c>
      <c r="O272" s="12"/>
      <c r="P272" s="8" t="s">
        <v>11</v>
      </c>
      <c r="Q272" s="12"/>
      <c r="R272" s="8" t="s">
        <v>14</v>
      </c>
      <c r="S272" s="13"/>
      <c r="T272" s="14"/>
      <c r="U272" s="14" t="s">
        <v>23</v>
      </c>
    </row>
    <row r="273" ht="15.75" customHeight="1">
      <c r="A273" s="6">
        <v>272.0</v>
      </c>
      <c r="B273" s="15" t="s">
        <v>10</v>
      </c>
      <c r="C273" s="16" t="s">
        <v>11</v>
      </c>
      <c r="D273" s="15" t="s">
        <v>12</v>
      </c>
      <c r="E273" s="17" t="s">
        <v>13</v>
      </c>
      <c r="F273" s="16" t="s">
        <v>14</v>
      </c>
      <c r="G273" s="17" t="s">
        <v>15</v>
      </c>
      <c r="H273" s="16" t="s">
        <v>11</v>
      </c>
      <c r="I273" s="18" t="s">
        <v>16</v>
      </c>
      <c r="J273" s="16" t="s">
        <v>14</v>
      </c>
      <c r="K273" s="19"/>
      <c r="L273" s="16" t="s">
        <v>11</v>
      </c>
      <c r="M273" s="19"/>
      <c r="N273" s="16" t="s">
        <v>11</v>
      </c>
      <c r="O273" s="19"/>
      <c r="P273" s="16" t="s">
        <v>11</v>
      </c>
      <c r="Q273" s="19"/>
      <c r="R273" s="16" t="s">
        <v>14</v>
      </c>
      <c r="S273" s="20"/>
      <c r="T273" s="21"/>
      <c r="U273" s="21" t="s">
        <v>23</v>
      </c>
    </row>
    <row r="274" ht="15.75" customHeight="1">
      <c r="A274" s="6">
        <v>273.0</v>
      </c>
      <c r="B274" s="7" t="s">
        <v>10</v>
      </c>
      <c r="C274" s="8" t="s">
        <v>11</v>
      </c>
      <c r="D274" s="7" t="s">
        <v>12</v>
      </c>
      <c r="E274" s="9" t="s">
        <v>13</v>
      </c>
      <c r="F274" s="8" t="s">
        <v>14</v>
      </c>
      <c r="G274" s="9" t="s">
        <v>15</v>
      </c>
      <c r="H274" s="8" t="s">
        <v>11</v>
      </c>
      <c r="I274" s="10" t="s">
        <v>16</v>
      </c>
      <c r="J274" s="8" t="s">
        <v>14</v>
      </c>
      <c r="K274" s="12"/>
      <c r="L274" s="8" t="s">
        <v>11</v>
      </c>
      <c r="M274" s="12"/>
      <c r="N274" s="8" t="s">
        <v>11</v>
      </c>
      <c r="O274" s="12"/>
      <c r="P274" s="8" t="s">
        <v>11</v>
      </c>
      <c r="Q274" s="12"/>
      <c r="R274" s="8" t="s">
        <v>14</v>
      </c>
      <c r="S274" s="13"/>
      <c r="T274" s="14"/>
      <c r="U274" s="14" t="s">
        <v>23</v>
      </c>
    </row>
    <row r="275" ht="15.75" customHeight="1">
      <c r="A275" s="6">
        <v>274.0</v>
      </c>
      <c r="B275" s="15" t="s">
        <v>10</v>
      </c>
      <c r="C275" s="16" t="s">
        <v>11</v>
      </c>
      <c r="D275" s="15" t="s">
        <v>12</v>
      </c>
      <c r="E275" s="17" t="s">
        <v>13</v>
      </c>
      <c r="F275" s="16" t="s">
        <v>14</v>
      </c>
      <c r="G275" s="17" t="s">
        <v>15</v>
      </c>
      <c r="H275" s="16" t="s">
        <v>11</v>
      </c>
      <c r="I275" s="18" t="s">
        <v>16</v>
      </c>
      <c r="J275" s="16" t="s">
        <v>14</v>
      </c>
      <c r="K275" s="19"/>
      <c r="L275" s="16" t="s">
        <v>11</v>
      </c>
      <c r="M275" s="19"/>
      <c r="N275" s="16" t="s">
        <v>11</v>
      </c>
      <c r="O275" s="19"/>
      <c r="P275" s="16" t="s">
        <v>11</v>
      </c>
      <c r="Q275" s="19"/>
      <c r="R275" s="16" t="s">
        <v>14</v>
      </c>
      <c r="S275" s="20"/>
      <c r="T275" s="21"/>
      <c r="U275" s="21" t="s">
        <v>23</v>
      </c>
    </row>
    <row r="276" ht="15.75" customHeight="1">
      <c r="A276" s="6">
        <v>275.0</v>
      </c>
      <c r="B276" s="7" t="s">
        <v>10</v>
      </c>
      <c r="C276" s="8" t="s">
        <v>11</v>
      </c>
      <c r="D276" s="7" t="s">
        <v>12</v>
      </c>
      <c r="E276" s="9" t="s">
        <v>13</v>
      </c>
      <c r="F276" s="8" t="s">
        <v>14</v>
      </c>
      <c r="G276" s="9" t="s">
        <v>15</v>
      </c>
      <c r="H276" s="8" t="s">
        <v>11</v>
      </c>
      <c r="I276" s="10" t="s">
        <v>16</v>
      </c>
      <c r="J276" s="8" t="s">
        <v>14</v>
      </c>
      <c r="K276" s="12"/>
      <c r="L276" s="8" t="s">
        <v>11</v>
      </c>
      <c r="M276" s="12"/>
      <c r="N276" s="8" t="s">
        <v>11</v>
      </c>
      <c r="O276" s="12"/>
      <c r="P276" s="8" t="s">
        <v>11</v>
      </c>
      <c r="Q276" s="12"/>
      <c r="R276" s="8" t="s">
        <v>14</v>
      </c>
      <c r="S276" s="13"/>
      <c r="T276" s="14"/>
      <c r="U276" s="14" t="s">
        <v>23</v>
      </c>
    </row>
    <row r="277" ht="15.75" customHeight="1">
      <c r="A277" s="6">
        <v>276.0</v>
      </c>
      <c r="B277" s="15" t="s">
        <v>10</v>
      </c>
      <c r="C277" s="16" t="s">
        <v>11</v>
      </c>
      <c r="D277" s="15" t="s">
        <v>12</v>
      </c>
      <c r="E277" s="17" t="s">
        <v>13</v>
      </c>
      <c r="F277" s="16" t="s">
        <v>14</v>
      </c>
      <c r="G277" s="17" t="s">
        <v>15</v>
      </c>
      <c r="H277" s="16" t="s">
        <v>11</v>
      </c>
      <c r="I277" s="18" t="s">
        <v>16</v>
      </c>
      <c r="J277" s="16" t="s">
        <v>14</v>
      </c>
      <c r="K277" s="19"/>
      <c r="L277" s="16" t="s">
        <v>11</v>
      </c>
      <c r="M277" s="19"/>
      <c r="N277" s="16" t="s">
        <v>11</v>
      </c>
      <c r="O277" s="19"/>
      <c r="P277" s="16" t="s">
        <v>11</v>
      </c>
      <c r="Q277" s="19"/>
      <c r="R277" s="16" t="s">
        <v>14</v>
      </c>
      <c r="S277" s="20"/>
      <c r="T277" s="21"/>
      <c r="U277" s="21" t="s">
        <v>23</v>
      </c>
    </row>
    <row r="278" ht="15.75" customHeight="1">
      <c r="A278" s="6">
        <v>277.0</v>
      </c>
      <c r="B278" s="7" t="s">
        <v>10</v>
      </c>
      <c r="C278" s="8" t="s">
        <v>11</v>
      </c>
      <c r="D278" s="7" t="s">
        <v>12</v>
      </c>
      <c r="E278" s="9" t="s">
        <v>13</v>
      </c>
      <c r="F278" s="8" t="s">
        <v>14</v>
      </c>
      <c r="G278" s="9" t="s">
        <v>15</v>
      </c>
      <c r="H278" s="8" t="s">
        <v>11</v>
      </c>
      <c r="I278" s="10" t="s">
        <v>16</v>
      </c>
      <c r="J278" s="8" t="s">
        <v>14</v>
      </c>
      <c r="K278" s="12"/>
      <c r="L278" s="8" t="s">
        <v>11</v>
      </c>
      <c r="M278" s="12"/>
      <c r="N278" s="8" t="s">
        <v>11</v>
      </c>
      <c r="O278" s="12"/>
      <c r="P278" s="8" t="s">
        <v>11</v>
      </c>
      <c r="Q278" s="12"/>
      <c r="R278" s="8" t="s">
        <v>14</v>
      </c>
      <c r="S278" s="13"/>
      <c r="T278" s="14"/>
      <c r="U278" s="14" t="s">
        <v>23</v>
      </c>
    </row>
    <row r="279" ht="15.75" customHeight="1">
      <c r="A279" s="6">
        <v>278.0</v>
      </c>
      <c r="B279" s="15" t="s">
        <v>10</v>
      </c>
      <c r="C279" s="16" t="s">
        <v>11</v>
      </c>
      <c r="D279" s="15" t="s">
        <v>12</v>
      </c>
      <c r="E279" s="17" t="s">
        <v>13</v>
      </c>
      <c r="F279" s="16" t="s">
        <v>14</v>
      </c>
      <c r="G279" s="17" t="s">
        <v>15</v>
      </c>
      <c r="H279" s="16" t="s">
        <v>11</v>
      </c>
      <c r="I279" s="18" t="s">
        <v>16</v>
      </c>
      <c r="J279" s="16" t="s">
        <v>14</v>
      </c>
      <c r="K279" s="19"/>
      <c r="L279" s="16" t="s">
        <v>11</v>
      </c>
      <c r="M279" s="19"/>
      <c r="N279" s="16" t="s">
        <v>11</v>
      </c>
      <c r="O279" s="19"/>
      <c r="P279" s="16" t="s">
        <v>11</v>
      </c>
      <c r="Q279" s="19"/>
      <c r="R279" s="16" t="s">
        <v>14</v>
      </c>
      <c r="S279" s="20"/>
      <c r="T279" s="21"/>
      <c r="U279" s="21" t="s">
        <v>23</v>
      </c>
    </row>
    <row r="280" ht="15.75" customHeight="1">
      <c r="A280" s="6">
        <v>279.0</v>
      </c>
      <c r="B280" s="7" t="s">
        <v>10</v>
      </c>
      <c r="C280" s="8" t="s">
        <v>11</v>
      </c>
      <c r="D280" s="7" t="s">
        <v>12</v>
      </c>
      <c r="E280" s="9" t="s">
        <v>13</v>
      </c>
      <c r="F280" s="8" t="s">
        <v>14</v>
      </c>
      <c r="G280" s="9" t="s">
        <v>15</v>
      </c>
      <c r="H280" s="8" t="s">
        <v>11</v>
      </c>
      <c r="I280" s="10" t="s">
        <v>16</v>
      </c>
      <c r="J280" s="8" t="s">
        <v>14</v>
      </c>
      <c r="K280" s="12"/>
      <c r="L280" s="8" t="s">
        <v>11</v>
      </c>
      <c r="M280" s="12"/>
      <c r="N280" s="8" t="s">
        <v>11</v>
      </c>
      <c r="O280" s="12"/>
      <c r="P280" s="8" t="s">
        <v>11</v>
      </c>
      <c r="Q280" s="12"/>
      <c r="R280" s="8" t="s">
        <v>14</v>
      </c>
      <c r="S280" s="13"/>
      <c r="T280" s="14"/>
      <c r="U280" s="14" t="s">
        <v>23</v>
      </c>
    </row>
    <row r="281" ht="15.75" customHeight="1">
      <c r="A281" s="6">
        <v>280.0</v>
      </c>
      <c r="B281" s="15" t="s">
        <v>10</v>
      </c>
      <c r="C281" s="16" t="s">
        <v>11</v>
      </c>
      <c r="D281" s="15" t="s">
        <v>12</v>
      </c>
      <c r="E281" s="17" t="s">
        <v>13</v>
      </c>
      <c r="F281" s="16" t="s">
        <v>14</v>
      </c>
      <c r="G281" s="17" t="s">
        <v>15</v>
      </c>
      <c r="H281" s="16" t="s">
        <v>11</v>
      </c>
      <c r="I281" s="18" t="s">
        <v>16</v>
      </c>
      <c r="J281" s="16" t="s">
        <v>14</v>
      </c>
      <c r="K281" s="19"/>
      <c r="L281" s="16" t="s">
        <v>11</v>
      </c>
      <c r="M281" s="19"/>
      <c r="N281" s="16" t="s">
        <v>11</v>
      </c>
      <c r="O281" s="19"/>
      <c r="P281" s="16" t="s">
        <v>11</v>
      </c>
      <c r="Q281" s="19"/>
      <c r="R281" s="16" t="s">
        <v>14</v>
      </c>
      <c r="S281" s="20"/>
      <c r="T281" s="21"/>
      <c r="U281" s="21" t="s">
        <v>23</v>
      </c>
    </row>
    <row r="282" ht="15.75" customHeight="1">
      <c r="A282" s="6">
        <v>281.0</v>
      </c>
      <c r="B282" s="7" t="s">
        <v>10</v>
      </c>
      <c r="C282" s="8" t="s">
        <v>11</v>
      </c>
      <c r="D282" s="7" t="s">
        <v>12</v>
      </c>
      <c r="E282" s="9" t="s">
        <v>13</v>
      </c>
      <c r="F282" s="8" t="s">
        <v>14</v>
      </c>
      <c r="G282" s="9" t="s">
        <v>15</v>
      </c>
      <c r="H282" s="8" t="s">
        <v>11</v>
      </c>
      <c r="I282" s="10" t="s">
        <v>16</v>
      </c>
      <c r="J282" s="8" t="s">
        <v>14</v>
      </c>
      <c r="K282" s="12"/>
      <c r="L282" s="8" t="s">
        <v>11</v>
      </c>
      <c r="M282" s="12"/>
      <c r="N282" s="8" t="s">
        <v>11</v>
      </c>
      <c r="O282" s="12"/>
      <c r="P282" s="8" t="s">
        <v>11</v>
      </c>
      <c r="Q282" s="12"/>
      <c r="R282" s="8" t="s">
        <v>14</v>
      </c>
      <c r="S282" s="13"/>
      <c r="T282" s="14"/>
      <c r="U282" s="14" t="s">
        <v>23</v>
      </c>
    </row>
    <row r="283" ht="15.75" customHeight="1">
      <c r="A283" s="6">
        <v>282.0</v>
      </c>
      <c r="B283" s="15" t="s">
        <v>10</v>
      </c>
      <c r="C283" s="16" t="s">
        <v>11</v>
      </c>
      <c r="D283" s="15" t="s">
        <v>12</v>
      </c>
      <c r="E283" s="17" t="s">
        <v>13</v>
      </c>
      <c r="F283" s="16" t="s">
        <v>14</v>
      </c>
      <c r="G283" s="17" t="s">
        <v>15</v>
      </c>
      <c r="H283" s="16" t="s">
        <v>11</v>
      </c>
      <c r="I283" s="18" t="s">
        <v>16</v>
      </c>
      <c r="J283" s="16" t="s">
        <v>14</v>
      </c>
      <c r="K283" s="19"/>
      <c r="L283" s="16" t="s">
        <v>11</v>
      </c>
      <c r="M283" s="19"/>
      <c r="N283" s="16" t="s">
        <v>11</v>
      </c>
      <c r="O283" s="19"/>
      <c r="P283" s="16" t="s">
        <v>11</v>
      </c>
      <c r="Q283" s="19"/>
      <c r="R283" s="16" t="s">
        <v>14</v>
      </c>
      <c r="S283" s="20"/>
      <c r="T283" s="21"/>
      <c r="U283" s="21" t="s">
        <v>23</v>
      </c>
    </row>
    <row r="284" ht="15.75" customHeight="1">
      <c r="A284" s="6">
        <v>283.0</v>
      </c>
      <c r="B284" s="7" t="s">
        <v>10</v>
      </c>
      <c r="C284" s="8" t="s">
        <v>11</v>
      </c>
      <c r="D284" s="7" t="s">
        <v>12</v>
      </c>
      <c r="E284" s="9" t="s">
        <v>13</v>
      </c>
      <c r="F284" s="8" t="s">
        <v>14</v>
      </c>
      <c r="G284" s="9" t="s">
        <v>15</v>
      </c>
      <c r="H284" s="8" t="s">
        <v>11</v>
      </c>
      <c r="I284" s="10" t="s">
        <v>16</v>
      </c>
      <c r="J284" s="8" t="s">
        <v>14</v>
      </c>
      <c r="K284" s="12"/>
      <c r="L284" s="8" t="s">
        <v>11</v>
      </c>
      <c r="M284" s="12"/>
      <c r="N284" s="8" t="s">
        <v>11</v>
      </c>
      <c r="O284" s="12"/>
      <c r="P284" s="8" t="s">
        <v>11</v>
      </c>
      <c r="Q284" s="12"/>
      <c r="R284" s="8" t="s">
        <v>14</v>
      </c>
      <c r="S284" s="13"/>
      <c r="T284" s="14"/>
      <c r="U284" s="14" t="s">
        <v>23</v>
      </c>
    </row>
    <row r="285" ht="15.75" customHeight="1">
      <c r="A285" s="6">
        <v>284.0</v>
      </c>
      <c r="B285" s="15" t="s">
        <v>10</v>
      </c>
      <c r="C285" s="16" t="s">
        <v>11</v>
      </c>
      <c r="D285" s="15" t="s">
        <v>12</v>
      </c>
      <c r="E285" s="17" t="s">
        <v>13</v>
      </c>
      <c r="F285" s="16" t="s">
        <v>14</v>
      </c>
      <c r="G285" s="17" t="s">
        <v>15</v>
      </c>
      <c r="H285" s="16" t="s">
        <v>11</v>
      </c>
      <c r="I285" s="18" t="s">
        <v>16</v>
      </c>
      <c r="J285" s="16" t="s">
        <v>14</v>
      </c>
      <c r="K285" s="19"/>
      <c r="L285" s="16" t="s">
        <v>11</v>
      </c>
      <c r="M285" s="19"/>
      <c r="N285" s="16" t="s">
        <v>11</v>
      </c>
      <c r="O285" s="19"/>
      <c r="P285" s="16" t="s">
        <v>11</v>
      </c>
      <c r="Q285" s="19"/>
      <c r="R285" s="16" t="s">
        <v>14</v>
      </c>
      <c r="S285" s="20"/>
      <c r="T285" s="21"/>
      <c r="U285" s="21" t="s">
        <v>23</v>
      </c>
    </row>
    <row r="286" ht="15.75" customHeight="1">
      <c r="A286" s="6">
        <v>285.0</v>
      </c>
      <c r="B286" s="7" t="s">
        <v>10</v>
      </c>
      <c r="C286" s="8" t="s">
        <v>11</v>
      </c>
      <c r="D286" s="7" t="s">
        <v>12</v>
      </c>
      <c r="E286" s="9" t="s">
        <v>13</v>
      </c>
      <c r="F286" s="8" t="s">
        <v>14</v>
      </c>
      <c r="G286" s="9" t="s">
        <v>15</v>
      </c>
      <c r="H286" s="8" t="s">
        <v>11</v>
      </c>
      <c r="I286" s="10" t="s">
        <v>16</v>
      </c>
      <c r="J286" s="8" t="s">
        <v>14</v>
      </c>
      <c r="K286" s="12"/>
      <c r="L286" s="8" t="s">
        <v>11</v>
      </c>
      <c r="M286" s="12"/>
      <c r="N286" s="8" t="s">
        <v>11</v>
      </c>
      <c r="O286" s="12"/>
      <c r="P286" s="8" t="s">
        <v>11</v>
      </c>
      <c r="Q286" s="12"/>
      <c r="R286" s="8" t="s">
        <v>14</v>
      </c>
      <c r="S286" s="13"/>
      <c r="T286" s="14"/>
      <c r="U286" s="14" t="s">
        <v>23</v>
      </c>
    </row>
    <row r="287" ht="15.75" customHeight="1">
      <c r="A287" s="6">
        <v>286.0</v>
      </c>
      <c r="B287" s="15" t="s">
        <v>10</v>
      </c>
      <c r="C287" s="16" t="s">
        <v>11</v>
      </c>
      <c r="D287" s="15" t="s">
        <v>12</v>
      </c>
      <c r="E287" s="17" t="s">
        <v>13</v>
      </c>
      <c r="F287" s="16" t="s">
        <v>14</v>
      </c>
      <c r="G287" s="17" t="s">
        <v>15</v>
      </c>
      <c r="H287" s="16" t="s">
        <v>11</v>
      </c>
      <c r="I287" s="18" t="s">
        <v>16</v>
      </c>
      <c r="J287" s="16" t="s">
        <v>14</v>
      </c>
      <c r="K287" s="19"/>
      <c r="L287" s="16" t="s">
        <v>11</v>
      </c>
      <c r="M287" s="19"/>
      <c r="N287" s="16" t="s">
        <v>11</v>
      </c>
      <c r="O287" s="19"/>
      <c r="P287" s="16" t="s">
        <v>11</v>
      </c>
      <c r="Q287" s="19"/>
      <c r="R287" s="16" t="s">
        <v>14</v>
      </c>
      <c r="S287" s="20"/>
      <c r="T287" s="21"/>
      <c r="U287" s="21" t="s">
        <v>23</v>
      </c>
    </row>
    <row r="288" ht="15.75" customHeight="1">
      <c r="A288" s="6">
        <v>287.0</v>
      </c>
      <c r="B288" s="7" t="s">
        <v>10</v>
      </c>
      <c r="C288" s="8" t="s">
        <v>11</v>
      </c>
      <c r="D288" s="7" t="s">
        <v>12</v>
      </c>
      <c r="E288" s="9" t="s">
        <v>13</v>
      </c>
      <c r="F288" s="8" t="s">
        <v>14</v>
      </c>
      <c r="G288" s="9" t="s">
        <v>15</v>
      </c>
      <c r="H288" s="8" t="s">
        <v>11</v>
      </c>
      <c r="I288" s="10" t="s">
        <v>16</v>
      </c>
      <c r="J288" s="8" t="s">
        <v>14</v>
      </c>
      <c r="K288" s="12"/>
      <c r="L288" s="8" t="s">
        <v>11</v>
      </c>
      <c r="M288" s="12"/>
      <c r="N288" s="8" t="s">
        <v>11</v>
      </c>
      <c r="O288" s="12"/>
      <c r="P288" s="8" t="s">
        <v>11</v>
      </c>
      <c r="Q288" s="12"/>
      <c r="R288" s="8" t="s">
        <v>14</v>
      </c>
      <c r="S288" s="13"/>
      <c r="T288" s="14"/>
      <c r="U288" s="14" t="s">
        <v>23</v>
      </c>
    </row>
    <row r="289" ht="15.75" customHeight="1">
      <c r="A289" s="6">
        <v>288.0</v>
      </c>
      <c r="B289" s="15" t="s">
        <v>10</v>
      </c>
      <c r="C289" s="16" t="s">
        <v>11</v>
      </c>
      <c r="D289" s="15" t="s">
        <v>12</v>
      </c>
      <c r="E289" s="17" t="s">
        <v>13</v>
      </c>
      <c r="F289" s="16" t="s">
        <v>14</v>
      </c>
      <c r="G289" s="17" t="s">
        <v>15</v>
      </c>
      <c r="H289" s="16" t="s">
        <v>11</v>
      </c>
      <c r="I289" s="18" t="s">
        <v>16</v>
      </c>
      <c r="J289" s="16" t="s">
        <v>14</v>
      </c>
      <c r="K289" s="19"/>
      <c r="L289" s="16" t="s">
        <v>11</v>
      </c>
      <c r="M289" s="19"/>
      <c r="N289" s="16" t="s">
        <v>11</v>
      </c>
      <c r="O289" s="19"/>
      <c r="P289" s="16" t="s">
        <v>11</v>
      </c>
      <c r="Q289" s="19"/>
      <c r="R289" s="16" t="s">
        <v>14</v>
      </c>
      <c r="S289" s="20"/>
      <c r="T289" s="21"/>
      <c r="U289" s="21" t="s">
        <v>23</v>
      </c>
    </row>
    <row r="290" ht="15.75" customHeight="1">
      <c r="A290" s="6">
        <v>289.0</v>
      </c>
      <c r="B290" s="7" t="s">
        <v>10</v>
      </c>
      <c r="C290" s="8" t="s">
        <v>11</v>
      </c>
      <c r="D290" s="7" t="s">
        <v>12</v>
      </c>
      <c r="E290" s="9" t="s">
        <v>13</v>
      </c>
      <c r="F290" s="8" t="s">
        <v>14</v>
      </c>
      <c r="G290" s="9" t="s">
        <v>15</v>
      </c>
      <c r="H290" s="8" t="s">
        <v>11</v>
      </c>
      <c r="I290" s="10" t="s">
        <v>16</v>
      </c>
      <c r="J290" s="8" t="s">
        <v>14</v>
      </c>
      <c r="K290" s="12"/>
      <c r="L290" s="8" t="s">
        <v>11</v>
      </c>
      <c r="M290" s="12"/>
      <c r="N290" s="8" t="s">
        <v>11</v>
      </c>
      <c r="O290" s="12"/>
      <c r="P290" s="8" t="s">
        <v>11</v>
      </c>
      <c r="Q290" s="12"/>
      <c r="R290" s="8" t="s">
        <v>14</v>
      </c>
      <c r="S290" s="13"/>
      <c r="T290" s="14"/>
      <c r="U290" s="14" t="s">
        <v>23</v>
      </c>
    </row>
    <row r="291" ht="15.75" customHeight="1">
      <c r="A291" s="6">
        <v>290.0</v>
      </c>
      <c r="B291" s="15" t="s">
        <v>10</v>
      </c>
      <c r="C291" s="16" t="s">
        <v>11</v>
      </c>
      <c r="D291" s="15" t="s">
        <v>12</v>
      </c>
      <c r="E291" s="17" t="s">
        <v>13</v>
      </c>
      <c r="F291" s="16" t="s">
        <v>14</v>
      </c>
      <c r="G291" s="17" t="s">
        <v>15</v>
      </c>
      <c r="H291" s="16" t="s">
        <v>11</v>
      </c>
      <c r="I291" s="18" t="s">
        <v>16</v>
      </c>
      <c r="J291" s="16" t="s">
        <v>14</v>
      </c>
      <c r="K291" s="19"/>
      <c r="L291" s="16" t="s">
        <v>11</v>
      </c>
      <c r="M291" s="19"/>
      <c r="N291" s="16" t="s">
        <v>11</v>
      </c>
      <c r="O291" s="19"/>
      <c r="P291" s="16" t="s">
        <v>11</v>
      </c>
      <c r="Q291" s="19"/>
      <c r="R291" s="16" t="s">
        <v>14</v>
      </c>
      <c r="S291" s="20"/>
      <c r="T291" s="21"/>
      <c r="U291" s="21" t="s">
        <v>23</v>
      </c>
    </row>
    <row r="292" ht="15.75" customHeight="1">
      <c r="A292" s="6">
        <v>291.0</v>
      </c>
      <c r="B292" s="7" t="s">
        <v>10</v>
      </c>
      <c r="C292" s="8" t="s">
        <v>11</v>
      </c>
      <c r="D292" s="7" t="s">
        <v>12</v>
      </c>
      <c r="E292" s="9" t="s">
        <v>13</v>
      </c>
      <c r="F292" s="8" t="s">
        <v>14</v>
      </c>
      <c r="G292" s="9" t="s">
        <v>15</v>
      </c>
      <c r="H292" s="8" t="s">
        <v>11</v>
      </c>
      <c r="I292" s="10" t="s">
        <v>16</v>
      </c>
      <c r="J292" s="8" t="s">
        <v>14</v>
      </c>
      <c r="K292" s="12"/>
      <c r="L292" s="8" t="s">
        <v>11</v>
      </c>
      <c r="M292" s="12"/>
      <c r="N292" s="8" t="s">
        <v>11</v>
      </c>
      <c r="O292" s="12"/>
      <c r="P292" s="8" t="s">
        <v>11</v>
      </c>
      <c r="Q292" s="12"/>
      <c r="R292" s="8" t="s">
        <v>14</v>
      </c>
      <c r="S292" s="13"/>
      <c r="T292" s="14"/>
      <c r="U292" s="14" t="s">
        <v>23</v>
      </c>
    </row>
    <row r="293" ht="15.75" customHeight="1">
      <c r="A293" s="6">
        <v>292.0</v>
      </c>
      <c r="B293" s="15" t="s">
        <v>10</v>
      </c>
      <c r="C293" s="16" t="s">
        <v>11</v>
      </c>
      <c r="D293" s="15" t="s">
        <v>12</v>
      </c>
      <c r="E293" s="17" t="s">
        <v>13</v>
      </c>
      <c r="F293" s="16" t="s">
        <v>14</v>
      </c>
      <c r="G293" s="17" t="s">
        <v>15</v>
      </c>
      <c r="H293" s="16" t="s">
        <v>11</v>
      </c>
      <c r="I293" s="18" t="s">
        <v>16</v>
      </c>
      <c r="J293" s="16" t="s">
        <v>14</v>
      </c>
      <c r="K293" s="19"/>
      <c r="L293" s="16" t="s">
        <v>11</v>
      </c>
      <c r="M293" s="19"/>
      <c r="N293" s="16" t="s">
        <v>11</v>
      </c>
      <c r="O293" s="19"/>
      <c r="P293" s="16" t="s">
        <v>11</v>
      </c>
      <c r="Q293" s="19"/>
      <c r="R293" s="16" t="s">
        <v>14</v>
      </c>
      <c r="S293" s="20"/>
      <c r="T293" s="21"/>
      <c r="U293" s="21" t="s">
        <v>23</v>
      </c>
    </row>
    <row r="294" ht="15.75" customHeight="1">
      <c r="A294" s="6">
        <v>293.0</v>
      </c>
      <c r="B294" s="7" t="s">
        <v>10</v>
      </c>
      <c r="C294" s="8" t="s">
        <v>11</v>
      </c>
      <c r="D294" s="7" t="s">
        <v>12</v>
      </c>
      <c r="E294" s="9" t="s">
        <v>13</v>
      </c>
      <c r="F294" s="8" t="s">
        <v>14</v>
      </c>
      <c r="G294" s="9" t="s">
        <v>15</v>
      </c>
      <c r="H294" s="8" t="s">
        <v>11</v>
      </c>
      <c r="I294" s="10" t="s">
        <v>16</v>
      </c>
      <c r="J294" s="8" t="s">
        <v>14</v>
      </c>
      <c r="K294" s="12"/>
      <c r="L294" s="8" t="s">
        <v>11</v>
      </c>
      <c r="M294" s="12"/>
      <c r="N294" s="8" t="s">
        <v>11</v>
      </c>
      <c r="O294" s="12"/>
      <c r="P294" s="8" t="s">
        <v>11</v>
      </c>
      <c r="Q294" s="12"/>
      <c r="R294" s="8" t="s">
        <v>14</v>
      </c>
      <c r="S294" s="13"/>
      <c r="T294" s="14"/>
      <c r="U294" s="14" t="s">
        <v>23</v>
      </c>
    </row>
    <row r="295" ht="15.75" customHeight="1">
      <c r="A295" s="6">
        <v>294.0</v>
      </c>
      <c r="B295" s="15" t="s">
        <v>10</v>
      </c>
      <c r="C295" s="16" t="s">
        <v>11</v>
      </c>
      <c r="D295" s="15" t="s">
        <v>12</v>
      </c>
      <c r="E295" s="17" t="s">
        <v>13</v>
      </c>
      <c r="F295" s="16" t="s">
        <v>14</v>
      </c>
      <c r="G295" s="17" t="s">
        <v>15</v>
      </c>
      <c r="H295" s="16" t="s">
        <v>11</v>
      </c>
      <c r="I295" s="18" t="s">
        <v>16</v>
      </c>
      <c r="J295" s="16" t="s">
        <v>14</v>
      </c>
      <c r="K295" s="19"/>
      <c r="L295" s="16" t="s">
        <v>11</v>
      </c>
      <c r="M295" s="19"/>
      <c r="N295" s="16" t="s">
        <v>11</v>
      </c>
      <c r="O295" s="19"/>
      <c r="P295" s="16" t="s">
        <v>11</v>
      </c>
      <c r="Q295" s="19"/>
      <c r="R295" s="16" t="s">
        <v>14</v>
      </c>
      <c r="S295" s="20"/>
      <c r="T295" s="21"/>
      <c r="U295" s="21" t="s">
        <v>23</v>
      </c>
    </row>
    <row r="296" ht="15.75" customHeight="1">
      <c r="A296" s="6">
        <v>295.0</v>
      </c>
      <c r="B296" s="7" t="s">
        <v>10</v>
      </c>
      <c r="C296" s="8" t="s">
        <v>11</v>
      </c>
      <c r="D296" s="7" t="s">
        <v>12</v>
      </c>
      <c r="E296" s="9" t="s">
        <v>13</v>
      </c>
      <c r="F296" s="8" t="s">
        <v>14</v>
      </c>
      <c r="G296" s="9" t="s">
        <v>15</v>
      </c>
      <c r="H296" s="8" t="s">
        <v>11</v>
      </c>
      <c r="I296" s="10" t="s">
        <v>16</v>
      </c>
      <c r="J296" s="8" t="s">
        <v>14</v>
      </c>
      <c r="K296" s="12"/>
      <c r="L296" s="8" t="s">
        <v>11</v>
      </c>
      <c r="M296" s="12"/>
      <c r="N296" s="8" t="s">
        <v>11</v>
      </c>
      <c r="O296" s="12"/>
      <c r="P296" s="8" t="s">
        <v>11</v>
      </c>
      <c r="Q296" s="12"/>
      <c r="R296" s="8" t="s">
        <v>14</v>
      </c>
      <c r="S296" s="13"/>
      <c r="T296" s="14"/>
      <c r="U296" s="14" t="s">
        <v>23</v>
      </c>
    </row>
    <row r="297" ht="15.75" customHeight="1">
      <c r="A297" s="6">
        <v>296.0</v>
      </c>
      <c r="B297" s="15" t="s">
        <v>10</v>
      </c>
      <c r="C297" s="16" t="s">
        <v>11</v>
      </c>
      <c r="D297" s="15" t="s">
        <v>12</v>
      </c>
      <c r="E297" s="17" t="s">
        <v>13</v>
      </c>
      <c r="F297" s="16" t="s">
        <v>14</v>
      </c>
      <c r="G297" s="17" t="s">
        <v>15</v>
      </c>
      <c r="H297" s="16" t="s">
        <v>11</v>
      </c>
      <c r="I297" s="18" t="s">
        <v>16</v>
      </c>
      <c r="J297" s="16" t="s">
        <v>14</v>
      </c>
      <c r="K297" s="19"/>
      <c r="L297" s="16" t="s">
        <v>11</v>
      </c>
      <c r="M297" s="19"/>
      <c r="N297" s="16" t="s">
        <v>11</v>
      </c>
      <c r="O297" s="19"/>
      <c r="P297" s="16" t="s">
        <v>11</v>
      </c>
      <c r="Q297" s="19"/>
      <c r="R297" s="16" t="s">
        <v>14</v>
      </c>
      <c r="S297" s="20"/>
      <c r="T297" s="21"/>
      <c r="U297" s="21" t="s">
        <v>23</v>
      </c>
    </row>
    <row r="298" ht="15.75" customHeight="1">
      <c r="A298" s="6">
        <v>297.0</v>
      </c>
      <c r="B298" s="7" t="s">
        <v>10</v>
      </c>
      <c r="C298" s="8" t="s">
        <v>11</v>
      </c>
      <c r="D298" s="7" t="s">
        <v>12</v>
      </c>
      <c r="E298" s="9" t="s">
        <v>13</v>
      </c>
      <c r="F298" s="8" t="s">
        <v>14</v>
      </c>
      <c r="G298" s="9" t="s">
        <v>15</v>
      </c>
      <c r="H298" s="8" t="s">
        <v>11</v>
      </c>
      <c r="I298" s="10" t="s">
        <v>16</v>
      </c>
      <c r="J298" s="8" t="s">
        <v>14</v>
      </c>
      <c r="K298" s="12"/>
      <c r="L298" s="8" t="s">
        <v>11</v>
      </c>
      <c r="M298" s="12"/>
      <c r="N298" s="8" t="s">
        <v>11</v>
      </c>
      <c r="O298" s="12"/>
      <c r="P298" s="8" t="s">
        <v>11</v>
      </c>
      <c r="Q298" s="12"/>
      <c r="R298" s="8" t="s">
        <v>14</v>
      </c>
      <c r="S298" s="13"/>
      <c r="T298" s="14"/>
      <c r="U298" s="14" t="s">
        <v>23</v>
      </c>
    </row>
    <row r="299" ht="15.75" customHeight="1">
      <c r="A299" s="6">
        <v>298.0</v>
      </c>
      <c r="B299" s="15" t="s">
        <v>10</v>
      </c>
      <c r="C299" s="16" t="s">
        <v>11</v>
      </c>
      <c r="D299" s="15" t="s">
        <v>12</v>
      </c>
      <c r="E299" s="17" t="s">
        <v>13</v>
      </c>
      <c r="F299" s="16" t="s">
        <v>14</v>
      </c>
      <c r="G299" s="17" t="s">
        <v>15</v>
      </c>
      <c r="H299" s="16" t="s">
        <v>11</v>
      </c>
      <c r="I299" s="18" t="s">
        <v>16</v>
      </c>
      <c r="J299" s="16" t="s">
        <v>14</v>
      </c>
      <c r="K299" s="19"/>
      <c r="L299" s="16" t="s">
        <v>11</v>
      </c>
      <c r="M299" s="19"/>
      <c r="N299" s="16" t="s">
        <v>11</v>
      </c>
      <c r="O299" s="19"/>
      <c r="P299" s="16" t="s">
        <v>11</v>
      </c>
      <c r="Q299" s="19"/>
      <c r="R299" s="16" t="s">
        <v>14</v>
      </c>
      <c r="S299" s="20"/>
      <c r="T299" s="21"/>
      <c r="U299" s="21" t="s">
        <v>23</v>
      </c>
    </row>
    <row r="300" ht="15.75" customHeight="1">
      <c r="A300" s="6">
        <v>299.0</v>
      </c>
      <c r="B300" s="7" t="s">
        <v>10</v>
      </c>
      <c r="C300" s="8" t="s">
        <v>11</v>
      </c>
      <c r="D300" s="7" t="s">
        <v>12</v>
      </c>
      <c r="E300" s="9" t="s">
        <v>13</v>
      </c>
      <c r="F300" s="8" t="s">
        <v>14</v>
      </c>
      <c r="G300" s="9" t="s">
        <v>15</v>
      </c>
      <c r="H300" s="8" t="s">
        <v>11</v>
      </c>
      <c r="I300" s="10" t="s">
        <v>16</v>
      </c>
      <c r="J300" s="8" t="s">
        <v>14</v>
      </c>
      <c r="K300" s="12"/>
      <c r="L300" s="8" t="s">
        <v>11</v>
      </c>
      <c r="M300" s="12"/>
      <c r="N300" s="8" t="s">
        <v>11</v>
      </c>
      <c r="O300" s="12"/>
      <c r="P300" s="8" t="s">
        <v>11</v>
      </c>
      <c r="Q300" s="12"/>
      <c r="R300" s="8" t="s">
        <v>14</v>
      </c>
      <c r="S300" s="13"/>
      <c r="T300" s="14"/>
      <c r="U300" s="14" t="s">
        <v>23</v>
      </c>
    </row>
    <row r="301" ht="15.75" customHeight="1">
      <c r="A301" s="6">
        <v>300.0</v>
      </c>
      <c r="B301" s="15" t="s">
        <v>10</v>
      </c>
      <c r="C301" s="16" t="s">
        <v>11</v>
      </c>
      <c r="D301" s="15" t="s">
        <v>12</v>
      </c>
      <c r="E301" s="17" t="s">
        <v>13</v>
      </c>
      <c r="F301" s="16" t="s">
        <v>14</v>
      </c>
      <c r="G301" s="17" t="s">
        <v>15</v>
      </c>
      <c r="H301" s="16" t="s">
        <v>11</v>
      </c>
      <c r="I301" s="18" t="s">
        <v>16</v>
      </c>
      <c r="J301" s="16" t="s">
        <v>14</v>
      </c>
      <c r="K301" s="19"/>
      <c r="L301" s="16" t="s">
        <v>11</v>
      </c>
      <c r="M301" s="19"/>
      <c r="N301" s="16" t="s">
        <v>11</v>
      </c>
      <c r="O301" s="19"/>
      <c r="P301" s="16" t="s">
        <v>11</v>
      </c>
      <c r="Q301" s="19"/>
      <c r="R301" s="16" t="s">
        <v>14</v>
      </c>
      <c r="S301" s="20"/>
      <c r="T301" s="21"/>
      <c r="U301" s="21" t="s">
        <v>23</v>
      </c>
    </row>
    <row r="302" ht="15.75" customHeight="1">
      <c r="A302" s="6">
        <v>301.0</v>
      </c>
      <c r="B302" s="7" t="s">
        <v>10</v>
      </c>
      <c r="C302" s="8" t="s">
        <v>11</v>
      </c>
      <c r="D302" s="7" t="s">
        <v>12</v>
      </c>
      <c r="E302" s="9" t="s">
        <v>13</v>
      </c>
      <c r="F302" s="8" t="s">
        <v>14</v>
      </c>
      <c r="G302" s="9" t="s">
        <v>15</v>
      </c>
      <c r="H302" s="8" t="s">
        <v>11</v>
      </c>
      <c r="I302" s="10" t="s">
        <v>16</v>
      </c>
      <c r="J302" s="8" t="s">
        <v>14</v>
      </c>
      <c r="K302" s="12"/>
      <c r="L302" s="8" t="s">
        <v>11</v>
      </c>
      <c r="M302" s="12"/>
      <c r="N302" s="8" t="s">
        <v>11</v>
      </c>
      <c r="O302" s="12"/>
      <c r="P302" s="8" t="s">
        <v>11</v>
      </c>
      <c r="Q302" s="12"/>
      <c r="R302" s="8" t="s">
        <v>14</v>
      </c>
      <c r="S302" s="13"/>
      <c r="T302" s="14"/>
      <c r="U302" s="14" t="s">
        <v>23</v>
      </c>
    </row>
    <row r="303" ht="15.75" customHeight="1">
      <c r="A303" s="6">
        <v>302.0</v>
      </c>
      <c r="B303" s="15" t="s">
        <v>10</v>
      </c>
      <c r="C303" s="16" t="s">
        <v>11</v>
      </c>
      <c r="D303" s="15" t="s">
        <v>12</v>
      </c>
      <c r="E303" s="17" t="s">
        <v>13</v>
      </c>
      <c r="F303" s="16" t="s">
        <v>14</v>
      </c>
      <c r="G303" s="17" t="s">
        <v>15</v>
      </c>
      <c r="H303" s="16" t="s">
        <v>11</v>
      </c>
      <c r="I303" s="18" t="s">
        <v>16</v>
      </c>
      <c r="J303" s="16" t="s">
        <v>14</v>
      </c>
      <c r="K303" s="19"/>
      <c r="L303" s="16" t="s">
        <v>11</v>
      </c>
      <c r="M303" s="19"/>
      <c r="N303" s="16" t="s">
        <v>11</v>
      </c>
      <c r="O303" s="19"/>
      <c r="P303" s="16" t="s">
        <v>11</v>
      </c>
      <c r="Q303" s="19"/>
      <c r="R303" s="16" t="s">
        <v>14</v>
      </c>
      <c r="S303" s="20"/>
      <c r="T303" s="21"/>
      <c r="U303" s="21" t="s">
        <v>23</v>
      </c>
    </row>
    <row r="304" ht="15.75" customHeight="1">
      <c r="A304" s="6">
        <v>303.0</v>
      </c>
      <c r="B304" s="7" t="s">
        <v>10</v>
      </c>
      <c r="C304" s="8" t="s">
        <v>11</v>
      </c>
      <c r="D304" s="7" t="s">
        <v>12</v>
      </c>
      <c r="E304" s="9" t="s">
        <v>13</v>
      </c>
      <c r="F304" s="8" t="s">
        <v>14</v>
      </c>
      <c r="G304" s="9" t="s">
        <v>15</v>
      </c>
      <c r="H304" s="8" t="s">
        <v>11</v>
      </c>
      <c r="I304" s="10" t="s">
        <v>16</v>
      </c>
      <c r="J304" s="8" t="s">
        <v>14</v>
      </c>
      <c r="K304" s="12"/>
      <c r="L304" s="8" t="s">
        <v>11</v>
      </c>
      <c r="M304" s="12"/>
      <c r="N304" s="8" t="s">
        <v>11</v>
      </c>
      <c r="O304" s="12"/>
      <c r="P304" s="8" t="s">
        <v>11</v>
      </c>
      <c r="Q304" s="12"/>
      <c r="R304" s="8" t="s">
        <v>14</v>
      </c>
      <c r="S304" s="13"/>
      <c r="T304" s="14"/>
      <c r="U304" s="14" t="s">
        <v>23</v>
      </c>
    </row>
    <row r="305" ht="15.75" customHeight="1">
      <c r="A305" s="6">
        <v>304.0</v>
      </c>
      <c r="B305" s="15" t="s">
        <v>10</v>
      </c>
      <c r="C305" s="16" t="s">
        <v>11</v>
      </c>
      <c r="D305" s="15" t="s">
        <v>12</v>
      </c>
      <c r="E305" s="17" t="s">
        <v>13</v>
      </c>
      <c r="F305" s="16" t="s">
        <v>14</v>
      </c>
      <c r="G305" s="17" t="s">
        <v>15</v>
      </c>
      <c r="H305" s="16" t="s">
        <v>11</v>
      </c>
      <c r="I305" s="18" t="s">
        <v>16</v>
      </c>
      <c r="J305" s="16" t="s">
        <v>14</v>
      </c>
      <c r="K305" s="19"/>
      <c r="L305" s="16" t="s">
        <v>11</v>
      </c>
      <c r="M305" s="19"/>
      <c r="N305" s="16" t="s">
        <v>11</v>
      </c>
      <c r="O305" s="19"/>
      <c r="P305" s="16" t="s">
        <v>11</v>
      </c>
      <c r="Q305" s="19"/>
      <c r="R305" s="16" t="s">
        <v>14</v>
      </c>
      <c r="S305" s="20"/>
      <c r="T305" s="21"/>
      <c r="U305" s="21" t="s">
        <v>23</v>
      </c>
    </row>
    <row r="306" ht="15.75" customHeight="1">
      <c r="A306" s="6">
        <v>305.0</v>
      </c>
      <c r="B306" s="7" t="s">
        <v>10</v>
      </c>
      <c r="C306" s="8" t="s">
        <v>11</v>
      </c>
      <c r="D306" s="7" t="s">
        <v>12</v>
      </c>
      <c r="E306" s="9" t="s">
        <v>13</v>
      </c>
      <c r="F306" s="8" t="s">
        <v>14</v>
      </c>
      <c r="G306" s="9" t="s">
        <v>15</v>
      </c>
      <c r="H306" s="8" t="s">
        <v>11</v>
      </c>
      <c r="I306" s="10" t="s">
        <v>16</v>
      </c>
      <c r="J306" s="8" t="s">
        <v>14</v>
      </c>
      <c r="K306" s="12"/>
      <c r="L306" s="8" t="s">
        <v>11</v>
      </c>
      <c r="M306" s="12"/>
      <c r="N306" s="8" t="s">
        <v>11</v>
      </c>
      <c r="O306" s="12"/>
      <c r="P306" s="8" t="s">
        <v>11</v>
      </c>
      <c r="Q306" s="12"/>
      <c r="R306" s="8" t="s">
        <v>14</v>
      </c>
      <c r="S306" s="13"/>
      <c r="T306" s="14"/>
      <c r="U306" s="14" t="s">
        <v>23</v>
      </c>
    </row>
    <row r="307" ht="15.75" customHeight="1">
      <c r="A307" s="6">
        <v>306.0</v>
      </c>
      <c r="B307" s="15" t="s">
        <v>10</v>
      </c>
      <c r="C307" s="16" t="s">
        <v>11</v>
      </c>
      <c r="D307" s="15" t="s">
        <v>12</v>
      </c>
      <c r="E307" s="17" t="s">
        <v>13</v>
      </c>
      <c r="F307" s="16" t="s">
        <v>14</v>
      </c>
      <c r="G307" s="17" t="s">
        <v>15</v>
      </c>
      <c r="H307" s="16" t="s">
        <v>11</v>
      </c>
      <c r="I307" s="18" t="s">
        <v>16</v>
      </c>
      <c r="J307" s="16" t="s">
        <v>14</v>
      </c>
      <c r="K307" s="19"/>
      <c r="L307" s="16" t="s">
        <v>11</v>
      </c>
      <c r="M307" s="19"/>
      <c r="N307" s="16" t="s">
        <v>11</v>
      </c>
      <c r="O307" s="19"/>
      <c r="P307" s="16" t="s">
        <v>11</v>
      </c>
      <c r="Q307" s="19"/>
      <c r="R307" s="16" t="s">
        <v>14</v>
      </c>
      <c r="S307" s="20"/>
      <c r="T307" s="21"/>
      <c r="U307" s="21" t="s">
        <v>23</v>
      </c>
    </row>
    <row r="308" ht="15.75" customHeight="1">
      <c r="A308" s="6">
        <v>307.0</v>
      </c>
      <c r="B308" s="7" t="s">
        <v>10</v>
      </c>
      <c r="C308" s="8" t="s">
        <v>11</v>
      </c>
      <c r="D308" s="7" t="s">
        <v>12</v>
      </c>
      <c r="E308" s="9" t="s">
        <v>13</v>
      </c>
      <c r="F308" s="8" t="s">
        <v>14</v>
      </c>
      <c r="G308" s="9" t="s">
        <v>15</v>
      </c>
      <c r="H308" s="8" t="s">
        <v>11</v>
      </c>
      <c r="I308" s="10" t="s">
        <v>16</v>
      </c>
      <c r="J308" s="8" t="s">
        <v>14</v>
      </c>
      <c r="K308" s="12"/>
      <c r="L308" s="8" t="s">
        <v>11</v>
      </c>
      <c r="M308" s="12"/>
      <c r="N308" s="8" t="s">
        <v>11</v>
      </c>
      <c r="O308" s="12"/>
      <c r="P308" s="8" t="s">
        <v>11</v>
      </c>
      <c r="Q308" s="12"/>
      <c r="R308" s="8" t="s">
        <v>14</v>
      </c>
      <c r="S308" s="13"/>
      <c r="T308" s="14"/>
      <c r="U308" s="14" t="s">
        <v>23</v>
      </c>
    </row>
    <row r="309" ht="15.75" customHeight="1">
      <c r="A309" s="6">
        <v>308.0</v>
      </c>
      <c r="B309" s="15" t="s">
        <v>10</v>
      </c>
      <c r="C309" s="16" t="s">
        <v>11</v>
      </c>
      <c r="D309" s="15" t="s">
        <v>12</v>
      </c>
      <c r="E309" s="17" t="s">
        <v>13</v>
      </c>
      <c r="F309" s="16" t="s">
        <v>14</v>
      </c>
      <c r="G309" s="17" t="s">
        <v>15</v>
      </c>
      <c r="H309" s="16" t="s">
        <v>11</v>
      </c>
      <c r="I309" s="18" t="s">
        <v>16</v>
      </c>
      <c r="J309" s="16" t="s">
        <v>14</v>
      </c>
      <c r="K309" s="19"/>
      <c r="L309" s="16" t="s">
        <v>11</v>
      </c>
      <c r="M309" s="19"/>
      <c r="N309" s="16" t="s">
        <v>11</v>
      </c>
      <c r="O309" s="19"/>
      <c r="P309" s="16" t="s">
        <v>11</v>
      </c>
      <c r="Q309" s="19"/>
      <c r="R309" s="16" t="s">
        <v>14</v>
      </c>
      <c r="S309" s="20"/>
      <c r="T309" s="21"/>
      <c r="U309" s="21" t="s">
        <v>23</v>
      </c>
    </row>
    <row r="310" ht="15.75" customHeight="1">
      <c r="A310" s="6">
        <v>309.0</v>
      </c>
      <c r="B310" s="7" t="s">
        <v>10</v>
      </c>
      <c r="C310" s="8" t="s">
        <v>11</v>
      </c>
      <c r="D310" s="7" t="s">
        <v>12</v>
      </c>
      <c r="E310" s="9" t="s">
        <v>13</v>
      </c>
      <c r="F310" s="8" t="s">
        <v>14</v>
      </c>
      <c r="G310" s="9" t="s">
        <v>15</v>
      </c>
      <c r="H310" s="8" t="s">
        <v>11</v>
      </c>
      <c r="I310" s="10" t="s">
        <v>16</v>
      </c>
      <c r="J310" s="8" t="s">
        <v>14</v>
      </c>
      <c r="K310" s="12"/>
      <c r="L310" s="8" t="s">
        <v>11</v>
      </c>
      <c r="M310" s="12"/>
      <c r="N310" s="8" t="s">
        <v>11</v>
      </c>
      <c r="O310" s="12"/>
      <c r="P310" s="8" t="s">
        <v>11</v>
      </c>
      <c r="Q310" s="12"/>
      <c r="R310" s="8" t="s">
        <v>14</v>
      </c>
      <c r="S310" s="13"/>
      <c r="T310" s="14"/>
      <c r="U310" s="14" t="s">
        <v>23</v>
      </c>
    </row>
    <row r="311" ht="15.75" customHeight="1">
      <c r="A311" s="6">
        <v>310.0</v>
      </c>
      <c r="B311" s="15" t="s">
        <v>10</v>
      </c>
      <c r="C311" s="16" t="s">
        <v>11</v>
      </c>
      <c r="D311" s="15" t="s">
        <v>12</v>
      </c>
      <c r="E311" s="17" t="s">
        <v>13</v>
      </c>
      <c r="F311" s="16" t="s">
        <v>14</v>
      </c>
      <c r="G311" s="17" t="s">
        <v>15</v>
      </c>
      <c r="H311" s="16" t="s">
        <v>11</v>
      </c>
      <c r="I311" s="18" t="s">
        <v>16</v>
      </c>
      <c r="J311" s="16" t="s">
        <v>14</v>
      </c>
      <c r="K311" s="19"/>
      <c r="L311" s="16" t="s">
        <v>11</v>
      </c>
      <c r="M311" s="19"/>
      <c r="N311" s="16" t="s">
        <v>11</v>
      </c>
      <c r="O311" s="19"/>
      <c r="P311" s="16" t="s">
        <v>11</v>
      </c>
      <c r="Q311" s="19"/>
      <c r="R311" s="16" t="s">
        <v>14</v>
      </c>
      <c r="S311" s="20"/>
      <c r="T311" s="21"/>
      <c r="U311" s="21" t="s">
        <v>23</v>
      </c>
    </row>
    <row r="312" ht="15.75" customHeight="1">
      <c r="A312" s="6">
        <v>311.0</v>
      </c>
      <c r="B312" s="7" t="s">
        <v>10</v>
      </c>
      <c r="C312" s="8" t="s">
        <v>11</v>
      </c>
      <c r="D312" s="7" t="s">
        <v>12</v>
      </c>
      <c r="E312" s="9" t="s">
        <v>13</v>
      </c>
      <c r="F312" s="8" t="s">
        <v>14</v>
      </c>
      <c r="G312" s="9" t="s">
        <v>15</v>
      </c>
      <c r="H312" s="8" t="s">
        <v>11</v>
      </c>
      <c r="I312" s="10" t="s">
        <v>16</v>
      </c>
      <c r="J312" s="8" t="s">
        <v>14</v>
      </c>
      <c r="K312" s="12"/>
      <c r="L312" s="8" t="s">
        <v>11</v>
      </c>
      <c r="M312" s="12"/>
      <c r="N312" s="8" t="s">
        <v>11</v>
      </c>
      <c r="O312" s="12"/>
      <c r="P312" s="8" t="s">
        <v>11</v>
      </c>
      <c r="Q312" s="12"/>
      <c r="R312" s="8" t="s">
        <v>14</v>
      </c>
      <c r="S312" s="13"/>
      <c r="T312" s="14"/>
      <c r="U312" s="14" t="s">
        <v>23</v>
      </c>
    </row>
    <row r="313" ht="15.75" customHeight="1">
      <c r="A313" s="6">
        <v>312.0</v>
      </c>
      <c r="B313" s="15" t="s">
        <v>10</v>
      </c>
      <c r="C313" s="16" t="s">
        <v>11</v>
      </c>
      <c r="D313" s="15" t="s">
        <v>12</v>
      </c>
      <c r="E313" s="17" t="s">
        <v>13</v>
      </c>
      <c r="F313" s="16" t="s">
        <v>14</v>
      </c>
      <c r="G313" s="17" t="s">
        <v>15</v>
      </c>
      <c r="H313" s="16" t="s">
        <v>11</v>
      </c>
      <c r="I313" s="18" t="s">
        <v>16</v>
      </c>
      <c r="J313" s="16" t="s">
        <v>14</v>
      </c>
      <c r="K313" s="19"/>
      <c r="L313" s="16" t="s">
        <v>11</v>
      </c>
      <c r="M313" s="19"/>
      <c r="N313" s="16" t="s">
        <v>11</v>
      </c>
      <c r="O313" s="19"/>
      <c r="P313" s="16" t="s">
        <v>11</v>
      </c>
      <c r="Q313" s="19"/>
      <c r="R313" s="16" t="s">
        <v>14</v>
      </c>
      <c r="S313" s="20"/>
      <c r="T313" s="21"/>
      <c r="U313" s="21" t="s">
        <v>23</v>
      </c>
    </row>
    <row r="314" ht="15.75" customHeight="1">
      <c r="A314" s="6">
        <v>313.0</v>
      </c>
      <c r="B314" s="7" t="s">
        <v>10</v>
      </c>
      <c r="C314" s="8" t="s">
        <v>11</v>
      </c>
      <c r="D314" s="7" t="s">
        <v>12</v>
      </c>
      <c r="E314" s="9" t="s">
        <v>13</v>
      </c>
      <c r="F314" s="8" t="s">
        <v>14</v>
      </c>
      <c r="G314" s="9" t="s">
        <v>15</v>
      </c>
      <c r="H314" s="8" t="s">
        <v>11</v>
      </c>
      <c r="I314" s="10" t="s">
        <v>16</v>
      </c>
      <c r="J314" s="8" t="s">
        <v>14</v>
      </c>
      <c r="K314" s="12"/>
      <c r="L314" s="8" t="s">
        <v>11</v>
      </c>
      <c r="M314" s="12"/>
      <c r="N314" s="8" t="s">
        <v>11</v>
      </c>
      <c r="O314" s="12"/>
      <c r="P314" s="8" t="s">
        <v>11</v>
      </c>
      <c r="Q314" s="12"/>
      <c r="R314" s="8" t="s">
        <v>14</v>
      </c>
      <c r="S314" s="13"/>
      <c r="T314" s="14"/>
      <c r="U314" s="14" t="s">
        <v>23</v>
      </c>
    </row>
    <row r="315" ht="15.75" customHeight="1">
      <c r="A315" s="6">
        <v>314.0</v>
      </c>
      <c r="B315" s="15" t="s">
        <v>10</v>
      </c>
      <c r="C315" s="16" t="s">
        <v>11</v>
      </c>
      <c r="D315" s="15" t="s">
        <v>12</v>
      </c>
      <c r="E315" s="17" t="s">
        <v>13</v>
      </c>
      <c r="F315" s="16" t="s">
        <v>14</v>
      </c>
      <c r="G315" s="17" t="s">
        <v>15</v>
      </c>
      <c r="H315" s="16" t="s">
        <v>11</v>
      </c>
      <c r="I315" s="18" t="s">
        <v>16</v>
      </c>
      <c r="J315" s="16" t="s">
        <v>14</v>
      </c>
      <c r="K315" s="19"/>
      <c r="L315" s="16" t="s">
        <v>11</v>
      </c>
      <c r="M315" s="19"/>
      <c r="N315" s="16" t="s">
        <v>11</v>
      </c>
      <c r="O315" s="19"/>
      <c r="P315" s="16" t="s">
        <v>11</v>
      </c>
      <c r="Q315" s="19"/>
      <c r="R315" s="16" t="s">
        <v>14</v>
      </c>
      <c r="S315" s="20"/>
      <c r="T315" s="21"/>
      <c r="U315" s="21" t="s">
        <v>23</v>
      </c>
    </row>
    <row r="316" ht="15.75" customHeight="1">
      <c r="A316" s="6">
        <v>315.0</v>
      </c>
      <c r="B316" s="7" t="s">
        <v>10</v>
      </c>
      <c r="C316" s="8" t="s">
        <v>11</v>
      </c>
      <c r="D316" s="7" t="s">
        <v>12</v>
      </c>
      <c r="E316" s="9" t="s">
        <v>13</v>
      </c>
      <c r="F316" s="8" t="s">
        <v>14</v>
      </c>
      <c r="G316" s="9" t="s">
        <v>15</v>
      </c>
      <c r="H316" s="8" t="s">
        <v>11</v>
      </c>
      <c r="I316" s="10" t="s">
        <v>16</v>
      </c>
      <c r="J316" s="8" t="s">
        <v>14</v>
      </c>
      <c r="K316" s="12"/>
      <c r="L316" s="8" t="s">
        <v>11</v>
      </c>
      <c r="M316" s="12"/>
      <c r="N316" s="8" t="s">
        <v>11</v>
      </c>
      <c r="O316" s="12"/>
      <c r="P316" s="8" t="s">
        <v>11</v>
      </c>
      <c r="Q316" s="12"/>
      <c r="R316" s="8" t="s">
        <v>14</v>
      </c>
      <c r="S316" s="13"/>
      <c r="T316" s="14"/>
      <c r="U316" s="14" t="s">
        <v>23</v>
      </c>
    </row>
    <row r="317" ht="15.75" customHeight="1">
      <c r="A317" s="6">
        <v>316.0</v>
      </c>
      <c r="B317" s="15" t="s">
        <v>10</v>
      </c>
      <c r="C317" s="16" t="s">
        <v>11</v>
      </c>
      <c r="D317" s="15" t="s">
        <v>12</v>
      </c>
      <c r="E317" s="17" t="s">
        <v>13</v>
      </c>
      <c r="F317" s="16" t="s">
        <v>14</v>
      </c>
      <c r="G317" s="17" t="s">
        <v>15</v>
      </c>
      <c r="H317" s="16" t="s">
        <v>11</v>
      </c>
      <c r="I317" s="18" t="s">
        <v>16</v>
      </c>
      <c r="J317" s="16" t="s">
        <v>14</v>
      </c>
      <c r="K317" s="19"/>
      <c r="L317" s="16" t="s">
        <v>11</v>
      </c>
      <c r="M317" s="19"/>
      <c r="N317" s="16" t="s">
        <v>11</v>
      </c>
      <c r="O317" s="19"/>
      <c r="P317" s="16" t="s">
        <v>11</v>
      </c>
      <c r="Q317" s="19"/>
      <c r="R317" s="16" t="s">
        <v>14</v>
      </c>
      <c r="S317" s="20"/>
      <c r="T317" s="21"/>
      <c r="U317" s="21" t="s">
        <v>23</v>
      </c>
    </row>
    <row r="318" ht="15.75" customHeight="1">
      <c r="A318" s="6">
        <v>317.0</v>
      </c>
      <c r="B318" s="7" t="s">
        <v>10</v>
      </c>
      <c r="C318" s="8" t="s">
        <v>11</v>
      </c>
      <c r="D318" s="7" t="s">
        <v>12</v>
      </c>
      <c r="E318" s="9" t="s">
        <v>13</v>
      </c>
      <c r="F318" s="8" t="s">
        <v>14</v>
      </c>
      <c r="G318" s="9" t="s">
        <v>15</v>
      </c>
      <c r="H318" s="8" t="s">
        <v>11</v>
      </c>
      <c r="I318" s="10" t="s">
        <v>16</v>
      </c>
      <c r="J318" s="8" t="s">
        <v>14</v>
      </c>
      <c r="K318" s="12"/>
      <c r="L318" s="8" t="s">
        <v>11</v>
      </c>
      <c r="M318" s="12"/>
      <c r="N318" s="8" t="s">
        <v>11</v>
      </c>
      <c r="O318" s="12"/>
      <c r="P318" s="8" t="s">
        <v>11</v>
      </c>
      <c r="Q318" s="12"/>
      <c r="R318" s="8" t="s">
        <v>14</v>
      </c>
      <c r="S318" s="13"/>
      <c r="T318" s="14"/>
      <c r="U318" s="14" t="s">
        <v>23</v>
      </c>
    </row>
    <row r="319" ht="15.75" customHeight="1">
      <c r="A319" s="6">
        <v>318.0</v>
      </c>
      <c r="B319" s="15" t="s">
        <v>10</v>
      </c>
      <c r="C319" s="16" t="s">
        <v>11</v>
      </c>
      <c r="D319" s="15" t="s">
        <v>12</v>
      </c>
      <c r="E319" s="17" t="s">
        <v>13</v>
      </c>
      <c r="F319" s="16" t="s">
        <v>14</v>
      </c>
      <c r="G319" s="17" t="s">
        <v>15</v>
      </c>
      <c r="H319" s="16" t="s">
        <v>11</v>
      </c>
      <c r="I319" s="18" t="s">
        <v>16</v>
      </c>
      <c r="J319" s="16" t="s">
        <v>14</v>
      </c>
      <c r="K319" s="19"/>
      <c r="L319" s="16" t="s">
        <v>11</v>
      </c>
      <c r="M319" s="19"/>
      <c r="N319" s="16" t="s">
        <v>11</v>
      </c>
      <c r="O319" s="19"/>
      <c r="P319" s="16" t="s">
        <v>11</v>
      </c>
      <c r="Q319" s="19"/>
      <c r="R319" s="16" t="s">
        <v>14</v>
      </c>
      <c r="S319" s="20"/>
      <c r="T319" s="21"/>
      <c r="U319" s="21" t="s">
        <v>23</v>
      </c>
    </row>
    <row r="320" ht="15.75" customHeight="1">
      <c r="A320" s="6">
        <v>319.0</v>
      </c>
      <c r="B320" s="7" t="s">
        <v>10</v>
      </c>
      <c r="C320" s="8" t="s">
        <v>11</v>
      </c>
      <c r="D320" s="7" t="s">
        <v>12</v>
      </c>
      <c r="E320" s="9" t="s">
        <v>13</v>
      </c>
      <c r="F320" s="8" t="s">
        <v>14</v>
      </c>
      <c r="G320" s="9" t="s">
        <v>15</v>
      </c>
      <c r="H320" s="8" t="s">
        <v>11</v>
      </c>
      <c r="I320" s="10" t="s">
        <v>16</v>
      </c>
      <c r="J320" s="8" t="s">
        <v>14</v>
      </c>
      <c r="K320" s="12"/>
      <c r="L320" s="8" t="s">
        <v>11</v>
      </c>
      <c r="M320" s="12"/>
      <c r="N320" s="8" t="s">
        <v>11</v>
      </c>
      <c r="O320" s="12"/>
      <c r="P320" s="8" t="s">
        <v>11</v>
      </c>
      <c r="Q320" s="12"/>
      <c r="R320" s="8" t="s">
        <v>14</v>
      </c>
      <c r="S320" s="13"/>
      <c r="T320" s="14"/>
      <c r="U320" s="14" t="s">
        <v>23</v>
      </c>
    </row>
    <row r="321" ht="15.75" customHeight="1">
      <c r="A321" s="6">
        <v>320.0</v>
      </c>
      <c r="B321" s="15" t="s">
        <v>10</v>
      </c>
      <c r="C321" s="16" t="s">
        <v>11</v>
      </c>
      <c r="D321" s="15" t="s">
        <v>12</v>
      </c>
      <c r="E321" s="17" t="s">
        <v>13</v>
      </c>
      <c r="F321" s="16" t="s">
        <v>14</v>
      </c>
      <c r="G321" s="17" t="s">
        <v>15</v>
      </c>
      <c r="H321" s="16" t="s">
        <v>11</v>
      </c>
      <c r="I321" s="18" t="s">
        <v>16</v>
      </c>
      <c r="J321" s="16" t="s">
        <v>14</v>
      </c>
      <c r="K321" s="19"/>
      <c r="L321" s="16" t="s">
        <v>11</v>
      </c>
      <c r="M321" s="19"/>
      <c r="N321" s="16" t="s">
        <v>11</v>
      </c>
      <c r="O321" s="19"/>
      <c r="P321" s="16" t="s">
        <v>11</v>
      </c>
      <c r="Q321" s="19"/>
      <c r="R321" s="16" t="s">
        <v>14</v>
      </c>
      <c r="S321" s="20"/>
      <c r="T321" s="21"/>
      <c r="U321" s="21" t="s">
        <v>23</v>
      </c>
    </row>
    <row r="322" ht="15.75" customHeight="1">
      <c r="A322" s="6">
        <v>321.0</v>
      </c>
      <c r="B322" s="7" t="s">
        <v>10</v>
      </c>
      <c r="C322" s="8" t="s">
        <v>11</v>
      </c>
      <c r="D322" s="7" t="s">
        <v>12</v>
      </c>
      <c r="E322" s="9" t="s">
        <v>13</v>
      </c>
      <c r="F322" s="8" t="s">
        <v>14</v>
      </c>
      <c r="G322" s="9" t="s">
        <v>15</v>
      </c>
      <c r="H322" s="8" t="s">
        <v>11</v>
      </c>
      <c r="I322" s="10" t="s">
        <v>16</v>
      </c>
      <c r="J322" s="8" t="s">
        <v>14</v>
      </c>
      <c r="K322" s="12"/>
      <c r="L322" s="8" t="s">
        <v>11</v>
      </c>
      <c r="M322" s="12"/>
      <c r="N322" s="8" t="s">
        <v>11</v>
      </c>
      <c r="O322" s="12"/>
      <c r="P322" s="8" t="s">
        <v>11</v>
      </c>
      <c r="Q322" s="12"/>
      <c r="R322" s="8" t="s">
        <v>14</v>
      </c>
      <c r="S322" s="13"/>
      <c r="T322" s="14"/>
      <c r="U322" s="14" t="s">
        <v>23</v>
      </c>
    </row>
    <row r="323" ht="15.75" customHeight="1">
      <c r="A323" s="6">
        <v>322.0</v>
      </c>
      <c r="B323" s="15" t="s">
        <v>10</v>
      </c>
      <c r="C323" s="16" t="s">
        <v>11</v>
      </c>
      <c r="D323" s="15" t="s">
        <v>12</v>
      </c>
      <c r="E323" s="17" t="s">
        <v>13</v>
      </c>
      <c r="F323" s="16" t="s">
        <v>14</v>
      </c>
      <c r="G323" s="17" t="s">
        <v>15</v>
      </c>
      <c r="H323" s="16" t="s">
        <v>11</v>
      </c>
      <c r="I323" s="18" t="s">
        <v>16</v>
      </c>
      <c r="J323" s="16" t="s">
        <v>14</v>
      </c>
      <c r="K323" s="19"/>
      <c r="L323" s="16" t="s">
        <v>11</v>
      </c>
      <c r="M323" s="19"/>
      <c r="N323" s="16" t="s">
        <v>11</v>
      </c>
      <c r="O323" s="19"/>
      <c r="P323" s="16" t="s">
        <v>11</v>
      </c>
      <c r="Q323" s="19"/>
      <c r="R323" s="16" t="s">
        <v>14</v>
      </c>
      <c r="S323" s="20"/>
      <c r="T323" s="21"/>
      <c r="U323" s="21" t="s">
        <v>23</v>
      </c>
    </row>
    <row r="324" ht="15.75" customHeight="1">
      <c r="A324" s="6">
        <v>323.0</v>
      </c>
      <c r="B324" s="7" t="s">
        <v>10</v>
      </c>
      <c r="C324" s="8" t="s">
        <v>11</v>
      </c>
      <c r="D324" s="7" t="s">
        <v>12</v>
      </c>
      <c r="E324" s="9" t="s">
        <v>13</v>
      </c>
      <c r="F324" s="8" t="s">
        <v>14</v>
      </c>
      <c r="G324" s="9" t="s">
        <v>15</v>
      </c>
      <c r="H324" s="8" t="s">
        <v>11</v>
      </c>
      <c r="I324" s="10" t="s">
        <v>16</v>
      </c>
      <c r="J324" s="8" t="s">
        <v>14</v>
      </c>
      <c r="K324" s="12"/>
      <c r="L324" s="8" t="s">
        <v>11</v>
      </c>
      <c r="M324" s="12"/>
      <c r="N324" s="8" t="s">
        <v>11</v>
      </c>
      <c r="O324" s="12"/>
      <c r="P324" s="8" t="s">
        <v>11</v>
      </c>
      <c r="Q324" s="12"/>
      <c r="R324" s="8" t="s">
        <v>14</v>
      </c>
      <c r="S324" s="13"/>
      <c r="T324" s="14"/>
      <c r="U324" s="14" t="s">
        <v>23</v>
      </c>
    </row>
    <row r="325" ht="15.75" customHeight="1">
      <c r="A325" s="6">
        <v>324.0</v>
      </c>
      <c r="B325" s="15" t="s">
        <v>10</v>
      </c>
      <c r="C325" s="16" t="s">
        <v>11</v>
      </c>
      <c r="D325" s="15" t="s">
        <v>12</v>
      </c>
      <c r="E325" s="17" t="s">
        <v>13</v>
      </c>
      <c r="F325" s="16" t="s">
        <v>14</v>
      </c>
      <c r="G325" s="17" t="s">
        <v>15</v>
      </c>
      <c r="H325" s="16" t="s">
        <v>11</v>
      </c>
      <c r="I325" s="18" t="s">
        <v>16</v>
      </c>
      <c r="J325" s="16" t="s">
        <v>14</v>
      </c>
      <c r="K325" s="19"/>
      <c r="L325" s="16" t="s">
        <v>11</v>
      </c>
      <c r="M325" s="19"/>
      <c r="N325" s="16" t="s">
        <v>11</v>
      </c>
      <c r="O325" s="19"/>
      <c r="P325" s="16" t="s">
        <v>11</v>
      </c>
      <c r="Q325" s="19"/>
      <c r="R325" s="16" t="s">
        <v>14</v>
      </c>
      <c r="S325" s="20"/>
      <c r="T325" s="21"/>
      <c r="U325" s="21" t="s">
        <v>23</v>
      </c>
    </row>
    <row r="326" ht="15.75" customHeight="1">
      <c r="A326" s="6">
        <v>325.0</v>
      </c>
      <c r="B326" s="7" t="s">
        <v>10</v>
      </c>
      <c r="C326" s="8" t="s">
        <v>11</v>
      </c>
      <c r="D326" s="7" t="s">
        <v>12</v>
      </c>
      <c r="E326" s="9" t="s">
        <v>13</v>
      </c>
      <c r="F326" s="8" t="s">
        <v>14</v>
      </c>
      <c r="G326" s="9" t="s">
        <v>15</v>
      </c>
      <c r="H326" s="8" t="s">
        <v>11</v>
      </c>
      <c r="I326" s="10" t="s">
        <v>16</v>
      </c>
      <c r="J326" s="8" t="s">
        <v>14</v>
      </c>
      <c r="K326" s="12"/>
      <c r="L326" s="8" t="s">
        <v>11</v>
      </c>
      <c r="M326" s="12"/>
      <c r="N326" s="8" t="s">
        <v>11</v>
      </c>
      <c r="O326" s="12"/>
      <c r="P326" s="8" t="s">
        <v>11</v>
      </c>
      <c r="Q326" s="12"/>
      <c r="R326" s="8" t="s">
        <v>14</v>
      </c>
      <c r="S326" s="13"/>
      <c r="T326" s="14"/>
      <c r="U326" s="14" t="s">
        <v>23</v>
      </c>
    </row>
    <row r="327" ht="15.75" customHeight="1">
      <c r="A327" s="6">
        <v>326.0</v>
      </c>
      <c r="B327" s="15" t="s">
        <v>10</v>
      </c>
      <c r="C327" s="16" t="s">
        <v>11</v>
      </c>
      <c r="D327" s="15" t="s">
        <v>12</v>
      </c>
      <c r="E327" s="17" t="s">
        <v>13</v>
      </c>
      <c r="F327" s="16" t="s">
        <v>14</v>
      </c>
      <c r="G327" s="17" t="s">
        <v>15</v>
      </c>
      <c r="H327" s="16" t="s">
        <v>11</v>
      </c>
      <c r="I327" s="18" t="s">
        <v>16</v>
      </c>
      <c r="J327" s="16" t="s">
        <v>14</v>
      </c>
      <c r="K327" s="19"/>
      <c r="L327" s="16" t="s">
        <v>11</v>
      </c>
      <c r="M327" s="19"/>
      <c r="N327" s="16" t="s">
        <v>11</v>
      </c>
      <c r="O327" s="19"/>
      <c r="P327" s="16" t="s">
        <v>11</v>
      </c>
      <c r="Q327" s="19"/>
      <c r="R327" s="16" t="s">
        <v>14</v>
      </c>
      <c r="S327" s="20"/>
      <c r="T327" s="21"/>
      <c r="U327" s="21" t="s">
        <v>23</v>
      </c>
    </row>
    <row r="328" ht="15.75" customHeight="1">
      <c r="A328" s="6">
        <v>327.0</v>
      </c>
      <c r="B328" s="7" t="s">
        <v>10</v>
      </c>
      <c r="C328" s="8" t="s">
        <v>11</v>
      </c>
      <c r="D328" s="7" t="s">
        <v>12</v>
      </c>
      <c r="E328" s="9" t="s">
        <v>13</v>
      </c>
      <c r="F328" s="8" t="s">
        <v>14</v>
      </c>
      <c r="G328" s="9" t="s">
        <v>15</v>
      </c>
      <c r="H328" s="8" t="s">
        <v>11</v>
      </c>
      <c r="I328" s="10" t="s">
        <v>16</v>
      </c>
      <c r="J328" s="8" t="s">
        <v>14</v>
      </c>
      <c r="K328" s="12"/>
      <c r="L328" s="8" t="s">
        <v>11</v>
      </c>
      <c r="M328" s="12"/>
      <c r="N328" s="8" t="s">
        <v>11</v>
      </c>
      <c r="O328" s="12"/>
      <c r="P328" s="8" t="s">
        <v>11</v>
      </c>
      <c r="Q328" s="12"/>
      <c r="R328" s="8" t="s">
        <v>14</v>
      </c>
      <c r="S328" s="13"/>
      <c r="T328" s="14"/>
      <c r="U328" s="14" t="s">
        <v>23</v>
      </c>
    </row>
    <row r="329" ht="15.75" customHeight="1">
      <c r="A329" s="6">
        <v>328.0</v>
      </c>
      <c r="B329" s="15" t="s">
        <v>10</v>
      </c>
      <c r="C329" s="16" t="s">
        <v>11</v>
      </c>
      <c r="D329" s="15" t="s">
        <v>12</v>
      </c>
      <c r="E329" s="17" t="s">
        <v>13</v>
      </c>
      <c r="F329" s="16" t="s">
        <v>14</v>
      </c>
      <c r="G329" s="17" t="s">
        <v>15</v>
      </c>
      <c r="H329" s="16" t="s">
        <v>11</v>
      </c>
      <c r="I329" s="18" t="s">
        <v>16</v>
      </c>
      <c r="J329" s="16" t="s">
        <v>14</v>
      </c>
      <c r="K329" s="19"/>
      <c r="L329" s="16" t="s">
        <v>11</v>
      </c>
      <c r="M329" s="19"/>
      <c r="N329" s="16" t="s">
        <v>11</v>
      </c>
      <c r="O329" s="19"/>
      <c r="P329" s="16" t="s">
        <v>11</v>
      </c>
      <c r="Q329" s="19"/>
      <c r="R329" s="16" t="s">
        <v>14</v>
      </c>
      <c r="S329" s="20"/>
      <c r="T329" s="21"/>
      <c r="U329" s="21" t="s">
        <v>23</v>
      </c>
    </row>
    <row r="330" ht="15.75" customHeight="1">
      <c r="A330" s="6">
        <v>329.0</v>
      </c>
      <c r="B330" s="7" t="s">
        <v>10</v>
      </c>
      <c r="C330" s="8" t="s">
        <v>11</v>
      </c>
      <c r="D330" s="7" t="s">
        <v>12</v>
      </c>
      <c r="E330" s="9" t="s">
        <v>13</v>
      </c>
      <c r="F330" s="8" t="s">
        <v>14</v>
      </c>
      <c r="G330" s="9" t="s">
        <v>15</v>
      </c>
      <c r="H330" s="8" t="s">
        <v>11</v>
      </c>
      <c r="I330" s="10" t="s">
        <v>16</v>
      </c>
      <c r="J330" s="8" t="s">
        <v>14</v>
      </c>
      <c r="K330" s="12"/>
      <c r="L330" s="8" t="s">
        <v>11</v>
      </c>
      <c r="M330" s="12"/>
      <c r="N330" s="8" t="s">
        <v>11</v>
      </c>
      <c r="O330" s="12"/>
      <c r="P330" s="8" t="s">
        <v>11</v>
      </c>
      <c r="Q330" s="12"/>
      <c r="R330" s="8" t="s">
        <v>14</v>
      </c>
      <c r="S330" s="13"/>
      <c r="T330" s="14"/>
      <c r="U330" s="14" t="s">
        <v>23</v>
      </c>
    </row>
    <row r="331" ht="15.75" customHeight="1">
      <c r="A331" s="6">
        <v>330.0</v>
      </c>
      <c r="B331" s="15" t="s">
        <v>10</v>
      </c>
      <c r="C331" s="16" t="s">
        <v>11</v>
      </c>
      <c r="D331" s="15" t="s">
        <v>12</v>
      </c>
      <c r="E331" s="17" t="s">
        <v>13</v>
      </c>
      <c r="F331" s="16" t="s">
        <v>14</v>
      </c>
      <c r="G331" s="17" t="s">
        <v>15</v>
      </c>
      <c r="H331" s="16" t="s">
        <v>11</v>
      </c>
      <c r="I331" s="18" t="s">
        <v>16</v>
      </c>
      <c r="J331" s="16" t="s">
        <v>14</v>
      </c>
      <c r="K331" s="19"/>
      <c r="L331" s="16" t="s">
        <v>11</v>
      </c>
      <c r="M331" s="19"/>
      <c r="N331" s="16" t="s">
        <v>11</v>
      </c>
      <c r="O331" s="19"/>
      <c r="P331" s="16" t="s">
        <v>11</v>
      </c>
      <c r="Q331" s="19"/>
      <c r="R331" s="16" t="s">
        <v>14</v>
      </c>
      <c r="S331" s="20"/>
      <c r="T331" s="21"/>
      <c r="U331" s="21" t="s">
        <v>23</v>
      </c>
    </row>
    <row r="332" ht="15.75" customHeight="1">
      <c r="A332" s="6">
        <v>331.0</v>
      </c>
      <c r="B332" s="7" t="s">
        <v>10</v>
      </c>
      <c r="C332" s="8" t="s">
        <v>11</v>
      </c>
      <c r="D332" s="7" t="s">
        <v>12</v>
      </c>
      <c r="E332" s="9" t="s">
        <v>13</v>
      </c>
      <c r="F332" s="8" t="s">
        <v>14</v>
      </c>
      <c r="G332" s="9" t="s">
        <v>15</v>
      </c>
      <c r="H332" s="8" t="s">
        <v>11</v>
      </c>
      <c r="I332" s="10" t="s">
        <v>16</v>
      </c>
      <c r="J332" s="8" t="s">
        <v>14</v>
      </c>
      <c r="K332" s="12"/>
      <c r="L332" s="8" t="s">
        <v>11</v>
      </c>
      <c r="M332" s="12"/>
      <c r="N332" s="8" t="s">
        <v>11</v>
      </c>
      <c r="O332" s="12"/>
      <c r="P332" s="8" t="s">
        <v>11</v>
      </c>
      <c r="Q332" s="12"/>
      <c r="R332" s="8" t="s">
        <v>14</v>
      </c>
      <c r="S332" s="13"/>
      <c r="T332" s="14"/>
      <c r="U332" s="14" t="s">
        <v>23</v>
      </c>
    </row>
    <row r="333" ht="15.75" customHeight="1">
      <c r="A333" s="6">
        <v>332.0</v>
      </c>
      <c r="B333" s="15" t="s">
        <v>10</v>
      </c>
      <c r="C333" s="16" t="s">
        <v>11</v>
      </c>
      <c r="D333" s="15" t="s">
        <v>12</v>
      </c>
      <c r="E333" s="17" t="s">
        <v>13</v>
      </c>
      <c r="F333" s="16" t="s">
        <v>14</v>
      </c>
      <c r="G333" s="17" t="s">
        <v>15</v>
      </c>
      <c r="H333" s="16" t="s">
        <v>11</v>
      </c>
      <c r="I333" s="18" t="s">
        <v>16</v>
      </c>
      <c r="J333" s="16" t="s">
        <v>14</v>
      </c>
      <c r="K333" s="19"/>
      <c r="L333" s="16" t="s">
        <v>11</v>
      </c>
      <c r="M333" s="19"/>
      <c r="N333" s="16" t="s">
        <v>11</v>
      </c>
      <c r="O333" s="19"/>
      <c r="P333" s="16" t="s">
        <v>11</v>
      </c>
      <c r="Q333" s="19"/>
      <c r="R333" s="16" t="s">
        <v>14</v>
      </c>
      <c r="S333" s="20"/>
      <c r="T333" s="21"/>
      <c r="U333" s="21" t="s">
        <v>23</v>
      </c>
    </row>
    <row r="334" ht="15.75" customHeight="1">
      <c r="A334" s="6">
        <v>333.0</v>
      </c>
      <c r="B334" s="7" t="s">
        <v>10</v>
      </c>
      <c r="C334" s="8" t="s">
        <v>11</v>
      </c>
      <c r="D334" s="7" t="s">
        <v>12</v>
      </c>
      <c r="E334" s="9" t="s">
        <v>13</v>
      </c>
      <c r="F334" s="8" t="s">
        <v>14</v>
      </c>
      <c r="G334" s="9" t="s">
        <v>15</v>
      </c>
      <c r="H334" s="8" t="s">
        <v>11</v>
      </c>
      <c r="I334" s="10" t="s">
        <v>16</v>
      </c>
      <c r="J334" s="8" t="s">
        <v>14</v>
      </c>
      <c r="K334" s="12"/>
      <c r="L334" s="8" t="s">
        <v>11</v>
      </c>
      <c r="M334" s="12"/>
      <c r="N334" s="8" t="s">
        <v>11</v>
      </c>
      <c r="O334" s="12"/>
      <c r="P334" s="8" t="s">
        <v>11</v>
      </c>
      <c r="Q334" s="12"/>
      <c r="R334" s="8" t="s">
        <v>14</v>
      </c>
      <c r="S334" s="13"/>
      <c r="T334" s="14"/>
      <c r="U334" s="14" t="s">
        <v>23</v>
      </c>
    </row>
    <row r="335" ht="15.75" customHeight="1">
      <c r="A335" s="6">
        <v>334.0</v>
      </c>
      <c r="B335" s="15" t="s">
        <v>10</v>
      </c>
      <c r="C335" s="16" t="s">
        <v>11</v>
      </c>
      <c r="D335" s="15" t="s">
        <v>12</v>
      </c>
      <c r="E335" s="17" t="s">
        <v>13</v>
      </c>
      <c r="F335" s="16" t="s">
        <v>14</v>
      </c>
      <c r="G335" s="17" t="s">
        <v>15</v>
      </c>
      <c r="H335" s="16" t="s">
        <v>11</v>
      </c>
      <c r="I335" s="18" t="s">
        <v>16</v>
      </c>
      <c r="J335" s="16" t="s">
        <v>14</v>
      </c>
      <c r="K335" s="19"/>
      <c r="L335" s="16" t="s">
        <v>11</v>
      </c>
      <c r="M335" s="19"/>
      <c r="N335" s="16" t="s">
        <v>11</v>
      </c>
      <c r="O335" s="19"/>
      <c r="P335" s="16" t="s">
        <v>11</v>
      </c>
      <c r="Q335" s="19"/>
      <c r="R335" s="16" t="s">
        <v>14</v>
      </c>
      <c r="S335" s="20"/>
      <c r="T335" s="21"/>
      <c r="U335" s="21" t="s">
        <v>23</v>
      </c>
    </row>
    <row r="336" ht="15.75" customHeight="1">
      <c r="A336" s="6">
        <v>335.0</v>
      </c>
      <c r="B336" s="7" t="s">
        <v>10</v>
      </c>
      <c r="C336" s="8" t="s">
        <v>11</v>
      </c>
      <c r="D336" s="7" t="s">
        <v>12</v>
      </c>
      <c r="E336" s="9" t="s">
        <v>13</v>
      </c>
      <c r="F336" s="8" t="s">
        <v>14</v>
      </c>
      <c r="G336" s="9" t="s">
        <v>15</v>
      </c>
      <c r="H336" s="8" t="s">
        <v>11</v>
      </c>
      <c r="I336" s="10" t="s">
        <v>16</v>
      </c>
      <c r="J336" s="8" t="s">
        <v>14</v>
      </c>
      <c r="K336" s="12"/>
      <c r="L336" s="8" t="s">
        <v>11</v>
      </c>
      <c r="M336" s="12"/>
      <c r="N336" s="8" t="s">
        <v>11</v>
      </c>
      <c r="O336" s="12"/>
      <c r="P336" s="8" t="s">
        <v>11</v>
      </c>
      <c r="Q336" s="12"/>
      <c r="R336" s="8" t="s">
        <v>14</v>
      </c>
      <c r="S336" s="13"/>
      <c r="T336" s="14"/>
      <c r="U336" s="14" t="s">
        <v>23</v>
      </c>
    </row>
    <row r="337" ht="15.75" customHeight="1">
      <c r="A337" s="6">
        <v>336.0</v>
      </c>
      <c r="B337" s="15" t="s">
        <v>10</v>
      </c>
      <c r="C337" s="16" t="s">
        <v>11</v>
      </c>
      <c r="D337" s="15" t="s">
        <v>12</v>
      </c>
      <c r="E337" s="17" t="s">
        <v>13</v>
      </c>
      <c r="F337" s="16" t="s">
        <v>14</v>
      </c>
      <c r="G337" s="17" t="s">
        <v>15</v>
      </c>
      <c r="H337" s="16" t="s">
        <v>11</v>
      </c>
      <c r="I337" s="18" t="s">
        <v>16</v>
      </c>
      <c r="J337" s="16" t="s">
        <v>14</v>
      </c>
      <c r="K337" s="19"/>
      <c r="L337" s="16" t="s">
        <v>11</v>
      </c>
      <c r="M337" s="19"/>
      <c r="N337" s="16" t="s">
        <v>11</v>
      </c>
      <c r="O337" s="19"/>
      <c r="P337" s="16" t="s">
        <v>11</v>
      </c>
      <c r="Q337" s="19"/>
      <c r="R337" s="16" t="s">
        <v>14</v>
      </c>
      <c r="S337" s="20"/>
      <c r="T337" s="21"/>
      <c r="U337" s="21" t="s">
        <v>23</v>
      </c>
    </row>
    <row r="338" ht="15.75" customHeight="1">
      <c r="A338" s="6">
        <v>337.0</v>
      </c>
      <c r="B338" s="7" t="s">
        <v>10</v>
      </c>
      <c r="C338" s="8" t="s">
        <v>11</v>
      </c>
      <c r="D338" s="7" t="s">
        <v>12</v>
      </c>
      <c r="E338" s="9" t="s">
        <v>13</v>
      </c>
      <c r="F338" s="8" t="s">
        <v>14</v>
      </c>
      <c r="G338" s="9" t="s">
        <v>15</v>
      </c>
      <c r="H338" s="8" t="s">
        <v>11</v>
      </c>
      <c r="I338" s="10" t="s">
        <v>16</v>
      </c>
      <c r="J338" s="8" t="s">
        <v>14</v>
      </c>
      <c r="K338" s="12"/>
      <c r="L338" s="8" t="s">
        <v>11</v>
      </c>
      <c r="M338" s="12"/>
      <c r="N338" s="8" t="s">
        <v>11</v>
      </c>
      <c r="O338" s="12"/>
      <c r="P338" s="8" t="s">
        <v>11</v>
      </c>
      <c r="Q338" s="12"/>
      <c r="R338" s="8" t="s">
        <v>14</v>
      </c>
      <c r="S338" s="13"/>
      <c r="T338" s="14"/>
      <c r="U338" s="14" t="s">
        <v>23</v>
      </c>
    </row>
    <row r="339" ht="15.75" customHeight="1">
      <c r="A339" s="6">
        <v>338.0</v>
      </c>
      <c r="B339" s="15" t="s">
        <v>10</v>
      </c>
      <c r="C339" s="16" t="s">
        <v>11</v>
      </c>
      <c r="D339" s="15" t="s">
        <v>12</v>
      </c>
      <c r="E339" s="17" t="s">
        <v>13</v>
      </c>
      <c r="F339" s="16" t="s">
        <v>14</v>
      </c>
      <c r="G339" s="17" t="s">
        <v>15</v>
      </c>
      <c r="H339" s="16" t="s">
        <v>11</v>
      </c>
      <c r="I339" s="18" t="s">
        <v>16</v>
      </c>
      <c r="J339" s="16" t="s">
        <v>14</v>
      </c>
      <c r="K339" s="19"/>
      <c r="L339" s="16" t="s">
        <v>11</v>
      </c>
      <c r="M339" s="19"/>
      <c r="N339" s="16" t="s">
        <v>11</v>
      </c>
      <c r="O339" s="19"/>
      <c r="P339" s="16" t="s">
        <v>11</v>
      </c>
      <c r="Q339" s="19"/>
      <c r="R339" s="16" t="s">
        <v>14</v>
      </c>
      <c r="S339" s="20"/>
      <c r="T339" s="21"/>
      <c r="U339" s="21" t="s">
        <v>23</v>
      </c>
    </row>
    <row r="340" ht="15.75" customHeight="1">
      <c r="A340" s="6">
        <v>339.0</v>
      </c>
      <c r="B340" s="7" t="s">
        <v>10</v>
      </c>
      <c r="C340" s="8" t="s">
        <v>11</v>
      </c>
      <c r="D340" s="7" t="s">
        <v>12</v>
      </c>
      <c r="E340" s="9" t="s">
        <v>13</v>
      </c>
      <c r="F340" s="8" t="s">
        <v>14</v>
      </c>
      <c r="G340" s="9" t="s">
        <v>15</v>
      </c>
      <c r="H340" s="8" t="s">
        <v>11</v>
      </c>
      <c r="I340" s="10" t="s">
        <v>16</v>
      </c>
      <c r="J340" s="8" t="s">
        <v>14</v>
      </c>
      <c r="K340" s="12"/>
      <c r="L340" s="8" t="s">
        <v>11</v>
      </c>
      <c r="M340" s="12"/>
      <c r="N340" s="8" t="s">
        <v>11</v>
      </c>
      <c r="O340" s="12"/>
      <c r="P340" s="8" t="s">
        <v>11</v>
      </c>
      <c r="Q340" s="12"/>
      <c r="R340" s="8" t="s">
        <v>14</v>
      </c>
      <c r="S340" s="13"/>
      <c r="T340" s="14"/>
      <c r="U340" s="14" t="s">
        <v>23</v>
      </c>
    </row>
    <row r="341" ht="15.75" customHeight="1">
      <c r="A341" s="6">
        <v>340.0</v>
      </c>
      <c r="B341" s="15" t="s">
        <v>10</v>
      </c>
      <c r="C341" s="16" t="s">
        <v>11</v>
      </c>
      <c r="D341" s="15" t="s">
        <v>12</v>
      </c>
      <c r="E341" s="17" t="s">
        <v>13</v>
      </c>
      <c r="F341" s="16" t="s">
        <v>14</v>
      </c>
      <c r="G341" s="17" t="s">
        <v>15</v>
      </c>
      <c r="H341" s="16" t="s">
        <v>11</v>
      </c>
      <c r="I341" s="18" t="s">
        <v>16</v>
      </c>
      <c r="J341" s="16" t="s">
        <v>14</v>
      </c>
      <c r="K341" s="19"/>
      <c r="L341" s="16" t="s">
        <v>11</v>
      </c>
      <c r="M341" s="19"/>
      <c r="N341" s="16" t="s">
        <v>11</v>
      </c>
      <c r="O341" s="19"/>
      <c r="P341" s="16" t="s">
        <v>11</v>
      </c>
      <c r="Q341" s="19"/>
      <c r="R341" s="16" t="s">
        <v>14</v>
      </c>
      <c r="S341" s="20"/>
      <c r="T341" s="21"/>
      <c r="U341" s="21" t="s">
        <v>23</v>
      </c>
    </row>
    <row r="342" ht="15.75" customHeight="1">
      <c r="A342" s="6">
        <v>341.0</v>
      </c>
      <c r="B342" s="7" t="s">
        <v>10</v>
      </c>
      <c r="C342" s="8" t="s">
        <v>11</v>
      </c>
      <c r="D342" s="7" t="s">
        <v>12</v>
      </c>
      <c r="E342" s="9" t="s">
        <v>13</v>
      </c>
      <c r="F342" s="8" t="s">
        <v>14</v>
      </c>
      <c r="G342" s="9" t="s">
        <v>15</v>
      </c>
      <c r="H342" s="8" t="s">
        <v>11</v>
      </c>
      <c r="I342" s="10" t="s">
        <v>16</v>
      </c>
      <c r="J342" s="8" t="s">
        <v>14</v>
      </c>
      <c r="K342" s="12"/>
      <c r="L342" s="8" t="s">
        <v>11</v>
      </c>
      <c r="M342" s="12"/>
      <c r="N342" s="8" t="s">
        <v>11</v>
      </c>
      <c r="O342" s="12"/>
      <c r="P342" s="8" t="s">
        <v>11</v>
      </c>
      <c r="Q342" s="12"/>
      <c r="R342" s="8" t="s">
        <v>14</v>
      </c>
      <c r="S342" s="13"/>
      <c r="T342" s="14"/>
      <c r="U342" s="14" t="s">
        <v>23</v>
      </c>
    </row>
    <row r="343" ht="15.75" customHeight="1">
      <c r="A343" s="6">
        <v>342.0</v>
      </c>
      <c r="B343" s="15" t="s">
        <v>10</v>
      </c>
      <c r="C343" s="16" t="s">
        <v>11</v>
      </c>
      <c r="D343" s="15" t="s">
        <v>12</v>
      </c>
      <c r="E343" s="17" t="s">
        <v>13</v>
      </c>
      <c r="F343" s="16" t="s">
        <v>14</v>
      </c>
      <c r="G343" s="17" t="s">
        <v>15</v>
      </c>
      <c r="H343" s="16" t="s">
        <v>11</v>
      </c>
      <c r="I343" s="18" t="s">
        <v>16</v>
      </c>
      <c r="J343" s="16" t="s">
        <v>14</v>
      </c>
      <c r="K343" s="19"/>
      <c r="L343" s="16" t="s">
        <v>11</v>
      </c>
      <c r="M343" s="19"/>
      <c r="N343" s="16" t="s">
        <v>11</v>
      </c>
      <c r="O343" s="19"/>
      <c r="P343" s="16" t="s">
        <v>11</v>
      </c>
      <c r="Q343" s="19"/>
      <c r="R343" s="16" t="s">
        <v>14</v>
      </c>
      <c r="S343" s="20"/>
      <c r="T343" s="21"/>
      <c r="U343" s="21" t="s">
        <v>23</v>
      </c>
    </row>
    <row r="344" ht="15.75" customHeight="1">
      <c r="A344" s="6">
        <v>343.0</v>
      </c>
      <c r="B344" s="7" t="s">
        <v>10</v>
      </c>
      <c r="C344" s="8" t="s">
        <v>11</v>
      </c>
      <c r="D344" s="7" t="s">
        <v>12</v>
      </c>
      <c r="E344" s="9" t="s">
        <v>13</v>
      </c>
      <c r="F344" s="8" t="s">
        <v>14</v>
      </c>
      <c r="G344" s="9" t="s">
        <v>15</v>
      </c>
      <c r="H344" s="8" t="s">
        <v>11</v>
      </c>
      <c r="I344" s="10" t="s">
        <v>16</v>
      </c>
      <c r="J344" s="8" t="s">
        <v>14</v>
      </c>
      <c r="K344" s="12"/>
      <c r="L344" s="8" t="s">
        <v>11</v>
      </c>
      <c r="M344" s="12"/>
      <c r="N344" s="8" t="s">
        <v>11</v>
      </c>
      <c r="O344" s="12"/>
      <c r="P344" s="8" t="s">
        <v>11</v>
      </c>
      <c r="Q344" s="12"/>
      <c r="R344" s="8" t="s">
        <v>14</v>
      </c>
      <c r="S344" s="13"/>
      <c r="T344" s="14"/>
      <c r="U344" s="14" t="s">
        <v>23</v>
      </c>
    </row>
    <row r="345" ht="15.75" customHeight="1">
      <c r="A345" s="6">
        <v>344.0</v>
      </c>
      <c r="B345" s="15" t="s">
        <v>10</v>
      </c>
      <c r="C345" s="16" t="s">
        <v>11</v>
      </c>
      <c r="D345" s="15" t="s">
        <v>12</v>
      </c>
      <c r="E345" s="17" t="s">
        <v>13</v>
      </c>
      <c r="F345" s="16" t="s">
        <v>14</v>
      </c>
      <c r="G345" s="17" t="s">
        <v>15</v>
      </c>
      <c r="H345" s="16" t="s">
        <v>11</v>
      </c>
      <c r="I345" s="18" t="s">
        <v>16</v>
      </c>
      <c r="J345" s="16" t="s">
        <v>14</v>
      </c>
      <c r="K345" s="19"/>
      <c r="L345" s="16" t="s">
        <v>11</v>
      </c>
      <c r="M345" s="19"/>
      <c r="N345" s="16" t="s">
        <v>11</v>
      </c>
      <c r="O345" s="19"/>
      <c r="P345" s="16" t="s">
        <v>11</v>
      </c>
      <c r="Q345" s="19"/>
      <c r="R345" s="16" t="s">
        <v>14</v>
      </c>
      <c r="S345" s="20"/>
      <c r="T345" s="21"/>
      <c r="U345" s="21" t="s">
        <v>23</v>
      </c>
    </row>
    <row r="346" ht="15.75" customHeight="1">
      <c r="A346" s="6">
        <v>345.0</v>
      </c>
      <c r="B346" s="7" t="s">
        <v>10</v>
      </c>
      <c r="C346" s="8" t="s">
        <v>11</v>
      </c>
      <c r="D346" s="7" t="s">
        <v>12</v>
      </c>
      <c r="E346" s="9" t="s">
        <v>13</v>
      </c>
      <c r="F346" s="8" t="s">
        <v>14</v>
      </c>
      <c r="G346" s="9" t="s">
        <v>15</v>
      </c>
      <c r="H346" s="8" t="s">
        <v>11</v>
      </c>
      <c r="I346" s="10" t="s">
        <v>16</v>
      </c>
      <c r="J346" s="8" t="s">
        <v>14</v>
      </c>
      <c r="K346" s="12"/>
      <c r="L346" s="8" t="s">
        <v>11</v>
      </c>
      <c r="M346" s="12"/>
      <c r="N346" s="8" t="s">
        <v>11</v>
      </c>
      <c r="O346" s="12"/>
      <c r="P346" s="8" t="s">
        <v>11</v>
      </c>
      <c r="Q346" s="12"/>
      <c r="R346" s="8" t="s">
        <v>14</v>
      </c>
      <c r="S346" s="13"/>
      <c r="T346" s="14"/>
      <c r="U346" s="14" t="s">
        <v>23</v>
      </c>
    </row>
    <row r="347" ht="15.75" customHeight="1">
      <c r="A347" s="6">
        <v>346.0</v>
      </c>
      <c r="B347" s="15" t="s">
        <v>10</v>
      </c>
      <c r="C347" s="16" t="s">
        <v>11</v>
      </c>
      <c r="D347" s="15" t="s">
        <v>12</v>
      </c>
      <c r="E347" s="17" t="s">
        <v>13</v>
      </c>
      <c r="F347" s="16" t="s">
        <v>14</v>
      </c>
      <c r="G347" s="17" t="s">
        <v>15</v>
      </c>
      <c r="H347" s="16" t="s">
        <v>11</v>
      </c>
      <c r="I347" s="18" t="s">
        <v>16</v>
      </c>
      <c r="J347" s="16" t="s">
        <v>14</v>
      </c>
      <c r="K347" s="19"/>
      <c r="L347" s="16" t="s">
        <v>11</v>
      </c>
      <c r="M347" s="19"/>
      <c r="N347" s="16" t="s">
        <v>11</v>
      </c>
      <c r="O347" s="19"/>
      <c r="P347" s="16" t="s">
        <v>11</v>
      </c>
      <c r="Q347" s="19"/>
      <c r="R347" s="16" t="s">
        <v>14</v>
      </c>
      <c r="S347" s="20"/>
      <c r="T347" s="21"/>
      <c r="U347" s="21" t="s">
        <v>23</v>
      </c>
    </row>
    <row r="348" ht="15.75" customHeight="1">
      <c r="A348" s="6">
        <v>347.0</v>
      </c>
      <c r="B348" s="7" t="s">
        <v>10</v>
      </c>
      <c r="C348" s="8" t="s">
        <v>11</v>
      </c>
      <c r="D348" s="7" t="s">
        <v>12</v>
      </c>
      <c r="E348" s="9" t="s">
        <v>13</v>
      </c>
      <c r="F348" s="8" t="s">
        <v>14</v>
      </c>
      <c r="G348" s="9" t="s">
        <v>15</v>
      </c>
      <c r="H348" s="8" t="s">
        <v>11</v>
      </c>
      <c r="I348" s="10" t="s">
        <v>16</v>
      </c>
      <c r="J348" s="8" t="s">
        <v>14</v>
      </c>
      <c r="K348" s="12"/>
      <c r="L348" s="8" t="s">
        <v>11</v>
      </c>
      <c r="M348" s="12"/>
      <c r="N348" s="8" t="s">
        <v>11</v>
      </c>
      <c r="O348" s="12"/>
      <c r="P348" s="8" t="s">
        <v>11</v>
      </c>
      <c r="Q348" s="12"/>
      <c r="R348" s="8" t="s">
        <v>14</v>
      </c>
      <c r="S348" s="13"/>
      <c r="T348" s="14"/>
      <c r="U348" s="14" t="s">
        <v>23</v>
      </c>
    </row>
    <row r="349" ht="15.75" customHeight="1">
      <c r="A349" s="6">
        <v>348.0</v>
      </c>
      <c r="B349" s="15" t="s">
        <v>10</v>
      </c>
      <c r="C349" s="16" t="s">
        <v>11</v>
      </c>
      <c r="D349" s="15" t="s">
        <v>12</v>
      </c>
      <c r="E349" s="17" t="s">
        <v>13</v>
      </c>
      <c r="F349" s="16" t="s">
        <v>14</v>
      </c>
      <c r="G349" s="17" t="s">
        <v>15</v>
      </c>
      <c r="H349" s="16" t="s">
        <v>11</v>
      </c>
      <c r="I349" s="18" t="s">
        <v>16</v>
      </c>
      <c r="J349" s="16" t="s">
        <v>14</v>
      </c>
      <c r="K349" s="19"/>
      <c r="L349" s="16" t="s">
        <v>11</v>
      </c>
      <c r="M349" s="19"/>
      <c r="N349" s="16" t="s">
        <v>11</v>
      </c>
      <c r="O349" s="19"/>
      <c r="P349" s="16" t="s">
        <v>11</v>
      </c>
      <c r="Q349" s="19"/>
      <c r="R349" s="16" t="s">
        <v>14</v>
      </c>
      <c r="S349" s="20"/>
      <c r="T349" s="21"/>
      <c r="U349" s="21" t="s">
        <v>23</v>
      </c>
    </row>
    <row r="350" ht="15.75" customHeight="1">
      <c r="A350" s="6">
        <v>349.0</v>
      </c>
      <c r="B350" s="7" t="s">
        <v>10</v>
      </c>
      <c r="C350" s="8" t="s">
        <v>11</v>
      </c>
      <c r="D350" s="7" t="s">
        <v>12</v>
      </c>
      <c r="E350" s="9" t="s">
        <v>13</v>
      </c>
      <c r="F350" s="8" t="s">
        <v>14</v>
      </c>
      <c r="G350" s="9" t="s">
        <v>15</v>
      </c>
      <c r="H350" s="8" t="s">
        <v>11</v>
      </c>
      <c r="I350" s="10" t="s">
        <v>16</v>
      </c>
      <c r="J350" s="8" t="s">
        <v>14</v>
      </c>
      <c r="K350" s="12"/>
      <c r="L350" s="8" t="s">
        <v>11</v>
      </c>
      <c r="M350" s="12"/>
      <c r="N350" s="8" t="s">
        <v>11</v>
      </c>
      <c r="O350" s="12"/>
      <c r="P350" s="8" t="s">
        <v>11</v>
      </c>
      <c r="Q350" s="12"/>
      <c r="R350" s="8" t="s">
        <v>14</v>
      </c>
      <c r="S350" s="13"/>
      <c r="T350" s="14"/>
      <c r="U350" s="14" t="s">
        <v>23</v>
      </c>
    </row>
    <row r="351" ht="15.75" customHeight="1">
      <c r="A351" s="6">
        <v>350.0</v>
      </c>
      <c r="B351" s="15" t="s">
        <v>10</v>
      </c>
      <c r="C351" s="16" t="s">
        <v>11</v>
      </c>
      <c r="D351" s="15" t="s">
        <v>12</v>
      </c>
      <c r="E351" s="17" t="s">
        <v>13</v>
      </c>
      <c r="F351" s="16" t="s">
        <v>14</v>
      </c>
      <c r="G351" s="17" t="s">
        <v>15</v>
      </c>
      <c r="H351" s="16" t="s">
        <v>11</v>
      </c>
      <c r="I351" s="18" t="s">
        <v>16</v>
      </c>
      <c r="J351" s="16" t="s">
        <v>14</v>
      </c>
      <c r="K351" s="19"/>
      <c r="L351" s="16" t="s">
        <v>11</v>
      </c>
      <c r="M351" s="19"/>
      <c r="N351" s="16" t="s">
        <v>11</v>
      </c>
      <c r="O351" s="19"/>
      <c r="P351" s="16" t="s">
        <v>11</v>
      </c>
      <c r="Q351" s="19"/>
      <c r="R351" s="16" t="s">
        <v>14</v>
      </c>
      <c r="S351" s="20"/>
      <c r="T351" s="21"/>
      <c r="U351" s="21" t="s">
        <v>23</v>
      </c>
    </row>
    <row r="352" ht="15.75" customHeight="1">
      <c r="A352" s="6">
        <v>351.0</v>
      </c>
      <c r="B352" s="7" t="s">
        <v>10</v>
      </c>
      <c r="C352" s="8" t="s">
        <v>11</v>
      </c>
      <c r="D352" s="7" t="s">
        <v>12</v>
      </c>
      <c r="E352" s="9" t="s">
        <v>13</v>
      </c>
      <c r="F352" s="8" t="s">
        <v>14</v>
      </c>
      <c r="G352" s="9" t="s">
        <v>15</v>
      </c>
      <c r="H352" s="8" t="s">
        <v>11</v>
      </c>
      <c r="I352" s="10" t="s">
        <v>16</v>
      </c>
      <c r="J352" s="8" t="s">
        <v>14</v>
      </c>
      <c r="K352" s="12"/>
      <c r="L352" s="8" t="s">
        <v>11</v>
      </c>
      <c r="M352" s="12"/>
      <c r="N352" s="8" t="s">
        <v>11</v>
      </c>
      <c r="O352" s="12"/>
      <c r="P352" s="8" t="s">
        <v>11</v>
      </c>
      <c r="Q352" s="12"/>
      <c r="R352" s="8" t="s">
        <v>14</v>
      </c>
      <c r="S352" s="13"/>
      <c r="T352" s="14"/>
      <c r="U352" s="14" t="s">
        <v>23</v>
      </c>
    </row>
    <row r="353" ht="15.75" customHeight="1">
      <c r="A353" s="6">
        <v>352.0</v>
      </c>
      <c r="B353" s="15" t="s">
        <v>10</v>
      </c>
      <c r="C353" s="16" t="s">
        <v>11</v>
      </c>
      <c r="D353" s="15" t="s">
        <v>12</v>
      </c>
      <c r="E353" s="17" t="s">
        <v>13</v>
      </c>
      <c r="F353" s="16" t="s">
        <v>14</v>
      </c>
      <c r="G353" s="17" t="s">
        <v>15</v>
      </c>
      <c r="H353" s="16" t="s">
        <v>11</v>
      </c>
      <c r="I353" s="18" t="s">
        <v>16</v>
      </c>
      <c r="J353" s="16" t="s">
        <v>14</v>
      </c>
      <c r="K353" s="19"/>
      <c r="L353" s="16" t="s">
        <v>11</v>
      </c>
      <c r="M353" s="19"/>
      <c r="N353" s="16" t="s">
        <v>11</v>
      </c>
      <c r="O353" s="19"/>
      <c r="P353" s="16" t="s">
        <v>11</v>
      </c>
      <c r="Q353" s="19"/>
      <c r="R353" s="16" t="s">
        <v>14</v>
      </c>
      <c r="S353" s="20"/>
      <c r="T353" s="21"/>
      <c r="U353" s="21" t="s">
        <v>23</v>
      </c>
    </row>
    <row r="354" ht="15.75" customHeight="1">
      <c r="A354" s="6">
        <v>353.0</v>
      </c>
      <c r="B354" s="7" t="s">
        <v>10</v>
      </c>
      <c r="C354" s="8" t="s">
        <v>11</v>
      </c>
      <c r="D354" s="7" t="s">
        <v>12</v>
      </c>
      <c r="E354" s="9" t="s">
        <v>13</v>
      </c>
      <c r="F354" s="8" t="s">
        <v>14</v>
      </c>
      <c r="G354" s="9" t="s">
        <v>15</v>
      </c>
      <c r="H354" s="8" t="s">
        <v>11</v>
      </c>
      <c r="I354" s="10" t="s">
        <v>16</v>
      </c>
      <c r="J354" s="8" t="s">
        <v>14</v>
      </c>
      <c r="K354" s="12"/>
      <c r="L354" s="8" t="s">
        <v>11</v>
      </c>
      <c r="M354" s="12"/>
      <c r="N354" s="8" t="s">
        <v>11</v>
      </c>
      <c r="O354" s="12"/>
      <c r="P354" s="8" t="s">
        <v>11</v>
      </c>
      <c r="Q354" s="12"/>
      <c r="R354" s="8" t="s">
        <v>14</v>
      </c>
      <c r="S354" s="13"/>
      <c r="T354" s="14"/>
      <c r="U354" s="14" t="s">
        <v>23</v>
      </c>
    </row>
    <row r="355" ht="15.75" customHeight="1">
      <c r="A355" s="6">
        <v>354.0</v>
      </c>
      <c r="B355" s="15" t="s">
        <v>10</v>
      </c>
      <c r="C355" s="16" t="s">
        <v>11</v>
      </c>
      <c r="D355" s="15" t="s">
        <v>12</v>
      </c>
      <c r="E355" s="17" t="s">
        <v>13</v>
      </c>
      <c r="F355" s="16" t="s">
        <v>14</v>
      </c>
      <c r="G355" s="17" t="s">
        <v>15</v>
      </c>
      <c r="H355" s="16" t="s">
        <v>11</v>
      </c>
      <c r="I355" s="18" t="s">
        <v>16</v>
      </c>
      <c r="J355" s="16" t="s">
        <v>14</v>
      </c>
      <c r="K355" s="19"/>
      <c r="L355" s="16" t="s">
        <v>11</v>
      </c>
      <c r="M355" s="19"/>
      <c r="N355" s="16" t="s">
        <v>11</v>
      </c>
      <c r="O355" s="19"/>
      <c r="P355" s="16" t="s">
        <v>11</v>
      </c>
      <c r="Q355" s="19"/>
      <c r="R355" s="16" t="s">
        <v>14</v>
      </c>
      <c r="S355" s="20"/>
      <c r="T355" s="21"/>
      <c r="U355" s="21" t="s">
        <v>23</v>
      </c>
    </row>
    <row r="356" ht="15.75" customHeight="1">
      <c r="A356" s="6">
        <v>355.0</v>
      </c>
      <c r="B356" s="7" t="s">
        <v>10</v>
      </c>
      <c r="C356" s="8" t="s">
        <v>11</v>
      </c>
      <c r="D356" s="7" t="s">
        <v>12</v>
      </c>
      <c r="E356" s="9" t="s">
        <v>13</v>
      </c>
      <c r="F356" s="8" t="s">
        <v>14</v>
      </c>
      <c r="G356" s="9" t="s">
        <v>15</v>
      </c>
      <c r="H356" s="8" t="s">
        <v>11</v>
      </c>
      <c r="I356" s="10" t="s">
        <v>16</v>
      </c>
      <c r="J356" s="8" t="s">
        <v>14</v>
      </c>
      <c r="K356" s="12"/>
      <c r="L356" s="8" t="s">
        <v>11</v>
      </c>
      <c r="M356" s="12"/>
      <c r="N356" s="8" t="s">
        <v>11</v>
      </c>
      <c r="O356" s="12"/>
      <c r="P356" s="8" t="s">
        <v>11</v>
      </c>
      <c r="Q356" s="12"/>
      <c r="R356" s="8" t="s">
        <v>14</v>
      </c>
      <c r="S356" s="13"/>
      <c r="T356" s="14"/>
      <c r="U356" s="14" t="s">
        <v>23</v>
      </c>
    </row>
    <row r="357" ht="15.75" customHeight="1">
      <c r="A357" s="6">
        <v>356.0</v>
      </c>
      <c r="B357" s="15" t="s">
        <v>10</v>
      </c>
      <c r="C357" s="16" t="s">
        <v>11</v>
      </c>
      <c r="D357" s="15" t="s">
        <v>12</v>
      </c>
      <c r="E357" s="17" t="s">
        <v>13</v>
      </c>
      <c r="F357" s="16" t="s">
        <v>14</v>
      </c>
      <c r="G357" s="17" t="s">
        <v>15</v>
      </c>
      <c r="H357" s="16" t="s">
        <v>11</v>
      </c>
      <c r="I357" s="18" t="s">
        <v>16</v>
      </c>
      <c r="J357" s="16" t="s">
        <v>14</v>
      </c>
      <c r="K357" s="19"/>
      <c r="L357" s="16" t="s">
        <v>11</v>
      </c>
      <c r="M357" s="19"/>
      <c r="N357" s="16" t="s">
        <v>11</v>
      </c>
      <c r="O357" s="19"/>
      <c r="P357" s="16" t="s">
        <v>11</v>
      </c>
      <c r="Q357" s="19"/>
      <c r="R357" s="16" t="s">
        <v>14</v>
      </c>
      <c r="S357" s="20"/>
      <c r="T357" s="21"/>
      <c r="U357" s="21" t="s">
        <v>23</v>
      </c>
    </row>
    <row r="358" ht="15.75" customHeight="1">
      <c r="A358" s="6">
        <v>357.0</v>
      </c>
      <c r="B358" s="7" t="s">
        <v>10</v>
      </c>
      <c r="C358" s="8" t="s">
        <v>11</v>
      </c>
      <c r="D358" s="7" t="s">
        <v>12</v>
      </c>
      <c r="E358" s="9" t="s">
        <v>13</v>
      </c>
      <c r="F358" s="8" t="s">
        <v>14</v>
      </c>
      <c r="G358" s="9" t="s">
        <v>15</v>
      </c>
      <c r="H358" s="8" t="s">
        <v>11</v>
      </c>
      <c r="I358" s="10" t="s">
        <v>16</v>
      </c>
      <c r="J358" s="8" t="s">
        <v>14</v>
      </c>
      <c r="K358" s="12"/>
      <c r="L358" s="8" t="s">
        <v>11</v>
      </c>
      <c r="M358" s="12"/>
      <c r="N358" s="8" t="s">
        <v>11</v>
      </c>
      <c r="O358" s="12"/>
      <c r="P358" s="8" t="s">
        <v>11</v>
      </c>
      <c r="Q358" s="12"/>
      <c r="R358" s="8" t="s">
        <v>14</v>
      </c>
      <c r="S358" s="13"/>
      <c r="T358" s="14"/>
      <c r="U358" s="14" t="s">
        <v>23</v>
      </c>
    </row>
    <row r="359" ht="15.75" customHeight="1">
      <c r="A359" s="6">
        <v>358.0</v>
      </c>
      <c r="B359" s="15" t="s">
        <v>10</v>
      </c>
      <c r="C359" s="16" t="s">
        <v>11</v>
      </c>
      <c r="D359" s="15" t="s">
        <v>12</v>
      </c>
      <c r="E359" s="17" t="s">
        <v>13</v>
      </c>
      <c r="F359" s="16" t="s">
        <v>14</v>
      </c>
      <c r="G359" s="17" t="s">
        <v>15</v>
      </c>
      <c r="H359" s="16" t="s">
        <v>11</v>
      </c>
      <c r="I359" s="18" t="s">
        <v>16</v>
      </c>
      <c r="J359" s="16" t="s">
        <v>14</v>
      </c>
      <c r="K359" s="19"/>
      <c r="L359" s="16" t="s">
        <v>11</v>
      </c>
      <c r="M359" s="19"/>
      <c r="N359" s="16" t="s">
        <v>11</v>
      </c>
      <c r="O359" s="19"/>
      <c r="P359" s="16" t="s">
        <v>11</v>
      </c>
      <c r="Q359" s="19"/>
      <c r="R359" s="16" t="s">
        <v>14</v>
      </c>
      <c r="S359" s="20"/>
      <c r="T359" s="21"/>
      <c r="U359" s="21" t="s">
        <v>23</v>
      </c>
    </row>
    <row r="360" ht="15.75" customHeight="1">
      <c r="A360" s="6">
        <v>359.0</v>
      </c>
      <c r="B360" s="7" t="s">
        <v>10</v>
      </c>
      <c r="C360" s="8" t="s">
        <v>11</v>
      </c>
      <c r="D360" s="7" t="s">
        <v>12</v>
      </c>
      <c r="E360" s="9" t="s">
        <v>13</v>
      </c>
      <c r="F360" s="8" t="s">
        <v>14</v>
      </c>
      <c r="G360" s="9" t="s">
        <v>15</v>
      </c>
      <c r="H360" s="8" t="s">
        <v>11</v>
      </c>
      <c r="I360" s="10" t="s">
        <v>16</v>
      </c>
      <c r="J360" s="8" t="s">
        <v>14</v>
      </c>
      <c r="K360" s="12"/>
      <c r="L360" s="8" t="s">
        <v>11</v>
      </c>
      <c r="M360" s="12"/>
      <c r="N360" s="8" t="s">
        <v>11</v>
      </c>
      <c r="O360" s="12"/>
      <c r="P360" s="8" t="s">
        <v>11</v>
      </c>
      <c r="Q360" s="12"/>
      <c r="R360" s="8" t="s">
        <v>14</v>
      </c>
      <c r="S360" s="13"/>
      <c r="T360" s="14"/>
      <c r="U360" s="14" t="s">
        <v>23</v>
      </c>
    </row>
    <row r="361" ht="15.75" customHeight="1">
      <c r="A361" s="6">
        <v>360.0</v>
      </c>
      <c r="B361" s="15" t="s">
        <v>10</v>
      </c>
      <c r="C361" s="16" t="s">
        <v>11</v>
      </c>
      <c r="D361" s="15" t="s">
        <v>12</v>
      </c>
      <c r="E361" s="17" t="s">
        <v>13</v>
      </c>
      <c r="F361" s="16" t="s">
        <v>14</v>
      </c>
      <c r="G361" s="17" t="s">
        <v>15</v>
      </c>
      <c r="H361" s="16" t="s">
        <v>11</v>
      </c>
      <c r="I361" s="18" t="s">
        <v>16</v>
      </c>
      <c r="J361" s="16" t="s">
        <v>14</v>
      </c>
      <c r="K361" s="19"/>
      <c r="L361" s="16" t="s">
        <v>11</v>
      </c>
      <c r="M361" s="19"/>
      <c r="N361" s="16" t="s">
        <v>11</v>
      </c>
      <c r="O361" s="19"/>
      <c r="P361" s="16" t="s">
        <v>11</v>
      </c>
      <c r="Q361" s="19"/>
      <c r="R361" s="16" t="s">
        <v>14</v>
      </c>
      <c r="S361" s="20"/>
      <c r="T361" s="21"/>
      <c r="U361" s="21" t="s">
        <v>23</v>
      </c>
    </row>
    <row r="362" ht="15.75" customHeight="1">
      <c r="A362" s="6">
        <v>361.0</v>
      </c>
      <c r="B362" s="7" t="s">
        <v>10</v>
      </c>
      <c r="C362" s="8" t="s">
        <v>11</v>
      </c>
      <c r="D362" s="7" t="s">
        <v>12</v>
      </c>
      <c r="E362" s="9" t="s">
        <v>13</v>
      </c>
      <c r="F362" s="8" t="s">
        <v>14</v>
      </c>
      <c r="G362" s="9" t="s">
        <v>15</v>
      </c>
      <c r="H362" s="8" t="s">
        <v>11</v>
      </c>
      <c r="I362" s="10" t="s">
        <v>16</v>
      </c>
      <c r="J362" s="8" t="s">
        <v>14</v>
      </c>
      <c r="K362" s="12"/>
      <c r="L362" s="8" t="s">
        <v>11</v>
      </c>
      <c r="M362" s="12"/>
      <c r="N362" s="8" t="s">
        <v>11</v>
      </c>
      <c r="O362" s="12"/>
      <c r="P362" s="8" t="s">
        <v>11</v>
      </c>
      <c r="Q362" s="12"/>
      <c r="R362" s="8" t="s">
        <v>14</v>
      </c>
      <c r="S362" s="13"/>
      <c r="T362" s="14"/>
      <c r="U362" s="14" t="s">
        <v>23</v>
      </c>
    </row>
    <row r="363" ht="15.75" customHeight="1">
      <c r="A363" s="6">
        <v>362.0</v>
      </c>
      <c r="B363" s="15" t="s">
        <v>10</v>
      </c>
      <c r="C363" s="16" t="s">
        <v>11</v>
      </c>
      <c r="D363" s="15" t="s">
        <v>12</v>
      </c>
      <c r="E363" s="17" t="s">
        <v>13</v>
      </c>
      <c r="F363" s="16" t="s">
        <v>14</v>
      </c>
      <c r="G363" s="17" t="s">
        <v>15</v>
      </c>
      <c r="H363" s="16" t="s">
        <v>11</v>
      </c>
      <c r="I363" s="18" t="s">
        <v>16</v>
      </c>
      <c r="J363" s="16" t="s">
        <v>14</v>
      </c>
      <c r="K363" s="19"/>
      <c r="L363" s="16" t="s">
        <v>11</v>
      </c>
      <c r="M363" s="19"/>
      <c r="N363" s="16" t="s">
        <v>11</v>
      </c>
      <c r="O363" s="19"/>
      <c r="P363" s="16" t="s">
        <v>11</v>
      </c>
      <c r="Q363" s="19"/>
      <c r="R363" s="16" t="s">
        <v>14</v>
      </c>
      <c r="S363" s="20"/>
      <c r="T363" s="21"/>
      <c r="U363" s="21" t="s">
        <v>23</v>
      </c>
    </row>
    <row r="364" ht="15.75" customHeight="1">
      <c r="A364" s="6">
        <v>363.0</v>
      </c>
      <c r="B364" s="7" t="s">
        <v>10</v>
      </c>
      <c r="C364" s="8" t="s">
        <v>11</v>
      </c>
      <c r="D364" s="7" t="s">
        <v>12</v>
      </c>
      <c r="E364" s="9" t="s">
        <v>13</v>
      </c>
      <c r="F364" s="8" t="s">
        <v>14</v>
      </c>
      <c r="G364" s="9" t="s">
        <v>15</v>
      </c>
      <c r="H364" s="8" t="s">
        <v>11</v>
      </c>
      <c r="I364" s="10" t="s">
        <v>16</v>
      </c>
      <c r="J364" s="8" t="s">
        <v>14</v>
      </c>
      <c r="K364" s="12"/>
      <c r="L364" s="8" t="s">
        <v>11</v>
      </c>
      <c r="M364" s="12"/>
      <c r="N364" s="8" t="s">
        <v>11</v>
      </c>
      <c r="O364" s="12"/>
      <c r="P364" s="8" t="s">
        <v>11</v>
      </c>
      <c r="Q364" s="12"/>
      <c r="R364" s="8" t="s">
        <v>14</v>
      </c>
      <c r="S364" s="13"/>
      <c r="T364" s="14"/>
      <c r="U364" s="14" t="s">
        <v>23</v>
      </c>
    </row>
    <row r="365" ht="15.75" customHeight="1">
      <c r="A365" s="6">
        <v>364.0</v>
      </c>
      <c r="B365" s="15" t="s">
        <v>10</v>
      </c>
      <c r="C365" s="16" t="s">
        <v>11</v>
      </c>
      <c r="D365" s="15" t="s">
        <v>12</v>
      </c>
      <c r="E365" s="17" t="s">
        <v>13</v>
      </c>
      <c r="F365" s="16" t="s">
        <v>14</v>
      </c>
      <c r="G365" s="17" t="s">
        <v>15</v>
      </c>
      <c r="H365" s="16" t="s">
        <v>11</v>
      </c>
      <c r="I365" s="18" t="s">
        <v>16</v>
      </c>
      <c r="J365" s="16" t="s">
        <v>14</v>
      </c>
      <c r="K365" s="19"/>
      <c r="L365" s="16" t="s">
        <v>11</v>
      </c>
      <c r="M365" s="19"/>
      <c r="N365" s="16" t="s">
        <v>11</v>
      </c>
      <c r="O365" s="19"/>
      <c r="P365" s="16" t="s">
        <v>11</v>
      </c>
      <c r="Q365" s="19"/>
      <c r="R365" s="16" t="s">
        <v>14</v>
      </c>
      <c r="S365" s="20"/>
      <c r="T365" s="21"/>
      <c r="U365" s="21" t="s">
        <v>23</v>
      </c>
    </row>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S1:T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88"/>
    <col customWidth="1" min="2" max="2" width="33.63"/>
    <col customWidth="1" min="3" max="3" width="19.88"/>
    <col customWidth="1" min="4" max="4" width="36.13"/>
    <col customWidth="1" min="5" max="5" width="24.38"/>
    <col customWidth="1" min="6" max="6" width="35.25"/>
    <col customWidth="1" min="7" max="7" width="19.88"/>
    <col customWidth="1" min="8" max="8" width="48.63"/>
    <col customWidth="1" min="9" max="9" width="69.13"/>
    <col customWidth="1" min="10" max="10" width="14.13"/>
    <col customWidth="1" min="11" max="11" width="44.63"/>
    <col customWidth="1" min="12" max="12" width="82.13"/>
    <col customWidth="1" min="13" max="13" width="80.63"/>
    <col customWidth="1" min="14" max="14" width="78.13"/>
    <col customWidth="1" min="15" max="15" width="42.75"/>
    <col customWidth="1" min="16" max="16" width="23.25"/>
    <col customWidth="1" min="17" max="17" width="42.88"/>
    <col customWidth="1" min="18" max="18" width="50.88"/>
    <col customWidth="1" min="19" max="19" width="64.88"/>
    <col customWidth="1" min="20" max="20" width="50.38"/>
  </cols>
  <sheetData>
    <row r="1" ht="15.75" customHeight="1">
      <c r="A1" s="42" t="s">
        <v>57</v>
      </c>
      <c r="B1" s="43" t="s">
        <v>58</v>
      </c>
      <c r="C1" s="44" t="s">
        <v>59</v>
      </c>
      <c r="D1" s="45" t="s">
        <v>60</v>
      </c>
      <c r="E1" s="44" t="s">
        <v>61</v>
      </c>
      <c r="F1" s="45" t="s">
        <v>62</v>
      </c>
      <c r="G1" s="44" t="s">
        <v>63</v>
      </c>
      <c r="H1" s="46" t="s">
        <v>64</v>
      </c>
      <c r="I1" s="44" t="s">
        <v>65</v>
      </c>
      <c r="J1" s="44" t="s">
        <v>66</v>
      </c>
      <c r="K1" s="45" t="s">
        <v>67</v>
      </c>
      <c r="L1" s="44" t="s">
        <v>68</v>
      </c>
      <c r="M1" s="47" t="s">
        <v>69</v>
      </c>
      <c r="N1" s="44" t="s">
        <v>70</v>
      </c>
      <c r="O1" s="45" t="s">
        <v>71</v>
      </c>
      <c r="P1" s="44" t="s">
        <v>72</v>
      </c>
      <c r="Q1" s="44" t="s">
        <v>7</v>
      </c>
      <c r="R1" s="46" t="s">
        <v>73</v>
      </c>
      <c r="S1" s="48" t="s">
        <v>74</v>
      </c>
      <c r="T1" s="45" t="s">
        <v>75</v>
      </c>
    </row>
    <row r="2" ht="15.75" customHeight="1">
      <c r="A2" s="49" t="str">
        <f t="shared" ref="A2:A32" si="1">MID(K2, LEN(K2)-6, 3)</f>
        <v>001</v>
      </c>
      <c r="B2" s="50" t="s">
        <v>76</v>
      </c>
      <c r="C2" s="51" t="s">
        <v>77</v>
      </c>
      <c r="D2" s="52" t="s">
        <v>78</v>
      </c>
      <c r="E2" s="53" t="s">
        <v>79</v>
      </c>
      <c r="F2" s="54" t="s">
        <v>80</v>
      </c>
      <c r="G2" s="55" t="s">
        <v>81</v>
      </c>
      <c r="H2" s="56" t="s">
        <v>82</v>
      </c>
      <c r="I2" s="50" t="s">
        <v>83</v>
      </c>
      <c r="J2" s="56" t="s">
        <v>84</v>
      </c>
      <c r="K2" s="57" t="str">
        <f>TEXTJOIN("", TRUE, Geral!B2:U2)</f>
        <v>BR-SPGPDVE_ARCOENGE-DEMOLICAO-CSDTCARANDIRU_ICO-FOT-DGZ-MB0_0001-001.JPG</v>
      </c>
      <c r="L2" s="55" t="s">
        <v>85</v>
      </c>
      <c r="M2" s="55" t="s">
        <v>86</v>
      </c>
      <c r="N2" s="55" t="s">
        <v>87</v>
      </c>
      <c r="O2" s="50" t="s">
        <v>88</v>
      </c>
      <c r="P2" s="54" t="s">
        <v>89</v>
      </c>
      <c r="Q2" s="54" t="s">
        <v>90</v>
      </c>
      <c r="R2" s="58" t="str">
        <f t="shared" ref="R2:R32" si="2">"Figura n – ["&amp;B2&amp;"]"&amp;CHAR(10)&amp;"Fonte: Arquivo do Estado de São Paulo, "&amp;TEXT(D2,"yyyy")&amp;"."</f>
        <v>Figura n – [Corredor de terra ladeado por muro de concreto e pavilhão com roupas estendidas, com silhuetas urbanas ao fundo.]
Fonte: Arquivo do Estado de São Paulo, Sem data.</v>
      </c>
      <c r="S2" s="58" t="str">
        <f t="shared" ref="S2:S32" si="3">"ARQUIVO PÚBLICO DO ESTADO DE SÃO PAULO (Brasil). ["&amp;B2&amp;"]. "&amp;G2&amp;". "&amp;TEXT(D2,"dd")&amp;" "&amp;LOWER(TEXT(D2,"mmm"))&amp;" "&amp;TEXT(D2,"yyyy")&amp;". "&amp;F2&amp;". Disponível em: &lt;link do dataverse&gt;. Acesso em: 28 out. 2025."</f>
        <v>ARQUIVO PÚBLICO DO ESTADO DE SÃO PAULO (Brasil). [Corredor de terra ladeado por muro de concreto e pavilhão com roupas estendidas, com silhuetas urbanas ao fundo.]. São Paulo, Brasil. Sem data sem data Sem data. Fotografia digitalizada; colorida; suporte em papel fotográfico. Disponível em: &lt;link do dataverse&gt;. Acesso em: 28 out. 2025.</v>
      </c>
      <c r="T2" s="59" t="s">
        <v>91</v>
      </c>
    </row>
    <row r="3" ht="15.75" customHeight="1">
      <c r="A3" s="49" t="str">
        <f t="shared" si="1"/>
        <v>002</v>
      </c>
      <c r="B3" s="60" t="s">
        <v>92</v>
      </c>
      <c r="C3" s="61" t="s">
        <v>77</v>
      </c>
      <c r="D3" s="62" t="s">
        <v>78</v>
      </c>
      <c r="E3" s="63" t="s">
        <v>79</v>
      </c>
      <c r="F3" s="54" t="s">
        <v>80</v>
      </c>
      <c r="G3" s="64" t="s">
        <v>81</v>
      </c>
      <c r="H3" s="56" t="s">
        <v>82</v>
      </c>
      <c r="I3" s="50" t="s">
        <v>83</v>
      </c>
      <c r="J3" s="56" t="s">
        <v>84</v>
      </c>
      <c r="K3" s="65" t="str">
        <f>TEXTJOIN("", TRUE, Geral!B3:U3)</f>
        <v>BR-SPGPDVE_ARCOENGE-DEMOLICAO-CSDTCARANDIRU_ICO-FOT-DGZ-MB0_0001-002.JPG</v>
      </c>
      <c r="L3"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3" s="55" t="s">
        <v>93</v>
      </c>
      <c r="N3"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3" s="50" t="s">
        <v>88</v>
      </c>
      <c r="P3" s="54" t="s">
        <v>89</v>
      </c>
      <c r="Q3" s="54" t="s">
        <v>90</v>
      </c>
      <c r="R3" s="66" t="str">
        <f t="shared" si="2"/>
        <v>Figura n – [Fachada de edifício retangular de cinco andares com janelas padronizadas e guarda-corpo metálico em primeiro plano.]
Fonte: Arquivo do Estado de São Paulo, Sem data.</v>
      </c>
      <c r="S3" s="66" t="str">
        <f t="shared" si="3"/>
        <v>ARQUIVO PÚBLICO DO ESTADO DE SÃO PAULO (Brasil). [Fachada de edifício retangular de cinco andares com janelas padronizadas e guarda-corpo metálico em primeiro plano.]. São Paulo, Brasil. Sem data sem data Sem data. Fotografia digitalizada; colorida; suporte em papel fotográfico. Disponível em: &lt;link do dataverse&gt;. Acesso em: 28 out. 2025.</v>
      </c>
      <c r="T3" s="59" t="s">
        <v>91</v>
      </c>
    </row>
    <row r="4" ht="15.75" customHeight="1">
      <c r="A4" s="49" t="str">
        <f t="shared" si="1"/>
        <v>003</v>
      </c>
      <c r="B4" s="60" t="s">
        <v>94</v>
      </c>
      <c r="C4" s="61" t="s">
        <v>77</v>
      </c>
      <c r="D4" s="52" t="s">
        <v>78</v>
      </c>
      <c r="E4" s="63" t="s">
        <v>79</v>
      </c>
      <c r="F4" s="54" t="s">
        <v>80</v>
      </c>
      <c r="G4" s="64" t="s">
        <v>81</v>
      </c>
      <c r="H4" s="56" t="s">
        <v>82</v>
      </c>
      <c r="I4" s="50" t="s">
        <v>83</v>
      </c>
      <c r="J4" s="56" t="s">
        <v>84</v>
      </c>
      <c r="K4" s="65" t="str">
        <f>TEXTJOIN("", TRUE, Geral!B4:U4)</f>
        <v>BR-SPGPDVE_ARCOENGE-DEMOLICAO-CSDTCARANDIRU_ICO-FOT-DGZ-MB0_0001-003.JPG</v>
      </c>
      <c r="L4"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4" s="55" t="s">
        <v>95</v>
      </c>
      <c r="N4"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4" s="50" t="s">
        <v>88</v>
      </c>
      <c r="P4" s="54" t="s">
        <v>89</v>
      </c>
      <c r="Q4" s="54" t="s">
        <v>90</v>
      </c>
      <c r="R4" s="66" t="str">
        <f t="shared" si="2"/>
        <v>Figura n – [Corredor de concreto com pessoas em trânsito, ladeado por muro alto e pavilhão com roupas penduradas.]
Fonte: Arquivo do Estado de São Paulo, Sem data.</v>
      </c>
      <c r="S4" s="66" t="str">
        <f t="shared" si="3"/>
        <v>ARQUIVO PÚBLICO DO ESTADO DE SÃO PAULO (Brasil). [Corredor de concreto com pessoas em trânsito, ladeado por muro alto e pavilhão com roupas penduradas.]. São Paulo, Brasil. Sem data sem data Sem data. Fotografia digitalizada; colorida; suporte em papel fotográfico. Disponível em: &lt;link do dataverse&gt;. Acesso em: 28 out. 2025.</v>
      </c>
      <c r="T4" s="59" t="s">
        <v>91</v>
      </c>
    </row>
    <row r="5" ht="15.75" customHeight="1">
      <c r="A5" s="49" t="str">
        <f t="shared" si="1"/>
        <v>004</v>
      </c>
      <c r="B5" s="60" t="s">
        <v>96</v>
      </c>
      <c r="C5" s="61" t="s">
        <v>77</v>
      </c>
      <c r="D5" s="62" t="s">
        <v>78</v>
      </c>
      <c r="E5" s="63" t="s">
        <v>79</v>
      </c>
      <c r="F5" s="54" t="s">
        <v>80</v>
      </c>
      <c r="G5" s="55" t="s">
        <v>81</v>
      </c>
      <c r="H5" s="56" t="s">
        <v>82</v>
      </c>
      <c r="I5" s="50" t="s">
        <v>83</v>
      </c>
      <c r="J5" s="56" t="s">
        <v>84</v>
      </c>
      <c r="K5" s="65" t="str">
        <f>TEXTJOIN("", TRUE, Geral!B5:U5)</f>
        <v>BR-SPGPDVE_ARCOENGE-DEMOLICAO-CSDTCARANDIRU_ICO-FOT-DGZ-MB0_0001-004.JPG</v>
      </c>
      <c r="L5"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5" s="55" t="s">
        <v>97</v>
      </c>
      <c r="N5"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5" s="50" t="s">
        <v>88</v>
      </c>
      <c r="P5" s="54" t="s">
        <v>89</v>
      </c>
      <c r="Q5" s="54" t="s">
        <v>90</v>
      </c>
      <c r="R5" s="66" t="str">
        <f t="shared" si="2"/>
        <v>Figura n – [Vista superior de telhados de fibrocimento e amplo pavilhão com bloco central elevado.]
Fonte: Arquivo do Estado de São Paulo, Sem data.</v>
      </c>
      <c r="S5" s="66" t="str">
        <f t="shared" si="3"/>
        <v>ARQUIVO PÚBLICO DO ESTADO DE SÃO PAULO (Brasil). [Vista superior de telhados de fibrocimento e amplo pavilhão com bloco central elevado.]. São Paulo, Brasil. Sem data sem data Sem data. Fotografia digitalizada; colorida; suporte em papel fotográfico. Disponível em: &lt;link do dataverse&gt;. Acesso em: 28 out. 2025.</v>
      </c>
      <c r="T5" s="59" t="s">
        <v>91</v>
      </c>
    </row>
    <row r="6" ht="15.75" customHeight="1">
      <c r="A6" s="49" t="str">
        <f t="shared" si="1"/>
        <v>005</v>
      </c>
      <c r="B6" s="60" t="s">
        <v>98</v>
      </c>
      <c r="C6" s="61" t="s">
        <v>77</v>
      </c>
      <c r="D6" s="52" t="s">
        <v>78</v>
      </c>
      <c r="E6" s="63" t="s">
        <v>79</v>
      </c>
      <c r="F6" s="54" t="s">
        <v>80</v>
      </c>
      <c r="G6" s="64" t="s">
        <v>81</v>
      </c>
      <c r="H6" s="56" t="s">
        <v>82</v>
      </c>
      <c r="I6" s="50" t="s">
        <v>83</v>
      </c>
      <c r="J6" s="56" t="s">
        <v>84</v>
      </c>
      <c r="K6" s="65" t="str">
        <f>TEXTJOIN("", TRUE, Geral!B6:U6)</f>
        <v>BR-SPGPDVE_ARCOENGE-DEMOLICAO-CSDTCARANDIRU_ICO-FOT-DGZ-MB0_0001-005.JPG</v>
      </c>
      <c r="L6"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6" s="64" t="s">
        <v>99</v>
      </c>
      <c r="N6"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6" s="50" t="s">
        <v>88</v>
      </c>
      <c r="P6" s="54" t="s">
        <v>89</v>
      </c>
      <c r="Q6" s="54" t="s">
        <v>90</v>
      </c>
      <c r="R6" s="66" t="str">
        <f t="shared" si="2"/>
        <v>Figura n – [Pátio arborizado com reboque azul em primeiro plano, van estacionada e pavilhão ao fundo.]
Fonte: Arquivo do Estado de São Paulo, Sem data.</v>
      </c>
      <c r="S6" s="66" t="str">
        <f t="shared" si="3"/>
        <v>ARQUIVO PÚBLICO DO ESTADO DE SÃO PAULO (Brasil). [Pátio arborizado com reboque azul em primeiro plano, van estacionada e pavilhão ao fundo.]. São Paulo, Brasil. Sem data sem data Sem data. Fotografia digitalizada; colorida; suporte em papel fotográfico. Disponível em: &lt;link do dataverse&gt;. Acesso em: 28 out. 2025.</v>
      </c>
      <c r="T6" s="59" t="s">
        <v>91</v>
      </c>
    </row>
    <row r="7" ht="15.75" customHeight="1">
      <c r="A7" s="49" t="str">
        <f t="shared" si="1"/>
        <v>006</v>
      </c>
      <c r="B7" s="60" t="s">
        <v>100</v>
      </c>
      <c r="C7" s="61" t="s">
        <v>77</v>
      </c>
      <c r="D7" s="62" t="s">
        <v>78</v>
      </c>
      <c r="E7" s="63" t="s">
        <v>79</v>
      </c>
      <c r="F7" s="54" t="s">
        <v>80</v>
      </c>
      <c r="G7" s="64" t="s">
        <v>81</v>
      </c>
      <c r="H7" s="56" t="s">
        <v>82</v>
      </c>
      <c r="I7" s="50" t="s">
        <v>83</v>
      </c>
      <c r="J7" s="56" t="s">
        <v>84</v>
      </c>
      <c r="K7" s="65" t="str">
        <f>TEXTJOIN("", TRUE, Geral!B7:U7)</f>
        <v>BR-SPGPDVE_ARCOENGE-DEMOLICAO-CSDTCARANDIRU_ICO-FOT-DGZ-MB0_0001-006.JPG</v>
      </c>
      <c r="L7"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7" s="64" t="s">
        <v>101</v>
      </c>
      <c r="N7"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7" s="50" t="s">
        <v>88</v>
      </c>
      <c r="P7" s="54" t="s">
        <v>89</v>
      </c>
      <c r="Q7" s="54" t="s">
        <v>90</v>
      </c>
      <c r="R7" s="66" t="str">
        <f t="shared" si="2"/>
        <v>Figura n – [Área externa com lajes de concreto, varal transversal de cobertores e campo de terra com pessoas distribuídas.]
Fonte: Arquivo do Estado de São Paulo, Sem data.</v>
      </c>
      <c r="S7" s="66" t="str">
        <f t="shared" si="3"/>
        <v>ARQUIVO PÚBLICO DO ESTADO DE SÃO PAULO (Brasil). [Área externa com lajes de concreto, varal transversal de cobertores e campo de terra com pessoas distribuídas.]. São Paulo, Brasil. Sem data sem data Sem data. Fotografia digitalizada; colorida; suporte em papel fotográfico. Disponível em: &lt;link do dataverse&gt;. Acesso em: 28 out. 2025.</v>
      </c>
      <c r="T7" s="59" t="s">
        <v>91</v>
      </c>
    </row>
    <row r="8" ht="15.75" customHeight="1">
      <c r="A8" s="49" t="str">
        <f t="shared" si="1"/>
        <v>007</v>
      </c>
      <c r="B8" s="60" t="s">
        <v>102</v>
      </c>
      <c r="C8" s="61" t="s">
        <v>77</v>
      </c>
      <c r="D8" s="52" t="s">
        <v>78</v>
      </c>
      <c r="E8" s="63" t="s">
        <v>79</v>
      </c>
      <c r="F8" s="54" t="s">
        <v>80</v>
      </c>
      <c r="G8" s="55" t="s">
        <v>81</v>
      </c>
      <c r="H8" s="56" t="s">
        <v>82</v>
      </c>
      <c r="I8" s="50" t="s">
        <v>83</v>
      </c>
      <c r="J8" s="56" t="s">
        <v>84</v>
      </c>
      <c r="K8" s="65" t="str">
        <f>TEXTJOIN("", TRUE, Geral!B8:U8)</f>
        <v>BR-SPGPDVE_ARCOENGE-DEMOLICAO-CSDTCARANDIRU_ICO-FOT-DGZ-MB0_0001-007.JPG</v>
      </c>
      <c r="L8"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8" s="64" t="s">
        <v>103</v>
      </c>
      <c r="N8"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8" s="50" t="s">
        <v>88</v>
      </c>
      <c r="P8" s="54" t="s">
        <v>89</v>
      </c>
      <c r="Q8" s="54" t="s">
        <v>90</v>
      </c>
      <c r="R8" s="66" t="str">
        <f t="shared" si="2"/>
        <v>Figura n – [Pessoa encostada em parapeito diante de amplo pátio de terra e pavilhão retangular ao fundo.]
Fonte: Arquivo do Estado de São Paulo, Sem data.</v>
      </c>
      <c r="S8" s="66" t="str">
        <f t="shared" si="3"/>
        <v>ARQUIVO PÚBLICO DO ESTADO DE SÃO PAULO (Brasil). [Pessoa encostada em parapeito diante de amplo pátio de terra e pavilhão retangular ao fundo.]. São Paulo, Brasil. Sem data sem data Sem data. Fotografia digitalizada; colorida; suporte em papel fotográfico. Disponível em: &lt;link do dataverse&gt;. Acesso em: 28 out. 2025.</v>
      </c>
      <c r="T8" s="59" t="s">
        <v>91</v>
      </c>
    </row>
    <row r="9" ht="15.75" customHeight="1">
      <c r="A9" s="49" t="str">
        <f t="shared" si="1"/>
        <v>008</v>
      </c>
      <c r="B9" s="60" t="s">
        <v>104</v>
      </c>
      <c r="C9" s="61" t="s">
        <v>77</v>
      </c>
      <c r="D9" s="62" t="s">
        <v>78</v>
      </c>
      <c r="E9" s="63" t="s">
        <v>79</v>
      </c>
      <c r="F9" s="54" t="s">
        <v>80</v>
      </c>
      <c r="G9" s="64" t="s">
        <v>81</v>
      </c>
      <c r="H9" s="56" t="s">
        <v>82</v>
      </c>
      <c r="I9" s="50" t="s">
        <v>83</v>
      </c>
      <c r="J9" s="56" t="s">
        <v>84</v>
      </c>
      <c r="K9" s="65" t="str">
        <f>TEXTJOIN("", TRUE, Geral!B9:U9)</f>
        <v>BR-SPGPDVE_ARCOENGE-DEMOLICAO-CSDTCARANDIRU_ICO-FOT-DGZ-MB0_0001-008.JPG</v>
      </c>
      <c r="L9"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9" s="64" t="s">
        <v>105</v>
      </c>
      <c r="N9"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9" s="50" t="s">
        <v>88</v>
      </c>
      <c r="P9" s="54" t="s">
        <v>89</v>
      </c>
      <c r="Q9" s="54" t="s">
        <v>90</v>
      </c>
      <c r="R9" s="66" t="str">
        <f t="shared" si="2"/>
        <v>Figura n – [Pátio de terra dividido por muro baixo, com trave de futebol ao centro e ladeado por dois pavilhões.]
Fonte: Arquivo do Estado de São Paulo, Sem data.</v>
      </c>
      <c r="S9" s="66" t="str">
        <f t="shared" si="3"/>
        <v>ARQUIVO PÚBLICO DO ESTADO DE SÃO PAULO (Brasil). [Pátio de terra dividido por muro baixo, com trave de futebol ao centro e ladeado por dois pavilhões.]. São Paulo, Brasil. Sem data sem data Sem data. Fotografia digitalizada; colorida; suporte em papel fotográfico. Disponível em: &lt;link do dataverse&gt;. Acesso em: 28 out. 2025.</v>
      </c>
      <c r="T9" s="59" t="s">
        <v>91</v>
      </c>
    </row>
    <row r="10" ht="15.75" customHeight="1">
      <c r="A10" s="49" t="str">
        <f t="shared" si="1"/>
        <v>009</v>
      </c>
      <c r="B10" s="60" t="s">
        <v>106</v>
      </c>
      <c r="C10" s="61" t="s">
        <v>77</v>
      </c>
      <c r="D10" s="52" t="s">
        <v>78</v>
      </c>
      <c r="E10" s="63" t="s">
        <v>79</v>
      </c>
      <c r="F10" s="54" t="s">
        <v>80</v>
      </c>
      <c r="G10" s="64" t="s">
        <v>81</v>
      </c>
      <c r="H10" s="56" t="s">
        <v>82</v>
      </c>
      <c r="I10" s="50" t="s">
        <v>83</v>
      </c>
      <c r="J10" s="56" t="s">
        <v>84</v>
      </c>
      <c r="K10" s="65" t="str">
        <f>TEXTJOIN("", TRUE, Geral!B10:U10)</f>
        <v>BR-SPGPDVE_ARCOENGE-DEMOLICAO-CSDTCARANDIRU_ICO-FOT-DGZ-MB0_0001-009.JPG</v>
      </c>
      <c r="L10"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0" s="64" t="s">
        <v>107</v>
      </c>
      <c r="N10"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0" s="50" t="s">
        <v>88</v>
      </c>
      <c r="P10" s="54" t="s">
        <v>89</v>
      </c>
      <c r="Q10" s="54" t="s">
        <v>90</v>
      </c>
      <c r="R10" s="66" t="str">
        <f t="shared" si="2"/>
        <v>Figura n – [Vista de passarela elevada com pessoa caminhando de costas, pátio com portão verde e torre de vigilância ao fundo.]
Fonte: Arquivo do Estado de São Paulo, Sem data.</v>
      </c>
      <c r="S10" s="66" t="str">
        <f t="shared" si="3"/>
        <v>ARQUIVO PÚBLICO DO ESTADO DE SÃO PAULO (Brasil). [Vista de passarela elevada com pessoa caminhando de costas, pátio com portão verde e torre de vigilância ao fundo.]. São Paulo, Brasil. Sem data sem data Sem data. Fotografia digitalizada; colorida; suporte em papel fotográfico. Disponível em: &lt;link do dataverse&gt;. Acesso em: 28 out. 2025.</v>
      </c>
      <c r="T10" s="59" t="s">
        <v>91</v>
      </c>
    </row>
    <row r="11" ht="15.75" customHeight="1">
      <c r="A11" s="49" t="str">
        <f t="shared" si="1"/>
        <v>010</v>
      </c>
      <c r="B11" s="60" t="s">
        <v>108</v>
      </c>
      <c r="C11" s="61" t="s">
        <v>77</v>
      </c>
      <c r="D11" s="62" t="s">
        <v>78</v>
      </c>
      <c r="E11" s="63" t="s">
        <v>79</v>
      </c>
      <c r="F11" s="54" t="s">
        <v>80</v>
      </c>
      <c r="G11" s="55" t="s">
        <v>81</v>
      </c>
      <c r="H11" s="56" t="s">
        <v>82</v>
      </c>
      <c r="I11" s="50" t="s">
        <v>83</v>
      </c>
      <c r="J11" s="56" t="s">
        <v>84</v>
      </c>
      <c r="K11" s="65" t="str">
        <f>TEXTJOIN("", TRUE, Geral!B11:U11)</f>
        <v>BR-SPGPDVE_ARCOENGE-DEMOLICAO-CSDTCARANDIRU_ICO-FOT-DGZ-MB0_0001-010.JPG</v>
      </c>
      <c r="L11"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1" s="64" t="s">
        <v>109</v>
      </c>
      <c r="N11"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1" s="50" t="s">
        <v>88</v>
      </c>
      <c r="P11" s="54" t="s">
        <v>89</v>
      </c>
      <c r="Q11" s="54" t="s">
        <v>90</v>
      </c>
      <c r="R11" s="66" t="str">
        <f t="shared" si="2"/>
        <v>Figura n – [Pátio interno arborizado com van branca estacionada diante de construção térrea e grande pavilhão ao fundo.]
Fonte: Arquivo do Estado de São Paulo, Sem data.</v>
      </c>
      <c r="S11" s="66" t="str">
        <f t="shared" si="3"/>
        <v>ARQUIVO PÚBLICO DO ESTADO DE SÃO PAULO (Brasil). [Pátio interno arborizado com van branca estacionada diante de construção térrea e grande pavilhão ao fundo.]. São Paulo, Brasil. Sem data sem data Sem data. Fotografia digitalizada; colorida; suporte em papel fotográfico. Disponível em: &lt;link do dataverse&gt;. Acesso em: 28 out. 2025.</v>
      </c>
      <c r="T11" s="59" t="s">
        <v>91</v>
      </c>
    </row>
    <row r="12" ht="15.75" customHeight="1">
      <c r="A12" s="49" t="str">
        <f t="shared" si="1"/>
        <v>011</v>
      </c>
      <c r="B12" s="60" t="s">
        <v>110</v>
      </c>
      <c r="C12" s="61" t="s">
        <v>77</v>
      </c>
      <c r="D12" s="52" t="s">
        <v>78</v>
      </c>
      <c r="E12" s="63" t="s">
        <v>79</v>
      </c>
      <c r="F12" s="54" t="s">
        <v>80</v>
      </c>
      <c r="G12" s="64" t="s">
        <v>81</v>
      </c>
      <c r="H12" s="56" t="s">
        <v>82</v>
      </c>
      <c r="I12" s="50" t="s">
        <v>83</v>
      </c>
      <c r="J12" s="56" t="s">
        <v>84</v>
      </c>
      <c r="K12" s="65" t="str">
        <f>TEXTJOIN("", TRUE, Geral!B12:U12)</f>
        <v>BR-SPGPDVE_ARCOENGE-DEMOLICAO-CSDTCARANDIRU_ICO-FOT-DGZ-MB0_0001-011.JPG</v>
      </c>
      <c r="L12"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2" s="64" t="s">
        <v>111</v>
      </c>
      <c r="N12"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2" s="50" t="s">
        <v>88</v>
      </c>
      <c r="P12" s="54" t="s">
        <v>89</v>
      </c>
      <c r="Q12" s="54" t="s">
        <v>90</v>
      </c>
      <c r="R12" s="66" t="str">
        <f t="shared" si="2"/>
        <v>Figura n – [Pátio externo subdividido por alambrado, com quadra de terra, aglomeração de pessoas e dois pavilhões ao fundo.]
Fonte: Arquivo do Estado de São Paulo, Sem data.</v>
      </c>
      <c r="S12" s="66" t="str">
        <f t="shared" si="3"/>
        <v>ARQUIVO PÚBLICO DO ESTADO DE SÃO PAULO (Brasil). [Pátio externo subdividido por alambrado, com quadra de terra, aglomeração de pessoas e dois pavilhões ao fundo.]. São Paulo, Brasil. Sem data sem data Sem data. Fotografia digitalizada; colorida; suporte em papel fotográfico. Disponível em: &lt;link do dataverse&gt;. Acesso em: 28 out. 2025.</v>
      </c>
      <c r="T12" s="59" t="s">
        <v>91</v>
      </c>
    </row>
    <row r="13" ht="15.75" customHeight="1">
      <c r="A13" s="49" t="str">
        <f t="shared" si="1"/>
        <v>012</v>
      </c>
      <c r="B13" s="60" t="s">
        <v>112</v>
      </c>
      <c r="C13" s="61" t="s">
        <v>77</v>
      </c>
      <c r="D13" s="62" t="s">
        <v>78</v>
      </c>
      <c r="E13" s="63" t="s">
        <v>79</v>
      </c>
      <c r="F13" s="54" t="s">
        <v>80</v>
      </c>
      <c r="G13" s="64" t="s">
        <v>81</v>
      </c>
      <c r="H13" s="56" t="s">
        <v>82</v>
      </c>
      <c r="I13" s="50" t="s">
        <v>83</v>
      </c>
      <c r="J13" s="56" t="s">
        <v>84</v>
      </c>
      <c r="K13" s="65" t="str">
        <f>TEXTJOIN("", TRUE, Geral!B13:U13)</f>
        <v>BR-SPGPDVE_ARCOENGE-DEMOLICAO-CSDTCARANDIRU_ICO-FOT-DGZ-MB0_0001-012.JPG</v>
      </c>
      <c r="L13"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3" s="64" t="s">
        <v>113</v>
      </c>
      <c r="N13"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3" s="50" t="s">
        <v>88</v>
      </c>
      <c r="P13" s="54" t="s">
        <v>89</v>
      </c>
      <c r="Q13" s="54" t="s">
        <v>90</v>
      </c>
      <c r="R13" s="66" t="str">
        <f t="shared" si="2"/>
        <v>Figura n – [. Amplo campo de terra com pessoas distribuídas pelo espaço, ladeado por muro alto e pavilhão ao fundo.]
Fonte: Arquivo do Estado de São Paulo, Sem data.</v>
      </c>
      <c r="S13" s="66" t="str">
        <f t="shared" si="3"/>
        <v>ARQUIVO PÚBLICO DO ESTADO DE SÃO PAULO (Brasil). [. Amplo campo de terra com pessoas distribuídas pelo espaço, ladeado por muro alto e pavilhão ao fundo.]. São Paulo, Brasil. Sem data sem data Sem data. Fotografia digitalizada; colorida; suporte em papel fotográfico. Disponível em: &lt;link do dataverse&gt;. Acesso em: 28 out. 2025.</v>
      </c>
      <c r="T13" s="59" t="s">
        <v>91</v>
      </c>
    </row>
    <row r="14" ht="15.75" customHeight="1">
      <c r="A14" s="49" t="str">
        <f t="shared" si="1"/>
        <v>013</v>
      </c>
      <c r="B14" s="60" t="s">
        <v>114</v>
      </c>
      <c r="C14" s="61" t="s">
        <v>77</v>
      </c>
      <c r="D14" s="52" t="s">
        <v>78</v>
      </c>
      <c r="E14" s="63" t="s">
        <v>79</v>
      </c>
      <c r="F14" s="54" t="s">
        <v>80</v>
      </c>
      <c r="G14" s="55" t="s">
        <v>81</v>
      </c>
      <c r="H14" s="56" t="s">
        <v>82</v>
      </c>
      <c r="I14" s="50" t="s">
        <v>83</v>
      </c>
      <c r="J14" s="56" t="s">
        <v>84</v>
      </c>
      <c r="K14" s="65" t="str">
        <f>TEXTJOIN("", TRUE, Geral!B14:U14)</f>
        <v>BR-SPGPDVE_ARCOENGE-DEMOLICAO-CSDTCARANDIRU_ICO-FOT-DGZ-MB0_0001-013.JPG</v>
      </c>
      <c r="L14"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4" s="64" t="s">
        <v>115</v>
      </c>
      <c r="N14"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4" s="50" t="s">
        <v>88</v>
      </c>
      <c r="P14" s="54" t="s">
        <v>89</v>
      </c>
      <c r="Q14" s="54" t="s">
        <v>90</v>
      </c>
      <c r="R14" s="66" t="str">
        <f t="shared" si="2"/>
        <v>Figura n – [Fachada de pavilhão e topo de muro com grade em primeiro plano.]
Fonte: Arquivo do Estado de São Paulo, Sem data.</v>
      </c>
      <c r="S14" s="66" t="str">
        <f t="shared" si="3"/>
        <v>ARQUIVO PÚBLICO DO ESTADO DE SÃO PAULO (Brasil). [Fachada de pavilhão e topo de muro com grade em primeiro plano.]. São Paulo, Brasil. Sem data sem data Sem data. Fotografia digitalizada; colorida; suporte em papel fotográfico. Disponível em: &lt;link do dataverse&gt;. Acesso em: 28 out. 2025.</v>
      </c>
      <c r="T14" s="59" t="s">
        <v>91</v>
      </c>
    </row>
    <row r="15" ht="15.75" customHeight="1">
      <c r="A15" s="49" t="str">
        <f t="shared" si="1"/>
        <v>014</v>
      </c>
      <c r="B15" s="60" t="s">
        <v>116</v>
      </c>
      <c r="C15" s="61" t="s">
        <v>77</v>
      </c>
      <c r="D15" s="62" t="s">
        <v>78</v>
      </c>
      <c r="E15" s="63" t="s">
        <v>79</v>
      </c>
      <c r="F15" s="54" t="s">
        <v>80</v>
      </c>
      <c r="G15" s="64" t="s">
        <v>81</v>
      </c>
      <c r="H15" s="56" t="s">
        <v>82</v>
      </c>
      <c r="I15" s="50" t="s">
        <v>83</v>
      </c>
      <c r="J15" s="56" t="s">
        <v>84</v>
      </c>
      <c r="K15" s="65" t="str">
        <f>TEXTJOIN("", TRUE, Geral!B15:U15)</f>
        <v>BR-SPGPDVE_ARCOENGE-DEMOLICAO-CSDTCARANDIRU_ICO-FOT-DGZ-MB0_0001-014.JPG</v>
      </c>
      <c r="L15"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5" s="64" t="s">
        <v>117</v>
      </c>
      <c r="N15"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5" s="50" t="s">
        <v>88</v>
      </c>
      <c r="P15" s="54" t="s">
        <v>89</v>
      </c>
      <c r="Q15" s="54" t="s">
        <v>90</v>
      </c>
      <c r="R15" s="66" t="str">
        <f t="shared" si="2"/>
        <v>Figura n – [Perspectiva da quina de um grande pavilhão de concreto com roupas estendidas em janelas de cinco andares.]
Fonte: Arquivo do Estado de São Paulo, Sem data.</v>
      </c>
      <c r="S15" s="66" t="str">
        <f t="shared" si="3"/>
        <v>ARQUIVO PÚBLICO DO ESTADO DE SÃO PAULO (Brasil). [Perspectiva da quina de um grande pavilhão de concreto com roupas estendidas em janelas de cinco andares.]. São Paulo, Brasil. Sem data sem data Sem data. Fotografia digitalizada; colorida; suporte em papel fotográfico. Disponível em: &lt;link do dataverse&gt;. Acesso em: 28 out. 2025.</v>
      </c>
      <c r="T15" s="59" t="s">
        <v>91</v>
      </c>
    </row>
    <row r="16" ht="15.75" customHeight="1">
      <c r="A16" s="49" t="str">
        <f t="shared" si="1"/>
        <v>015</v>
      </c>
      <c r="B16" s="60" t="s">
        <v>118</v>
      </c>
      <c r="C16" s="61" t="s">
        <v>77</v>
      </c>
      <c r="D16" s="52" t="s">
        <v>78</v>
      </c>
      <c r="E16" s="63" t="s">
        <v>79</v>
      </c>
      <c r="F16" s="54" t="s">
        <v>80</v>
      </c>
      <c r="G16" s="64" t="s">
        <v>81</v>
      </c>
      <c r="H16" s="56" t="s">
        <v>82</v>
      </c>
      <c r="I16" s="50" t="s">
        <v>83</v>
      </c>
      <c r="J16" s="56" t="s">
        <v>84</v>
      </c>
      <c r="K16" s="65" t="str">
        <f>TEXTJOIN("", TRUE, Geral!B16:U16)</f>
        <v>BR-SPGPDVE_ARCOENGE-DEMOLICAO-CSDTCARANDIRU_ICO-FOT-DGZ-MB0_0001-015.JPG</v>
      </c>
      <c r="L16"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6" s="64" t="s">
        <v>119</v>
      </c>
      <c r="N16"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6" s="50" t="s">
        <v>88</v>
      </c>
      <c r="P16" s="54" t="s">
        <v>89</v>
      </c>
      <c r="Q16" s="54" t="s">
        <v>90</v>
      </c>
      <c r="R16" s="66" t="str">
        <f t="shared" si="2"/>
        <v>Figura n – [Passarela elevada de concreto com pessoa caminhando de costas em direção a uma alta torre de vigilância de tijolos.]
Fonte: Arquivo do Estado de São Paulo, Sem data.</v>
      </c>
      <c r="S16" s="66" t="str">
        <f t="shared" si="3"/>
        <v>ARQUIVO PÚBLICO DO ESTADO DE SÃO PAULO (Brasil). [Passarela elevada de concreto com pessoa caminhando de costas em direção a uma alta torre de vigilância de tijolos.]. São Paulo, Brasil. Sem data sem data Sem data. Fotografia digitalizada; colorida; suporte em papel fotográfico. Disponível em: &lt;link do dataverse&gt;. Acesso em: 28 out. 2025.</v>
      </c>
      <c r="T16" s="59" t="s">
        <v>91</v>
      </c>
    </row>
    <row r="17" ht="15.75" customHeight="1">
      <c r="A17" s="49" t="str">
        <f t="shared" si="1"/>
        <v>016</v>
      </c>
      <c r="B17" s="60" t="s">
        <v>120</v>
      </c>
      <c r="C17" s="61" t="s">
        <v>77</v>
      </c>
      <c r="D17" s="62" t="s">
        <v>78</v>
      </c>
      <c r="E17" s="63" t="s">
        <v>79</v>
      </c>
      <c r="F17" s="54" t="s">
        <v>80</v>
      </c>
      <c r="G17" s="55" t="s">
        <v>81</v>
      </c>
      <c r="H17" s="56" t="s">
        <v>82</v>
      </c>
      <c r="I17" s="50" t="s">
        <v>83</v>
      </c>
      <c r="J17" s="56" t="s">
        <v>84</v>
      </c>
      <c r="K17" s="65" t="str">
        <f>TEXTJOIN("", TRUE, Geral!B17:U17)</f>
        <v>BR-SPGPDVE_ARCOENGE-DEMOLICAO-CSDTCARANDIRU_ICO-FOT-DGZ-MB0_0001-016.JPG</v>
      </c>
      <c r="L17"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7" s="64" t="s">
        <v>121</v>
      </c>
      <c r="N17"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7" s="50" t="s">
        <v>88</v>
      </c>
      <c r="P17" s="54" t="s">
        <v>89</v>
      </c>
      <c r="Q17" s="54" t="s">
        <v>90</v>
      </c>
      <c r="R17" s="66" t="str">
        <f t="shared" si="2"/>
        <v>Figura n – [Alta torre de água com estrutura central vazada, ladeada por quadra esportiva em primeiro plano e prédios ao fundo.]
Fonte: Arquivo do Estado de São Paulo, Sem data.</v>
      </c>
      <c r="S17" s="66" t="str">
        <f t="shared" si="3"/>
        <v>ARQUIVO PÚBLICO DO ESTADO DE SÃO PAULO (Brasil). [Alta torre de água com estrutura central vazada, ladeada por quadra esportiva em primeiro plano e prédios ao fundo.]. São Paulo, Brasil. Sem data sem data Sem data. Fotografia digitalizada; colorida; suporte em papel fotográfico. Disponível em: &lt;link do dataverse&gt;. Acesso em: 28 out. 2025.</v>
      </c>
      <c r="T17" s="59" t="s">
        <v>91</v>
      </c>
    </row>
    <row r="18" ht="15.75" customHeight="1">
      <c r="A18" s="49" t="str">
        <f t="shared" si="1"/>
        <v>017</v>
      </c>
      <c r="B18" s="60" t="s">
        <v>122</v>
      </c>
      <c r="C18" s="61" t="s">
        <v>77</v>
      </c>
      <c r="D18" s="52" t="s">
        <v>78</v>
      </c>
      <c r="E18" s="63" t="s">
        <v>79</v>
      </c>
      <c r="F18" s="54" t="s">
        <v>80</v>
      </c>
      <c r="G18" s="64" t="s">
        <v>81</v>
      </c>
      <c r="H18" s="56" t="s">
        <v>82</v>
      </c>
      <c r="I18" s="50" t="s">
        <v>83</v>
      </c>
      <c r="J18" s="56" t="s">
        <v>84</v>
      </c>
      <c r="K18" s="65" t="str">
        <f>TEXTJOIN("", TRUE, Geral!B18:U18)</f>
        <v>BR-SPGPDVE_ARCOENGE-DEMOLICAO-CSDTCARANDIRU_ICO-FOT-DGZ-MB0_0001-017.JPG</v>
      </c>
      <c r="L18"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8" s="64" t="s">
        <v>123</v>
      </c>
      <c r="N18"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8" s="50" t="s">
        <v>88</v>
      </c>
      <c r="P18" s="54" t="s">
        <v>89</v>
      </c>
      <c r="Q18" s="54" t="s">
        <v>90</v>
      </c>
      <c r="R18" s="66" t="str">
        <f t="shared" si="2"/>
        <v>Figura n – [Estrutura retangular alongada de concreto em degradação com mato alto em primeiro plano e cortina de árvores atrás.]
Fonte: Arquivo do Estado de São Paulo, Sem data.</v>
      </c>
      <c r="S18" s="66" t="str">
        <f t="shared" si="3"/>
        <v>ARQUIVO PÚBLICO DO ESTADO DE SÃO PAULO (Brasil). [Estrutura retangular alongada de concreto em degradação com mato alto em primeiro plano e cortina de árvores atrás.]. São Paulo, Brasil. Sem data sem data Sem data. Fotografia digitalizada; colorida; suporte em papel fotográfico. Disponível em: &lt;link do dataverse&gt;. Acesso em: 28 out. 2025.</v>
      </c>
      <c r="T18" s="59" t="s">
        <v>91</v>
      </c>
    </row>
    <row r="19" ht="15.75" customHeight="1">
      <c r="A19" s="49" t="str">
        <f t="shared" si="1"/>
        <v>018</v>
      </c>
      <c r="B19" s="60" t="s">
        <v>124</v>
      </c>
      <c r="C19" s="61" t="s">
        <v>77</v>
      </c>
      <c r="D19" s="62" t="s">
        <v>78</v>
      </c>
      <c r="E19" s="63" t="s">
        <v>79</v>
      </c>
      <c r="F19" s="54" t="s">
        <v>80</v>
      </c>
      <c r="G19" s="64" t="s">
        <v>81</v>
      </c>
      <c r="H19" s="56" t="s">
        <v>82</v>
      </c>
      <c r="I19" s="50" t="s">
        <v>83</v>
      </c>
      <c r="J19" s="56" t="s">
        <v>84</v>
      </c>
      <c r="K19" s="65" t="str">
        <f>TEXTJOIN("", TRUE, Geral!B19:U19)</f>
        <v>BR-SPGPDVE_ARCOENGE-DEMOLICAO-CSDTCARANDIRU_ICO-FOT-DGZ-MB0_0001-018.JPG</v>
      </c>
      <c r="L19"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9" s="64" t="s">
        <v>125</v>
      </c>
      <c r="N19"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9" s="50" t="s">
        <v>88</v>
      </c>
      <c r="P19" s="54" t="s">
        <v>89</v>
      </c>
      <c r="Q19" s="54" t="s">
        <v>90</v>
      </c>
      <c r="R19" s="66" t="str">
        <f t="shared" si="2"/>
        <v>Figura n – [Vista elevada margeada por estrutura escura à esquerda, mostrando laje, pátio com pessoas e dois pavilhões ao fundo.]
Fonte: Arquivo do Estado de São Paulo, Sem data.</v>
      </c>
      <c r="S19" s="66" t="str">
        <f t="shared" si="3"/>
        <v>ARQUIVO PÚBLICO DO ESTADO DE SÃO PAULO (Brasil). [Vista elevada margeada por estrutura escura à esquerda, mostrando laje, pátio com pessoas e dois pavilhões ao fundo.]. São Paulo, Brasil. Sem data sem data Sem data. Fotografia digitalizada; colorida; suporte em papel fotográfico. Disponível em: &lt;link do dataverse&gt;. Acesso em: 28 out. 2025.</v>
      </c>
      <c r="T19" s="59" t="s">
        <v>91</v>
      </c>
    </row>
    <row r="20" ht="15.75" customHeight="1">
      <c r="A20" s="49" t="str">
        <f t="shared" si="1"/>
        <v>019</v>
      </c>
      <c r="B20" s="60" t="s">
        <v>126</v>
      </c>
      <c r="C20" s="61" t="s">
        <v>77</v>
      </c>
      <c r="D20" s="52" t="s">
        <v>78</v>
      </c>
      <c r="E20" s="63" t="s">
        <v>79</v>
      </c>
      <c r="F20" s="54" t="s">
        <v>80</v>
      </c>
      <c r="G20" s="55" t="s">
        <v>81</v>
      </c>
      <c r="H20" s="56" t="s">
        <v>82</v>
      </c>
      <c r="I20" s="50" t="s">
        <v>83</v>
      </c>
      <c r="J20" s="56" t="s">
        <v>84</v>
      </c>
      <c r="K20" s="65" t="str">
        <f>TEXTJOIN("", TRUE, Geral!B20:U20)</f>
        <v>BR-SPGPDVE_ARCOENGE-DEMOLICAO-CSDTCARANDIRU_ICO-FOT-DGZ-MB0_0001-019.JPG</v>
      </c>
      <c r="L20"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0" s="64" t="s">
        <v>127</v>
      </c>
      <c r="N20"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0" s="50" t="s">
        <v>88</v>
      </c>
      <c r="P20" s="54" t="s">
        <v>89</v>
      </c>
      <c r="Q20" s="54" t="s">
        <v>90</v>
      </c>
      <c r="R20" s="66" t="str">
        <f t="shared" si="2"/>
        <v>Figura n – [Perspectiva de corredor térreo ladeado por guarda-corpo metálico e grande fachada de pavilhão à direita.]
Fonte: Arquivo do Estado de São Paulo, Sem data.</v>
      </c>
      <c r="S20" s="66" t="str">
        <f t="shared" si="3"/>
        <v>ARQUIVO PÚBLICO DO ESTADO DE SÃO PAULO (Brasil). [Perspectiva de corredor térreo ladeado por guarda-corpo metálico e grande fachada de pavilhão à direita.]. São Paulo, Brasil. Sem data sem data Sem data. Fotografia digitalizada; colorida; suporte em papel fotográfico. Disponível em: &lt;link do dataverse&gt;. Acesso em: 28 out. 2025.</v>
      </c>
      <c r="T20" s="59" t="s">
        <v>91</v>
      </c>
    </row>
    <row r="21" ht="15.75" customHeight="1">
      <c r="A21" s="49" t="str">
        <f t="shared" si="1"/>
        <v>020</v>
      </c>
      <c r="B21" s="60" t="s">
        <v>128</v>
      </c>
      <c r="C21" s="61" t="s">
        <v>77</v>
      </c>
      <c r="D21" s="62" t="s">
        <v>78</v>
      </c>
      <c r="E21" s="63" t="s">
        <v>79</v>
      </c>
      <c r="F21" s="54" t="s">
        <v>80</v>
      </c>
      <c r="G21" s="64" t="s">
        <v>81</v>
      </c>
      <c r="H21" s="56" t="s">
        <v>82</v>
      </c>
      <c r="I21" s="50" t="s">
        <v>83</v>
      </c>
      <c r="J21" s="56" t="s">
        <v>84</v>
      </c>
      <c r="K21" s="65" t="str">
        <f>TEXTJOIN("", TRUE, Geral!B21:U21)</f>
        <v>BR-SPGPDVE_ARCOENGE-DEMOLICAO-CSDTCARANDIRU_ICO-FOT-DGZ-MB0_0001-020.JPG</v>
      </c>
      <c r="L21"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1" s="64" t="s">
        <v>129</v>
      </c>
      <c r="N21"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1" s="50" t="s">
        <v>88</v>
      </c>
      <c r="P21" s="54" t="s">
        <v>89</v>
      </c>
      <c r="Q21" s="54" t="s">
        <v>90</v>
      </c>
      <c r="R21" s="66" t="str">
        <f t="shared" si="2"/>
        <v>Figura n – [Corredor estreito entre parede de concreto escura à direita e fachada de pavilhão exibindo tecido avermelhado à esquerda.]
Fonte: Arquivo do Estado de São Paulo, Sem data.</v>
      </c>
      <c r="S21" s="66" t="str">
        <f t="shared" si="3"/>
        <v>ARQUIVO PÚBLICO DO ESTADO DE SÃO PAULO (Brasil). [Corredor estreito entre parede de concreto escura à direita e fachada de pavilhão exibindo tecido avermelhado à esquerda.]. São Paulo, Brasil. Sem data sem data Sem data. Fotografia digitalizada; colorida; suporte em papel fotográfico. Disponível em: &lt;link do dataverse&gt;. Acesso em: 28 out. 2025.</v>
      </c>
      <c r="T21" s="59" t="s">
        <v>91</v>
      </c>
    </row>
    <row r="22" ht="15.75" customHeight="1">
      <c r="A22" s="49" t="str">
        <f t="shared" si="1"/>
        <v>021</v>
      </c>
      <c r="B22" s="60" t="s">
        <v>130</v>
      </c>
      <c r="C22" s="61" t="s">
        <v>77</v>
      </c>
      <c r="D22" s="52" t="s">
        <v>78</v>
      </c>
      <c r="E22" s="63" t="s">
        <v>79</v>
      </c>
      <c r="F22" s="54" t="s">
        <v>80</v>
      </c>
      <c r="G22" s="64" t="s">
        <v>81</v>
      </c>
      <c r="H22" s="56" t="s">
        <v>82</v>
      </c>
      <c r="I22" s="50" t="s">
        <v>83</v>
      </c>
      <c r="J22" s="56" t="s">
        <v>84</v>
      </c>
      <c r="K22" s="65" t="str">
        <f>TEXTJOIN("", TRUE, Geral!B22:U22)</f>
        <v>BR-SPGPDVE_ARCOENGE-DEMOLICAO-CSDTCARANDIRU_ICO-FOT-DGZ-MB0_0001-021.JPG</v>
      </c>
      <c r="L22"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2" s="64" t="s">
        <v>131</v>
      </c>
      <c r="N22"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2" s="50" t="s">
        <v>88</v>
      </c>
      <c r="P22" s="54" t="s">
        <v>89</v>
      </c>
      <c r="Q22" s="54" t="s">
        <v>90</v>
      </c>
      <c r="R22" s="66" t="str">
        <f t="shared" si="2"/>
        <v>Figura n – [Vista elevada de corredor estreito ladeado por pavilhão e muro alto, com pessoas ao fundo.]
Fonte: Arquivo do Estado de São Paulo, Sem data.</v>
      </c>
      <c r="S22" s="66" t="str">
        <f t="shared" si="3"/>
        <v>ARQUIVO PÚBLICO DO ESTADO DE SÃO PAULO (Brasil). [Vista elevada de corredor estreito ladeado por pavilhão e muro alto, com pessoas ao fundo.]. São Paulo, Brasil. Sem data sem data Sem data. Fotografia digitalizada; colorida; suporte em papel fotográfico. Disponível em: &lt;link do dataverse&gt;. Acesso em: 28 out. 2025.</v>
      </c>
      <c r="T22" s="59" t="s">
        <v>91</v>
      </c>
    </row>
    <row r="23" ht="15.75" customHeight="1">
      <c r="A23" s="49" t="str">
        <f t="shared" si="1"/>
        <v>022</v>
      </c>
      <c r="B23" s="60" t="s">
        <v>132</v>
      </c>
      <c r="C23" s="61" t="s">
        <v>77</v>
      </c>
      <c r="D23" s="62" t="s">
        <v>78</v>
      </c>
      <c r="E23" s="63" t="s">
        <v>79</v>
      </c>
      <c r="F23" s="54" t="s">
        <v>80</v>
      </c>
      <c r="G23" s="55" t="s">
        <v>81</v>
      </c>
      <c r="H23" s="56" t="s">
        <v>82</v>
      </c>
      <c r="I23" s="50" t="s">
        <v>83</v>
      </c>
      <c r="J23" s="56" t="s">
        <v>84</v>
      </c>
      <c r="K23" s="65" t="str">
        <f>TEXTJOIN("", TRUE, Geral!B23:U23)</f>
        <v>BR-SPGPDVE_ARCOENGE-DEMOLICAO-CSDTCARANDIRU_ICO-FOT-DGZ-MB0_0001-022.JPG</v>
      </c>
      <c r="L23"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3" s="64" t="s">
        <v>133</v>
      </c>
      <c r="N23"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3" s="50" t="s">
        <v>88</v>
      </c>
      <c r="P23" s="54" t="s">
        <v>89</v>
      </c>
      <c r="Q23" s="54" t="s">
        <v>90</v>
      </c>
      <c r="R23" s="66" t="str">
        <f t="shared" si="2"/>
        <v>Figura n – [Pátio interno com falhas na grama, flanqueado por pavilhão e guarda-corpo.]
Fonte: Arquivo do Estado de São Paulo, Sem data.</v>
      </c>
      <c r="S23" s="66" t="str">
        <f t="shared" si="3"/>
        <v>ARQUIVO PÚBLICO DO ESTADO DE SÃO PAULO (Brasil). [Pátio interno com falhas na grama, flanqueado por pavilhão e guarda-corpo.]. São Paulo, Brasil. Sem data sem data Sem data. Fotografia digitalizada; colorida; suporte em papel fotográfico. Disponível em: &lt;link do dataverse&gt;. Acesso em: 28 out. 2025.</v>
      </c>
      <c r="T23" s="59" t="s">
        <v>91</v>
      </c>
    </row>
    <row r="24" ht="15.75" customHeight="1">
      <c r="A24" s="49" t="str">
        <f t="shared" si="1"/>
        <v>023</v>
      </c>
      <c r="B24" s="60" t="s">
        <v>134</v>
      </c>
      <c r="C24" s="61" t="s">
        <v>77</v>
      </c>
      <c r="D24" s="52" t="s">
        <v>78</v>
      </c>
      <c r="E24" s="63" t="s">
        <v>79</v>
      </c>
      <c r="F24" s="54" t="s">
        <v>80</v>
      </c>
      <c r="G24" s="64" t="s">
        <v>81</v>
      </c>
      <c r="H24" s="56" t="s">
        <v>82</v>
      </c>
      <c r="I24" s="50" t="s">
        <v>83</v>
      </c>
      <c r="J24" s="56" t="s">
        <v>84</v>
      </c>
      <c r="K24" s="65" t="str">
        <f>TEXTJOIN("", TRUE, Geral!B24:U24)</f>
        <v>BR-SPGPDVE_ARCOENGE-DEMOLICAO-CSDTCARANDIRU_ICO-FOT-DGZ-MB0_0001-023.JPG</v>
      </c>
      <c r="L24"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4" s="64" t="s">
        <v>135</v>
      </c>
      <c r="N24"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4" s="50" t="s">
        <v>88</v>
      </c>
      <c r="P24" s="54" t="s">
        <v>89</v>
      </c>
      <c r="Q24" s="54" t="s">
        <v>90</v>
      </c>
      <c r="R24" s="66" t="str">
        <f t="shared" si="2"/>
        <v>Figura n – [Campo de terra com pessoas, dividido por muro longo, com dois pavilhões ao fundo.]
Fonte: Arquivo do Estado de São Paulo, Sem data.</v>
      </c>
      <c r="S24" s="66" t="str">
        <f t="shared" si="3"/>
        <v>ARQUIVO PÚBLICO DO ESTADO DE SÃO PAULO (Brasil). [Campo de terra com pessoas, dividido por muro longo, com dois pavilhões ao fundo.]. São Paulo, Brasil. Sem data sem data Sem data. Fotografia digitalizada; colorida; suporte em papel fotográfico. Disponível em: &lt;link do dataverse&gt;. Acesso em: 28 out. 2025.</v>
      </c>
      <c r="T24" s="59" t="s">
        <v>91</v>
      </c>
    </row>
    <row r="25" ht="15.75" customHeight="1">
      <c r="A25" s="49" t="str">
        <f t="shared" si="1"/>
        <v>024</v>
      </c>
      <c r="B25" s="60" t="s">
        <v>136</v>
      </c>
      <c r="C25" s="61" t="s">
        <v>77</v>
      </c>
      <c r="D25" s="62" t="s">
        <v>78</v>
      </c>
      <c r="E25" s="63" t="s">
        <v>79</v>
      </c>
      <c r="F25" s="54" t="s">
        <v>80</v>
      </c>
      <c r="G25" s="64" t="s">
        <v>81</v>
      </c>
      <c r="H25" s="56" t="s">
        <v>82</v>
      </c>
      <c r="I25" s="50" t="s">
        <v>83</v>
      </c>
      <c r="J25" s="56" t="s">
        <v>84</v>
      </c>
      <c r="K25" s="65" t="str">
        <f>TEXTJOIN("", TRUE, Geral!B25:U25)</f>
        <v>BR-SPGPDVE_ARCOENGE-DEMOLICAO-CSDTCARANDIRU_ICO-FOT-DGZ-MB0_0001-024.JPG</v>
      </c>
      <c r="L25"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5" s="67" t="s">
        <v>137</v>
      </c>
      <c r="N25"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5" s="50" t="s">
        <v>88</v>
      </c>
      <c r="P25" s="54" t="s">
        <v>89</v>
      </c>
      <c r="Q25" s="54" t="s">
        <v>90</v>
      </c>
      <c r="R25" s="66" t="str">
        <f t="shared" si="2"/>
        <v>Figura n – [Vista elevada atrás de grade metálica mostrando terreno irregular, pavilhão extenso e prédios urbanos.]
Fonte: Arquivo do Estado de São Paulo, Sem data.</v>
      </c>
      <c r="S25" s="66" t="str">
        <f t="shared" si="3"/>
        <v>ARQUIVO PÚBLICO DO ESTADO DE SÃO PAULO (Brasil). [Vista elevada atrás de grade metálica mostrando terreno irregular, pavilhão extenso e prédios urbanos.]. São Paulo, Brasil. Sem data sem data Sem data. Fotografia digitalizada; colorida; suporte em papel fotográfico. Disponível em: &lt;link do dataverse&gt;. Acesso em: 28 out. 2025.</v>
      </c>
      <c r="T25" s="59" t="s">
        <v>91</v>
      </c>
    </row>
    <row r="26" ht="15.75" customHeight="1">
      <c r="A26" s="49" t="str">
        <f t="shared" si="1"/>
        <v>025</v>
      </c>
      <c r="B26" s="60" t="s">
        <v>138</v>
      </c>
      <c r="C26" s="61" t="s">
        <v>77</v>
      </c>
      <c r="D26" s="52" t="s">
        <v>78</v>
      </c>
      <c r="E26" s="63" t="s">
        <v>79</v>
      </c>
      <c r="F26" s="54" t="s">
        <v>80</v>
      </c>
      <c r="G26" s="55" t="s">
        <v>81</v>
      </c>
      <c r="H26" s="56" t="s">
        <v>82</v>
      </c>
      <c r="I26" s="50" t="s">
        <v>83</v>
      </c>
      <c r="J26" s="56" t="s">
        <v>84</v>
      </c>
      <c r="K26" s="65" t="str">
        <f>TEXTJOIN("", TRUE, Geral!B26:U26)</f>
        <v>BR-SPGPDVE_ARCOENGE-DEMOLICAO-CSDTCARANDIRU_ICO-FOT-DGZ-MB0_0001-025.JPG</v>
      </c>
      <c r="L26"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6" s="67" t="s">
        <v>139</v>
      </c>
      <c r="N26"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6" s="50" t="s">
        <v>88</v>
      </c>
      <c r="P26" s="54" t="s">
        <v>89</v>
      </c>
      <c r="Q26" s="54" t="s">
        <v>90</v>
      </c>
      <c r="R26" s="66" t="str">
        <f t="shared" si="2"/>
        <v>Figura n – [Perspectiva de pátio a partir de passarela com grade, exibindo pavilhão e horizonte da cidade.]
Fonte: Arquivo do Estado de São Paulo, Sem data.</v>
      </c>
      <c r="S26" s="66" t="str">
        <f t="shared" si="3"/>
        <v>ARQUIVO PÚBLICO DO ESTADO DE SÃO PAULO (Brasil). [Perspectiva de pátio a partir de passarela com grade, exibindo pavilhão e horizonte da cidade.]. São Paulo, Brasil. Sem data sem data Sem data. Fotografia digitalizada; colorida; suporte em papel fotográfico. Disponível em: &lt;link do dataverse&gt;. Acesso em: 28 out. 2025.</v>
      </c>
      <c r="T26" s="59" t="s">
        <v>91</v>
      </c>
    </row>
    <row r="27" ht="15.75" customHeight="1">
      <c r="A27" s="49" t="str">
        <f t="shared" si="1"/>
        <v>026</v>
      </c>
      <c r="B27" s="60" t="s">
        <v>140</v>
      </c>
      <c r="C27" s="61" t="s">
        <v>77</v>
      </c>
      <c r="D27" s="62" t="s">
        <v>78</v>
      </c>
      <c r="E27" s="63" t="s">
        <v>79</v>
      </c>
      <c r="F27" s="54" t="s">
        <v>80</v>
      </c>
      <c r="G27" s="64" t="s">
        <v>81</v>
      </c>
      <c r="H27" s="56" t="s">
        <v>82</v>
      </c>
      <c r="I27" s="50" t="s">
        <v>83</v>
      </c>
      <c r="J27" s="56" t="s">
        <v>84</v>
      </c>
      <c r="K27" s="65" t="str">
        <f>TEXTJOIN("", TRUE, Geral!B27:U27)</f>
        <v>BR-SPGPDVE_ARCOENGE-DEMOLICAO-CSDTCARANDIRU_ICO-FOT-DGZ-MB0_0001-026.JPG</v>
      </c>
      <c r="L27"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7" s="64" t="s">
        <v>141</v>
      </c>
      <c r="N27"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7" s="50" t="s">
        <v>88</v>
      </c>
      <c r="P27" s="54" t="s">
        <v>89</v>
      </c>
      <c r="Q27" s="54" t="s">
        <v>90</v>
      </c>
      <c r="R27" s="66" t="str">
        <f t="shared" si="2"/>
        <v>Figura n – [Edifícios de concreto cru com vãos vazios, isolados por muro e ladeados por mato alto.]
Fonte: Arquivo do Estado de São Paulo, Sem data.</v>
      </c>
      <c r="S27" s="66" t="str">
        <f t="shared" si="3"/>
        <v>ARQUIVO PÚBLICO DO ESTADO DE SÃO PAULO (Brasil). [Edifícios de concreto cru com vãos vazios, isolados por muro e ladeados por mato alto.]. São Paulo, Brasil. Sem data sem data Sem data. Fotografia digitalizada; colorida; suporte em papel fotográfico. Disponível em: &lt;link do dataverse&gt;. Acesso em: 28 out. 2025.</v>
      </c>
      <c r="T27" s="59" t="s">
        <v>91</v>
      </c>
    </row>
    <row r="28" ht="15.75" customHeight="1">
      <c r="A28" s="49" t="str">
        <f t="shared" si="1"/>
        <v>027</v>
      </c>
      <c r="B28" s="60" t="s">
        <v>142</v>
      </c>
      <c r="C28" s="61" t="s">
        <v>77</v>
      </c>
      <c r="D28" s="52" t="s">
        <v>78</v>
      </c>
      <c r="E28" s="63" t="s">
        <v>79</v>
      </c>
      <c r="F28" s="54" t="s">
        <v>80</v>
      </c>
      <c r="G28" s="64" t="s">
        <v>81</v>
      </c>
      <c r="H28" s="56" t="s">
        <v>82</v>
      </c>
      <c r="I28" s="50" t="s">
        <v>83</v>
      </c>
      <c r="J28" s="56" t="s">
        <v>84</v>
      </c>
      <c r="K28" s="65" t="str">
        <f>TEXTJOIN("", TRUE, Geral!B28:U28)</f>
        <v>BR-SPGPDVE_ARCOENGE-DEMOLICAO-CSDTCARANDIRU_ICO-FOT-DGZ-MB0_0001-027.JPG</v>
      </c>
      <c r="L28"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8" s="64" t="s">
        <v>143</v>
      </c>
      <c r="N28"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8" s="50" t="s">
        <v>88</v>
      </c>
      <c r="P28" s="54" t="s">
        <v>89</v>
      </c>
      <c r="Q28" s="54" t="s">
        <v>90</v>
      </c>
      <c r="R28" s="66" t="str">
        <f t="shared" si="2"/>
        <v>Figura n – [Bloco maciço de concreto com aberturas sem esquadrias, cercado por vegetação rasteira e arbustos.]
Fonte: Arquivo do Estado de São Paulo, Sem data.</v>
      </c>
      <c r="S28" s="66" t="str">
        <f t="shared" si="3"/>
        <v>ARQUIVO PÚBLICO DO ESTADO DE SÃO PAULO (Brasil). [Bloco maciço de concreto com aberturas sem esquadrias, cercado por vegetação rasteira e arbustos.]. São Paulo, Brasil. Sem data sem data Sem data. Fotografia digitalizada; colorida; suporte em papel fotográfico. Disponível em: &lt;link do dataverse&gt;. Acesso em: 28 out. 2025.</v>
      </c>
      <c r="T28" s="59" t="s">
        <v>91</v>
      </c>
    </row>
    <row r="29" ht="15.75" customHeight="1">
      <c r="A29" s="49" t="str">
        <f t="shared" si="1"/>
        <v>028</v>
      </c>
      <c r="B29" s="60" t="s">
        <v>144</v>
      </c>
      <c r="C29" s="61" t="s">
        <v>77</v>
      </c>
      <c r="D29" s="62" t="s">
        <v>78</v>
      </c>
      <c r="E29" s="63" t="s">
        <v>79</v>
      </c>
      <c r="F29" s="54" t="s">
        <v>80</v>
      </c>
      <c r="G29" s="55" t="s">
        <v>81</v>
      </c>
      <c r="H29" s="56" t="s">
        <v>82</v>
      </c>
      <c r="I29" s="50" t="s">
        <v>83</v>
      </c>
      <c r="J29" s="56" t="s">
        <v>84</v>
      </c>
      <c r="K29" s="65" t="str">
        <f>TEXTJOIN("", TRUE, Geral!B29:U29)</f>
        <v>BR-SPGPDVE_ARCOENGE-DEMOLICAO-CSDTCARANDIRU_ICO-FOT-DGZ-MB0_0001-028.JPG</v>
      </c>
      <c r="L29"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9" s="64" t="s">
        <v>145</v>
      </c>
      <c r="N29"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9" s="50" t="s">
        <v>88</v>
      </c>
      <c r="P29" s="54" t="s">
        <v>89</v>
      </c>
      <c r="Q29" s="54" t="s">
        <v>90</v>
      </c>
      <c r="R29" s="66" t="str">
        <f t="shared" si="2"/>
        <v>Figura n – [Fachada de prédio em concreto bruto com vão livre no térreo, ladeada por arbustos e galhos secos.]
Fonte: Arquivo do Estado de São Paulo, Sem data.</v>
      </c>
      <c r="S29" s="66" t="str">
        <f t="shared" si="3"/>
        <v>ARQUIVO PÚBLICO DO ESTADO DE SÃO PAULO (Brasil). [Fachada de prédio em concreto bruto com vão livre no térreo, ladeada por arbustos e galhos secos.]. São Paulo, Brasil. Sem data sem data Sem data. Fotografia digitalizada; colorida; suporte em papel fotográfico. Disponível em: &lt;link do dataverse&gt;. Acesso em: 28 out. 2025.</v>
      </c>
      <c r="T29" s="59" t="s">
        <v>91</v>
      </c>
    </row>
    <row r="30" ht="15.75" customHeight="1">
      <c r="A30" s="49" t="str">
        <f t="shared" si="1"/>
        <v>029</v>
      </c>
      <c r="B30" s="60" t="s">
        <v>146</v>
      </c>
      <c r="C30" s="61" t="s">
        <v>77</v>
      </c>
      <c r="D30" s="52" t="s">
        <v>78</v>
      </c>
      <c r="E30" s="63" t="s">
        <v>79</v>
      </c>
      <c r="F30" s="54" t="s">
        <v>80</v>
      </c>
      <c r="G30" s="64" t="s">
        <v>81</v>
      </c>
      <c r="H30" s="56" t="s">
        <v>82</v>
      </c>
      <c r="I30" s="50" t="s">
        <v>83</v>
      </c>
      <c r="J30" s="56" t="s">
        <v>84</v>
      </c>
      <c r="K30" s="65" t="str">
        <f>TEXTJOIN("", TRUE, Geral!B30:U30)</f>
        <v>BR-SPGPDVE_ARCOENGE-DEMOLICAO-CSDTCARANDIRU_ICO-FOT-DGZ-MB0_0001-029.JPG</v>
      </c>
      <c r="L30"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30" s="64" t="s">
        <v>147</v>
      </c>
      <c r="N30"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30" s="50" t="s">
        <v>88</v>
      </c>
      <c r="P30" s="54" t="s">
        <v>89</v>
      </c>
      <c r="Q30" s="54" t="s">
        <v>90</v>
      </c>
      <c r="R30" s="66" t="str">
        <f t="shared" si="2"/>
        <v>Figura n – [Vista a partir de laje com guarda-corpo focada na perspectiva lateral de longo pavilhão com janelas.]
Fonte: Arquivo do Estado de São Paulo, Sem data.</v>
      </c>
      <c r="S30" s="66" t="str">
        <f t="shared" si="3"/>
        <v>ARQUIVO PÚBLICO DO ESTADO DE SÃO PAULO (Brasil). [Vista a partir de laje com guarda-corpo focada na perspectiva lateral de longo pavilhão com janelas.]. São Paulo, Brasil. Sem data sem data Sem data. Fotografia digitalizada; colorida; suporte em papel fotográfico. Disponível em: &lt;link do dataverse&gt;. Acesso em: 28 out. 2025.</v>
      </c>
      <c r="T30" s="59" t="s">
        <v>91</v>
      </c>
    </row>
    <row r="31" ht="15.75" customHeight="1">
      <c r="A31" s="49" t="str">
        <f t="shared" si="1"/>
        <v>030</v>
      </c>
      <c r="B31" s="60" t="s">
        <v>148</v>
      </c>
      <c r="C31" s="61" t="s">
        <v>77</v>
      </c>
      <c r="D31" s="62" t="s">
        <v>78</v>
      </c>
      <c r="E31" s="63" t="s">
        <v>79</v>
      </c>
      <c r="F31" s="54" t="s">
        <v>80</v>
      </c>
      <c r="G31" s="64" t="s">
        <v>81</v>
      </c>
      <c r="H31" s="56" t="s">
        <v>82</v>
      </c>
      <c r="I31" s="50" t="s">
        <v>83</v>
      </c>
      <c r="J31" s="56" t="s">
        <v>84</v>
      </c>
      <c r="K31" s="65" t="str">
        <f>TEXTJOIN("", TRUE, Geral!B31:U31)</f>
        <v>BR-SPGPDVE_ARCOENGE-DEMOLICAO-CSDTCARANDIRU_ICO-FOT-DGZ-MB0_0001-030.JPG</v>
      </c>
      <c r="L31"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31" s="64" t="s">
        <v>149</v>
      </c>
      <c r="N31"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31" s="50" t="s">
        <v>88</v>
      </c>
      <c r="P31" s="54" t="s">
        <v>89</v>
      </c>
      <c r="Q31" s="54" t="s">
        <v>90</v>
      </c>
      <c r="R31" s="66" t="str">
        <f t="shared" si="2"/>
        <v>Figura n – [Campo de quadra de terra subdividido por muro escuro, com dois pavilhões ao fundo.]
Fonte: Arquivo do Estado de São Paulo, Sem data.</v>
      </c>
      <c r="S31" s="66" t="str">
        <f t="shared" si="3"/>
        <v>ARQUIVO PÚBLICO DO ESTADO DE SÃO PAULO (Brasil). [Campo de quadra de terra subdividido por muro escuro, com dois pavilhões ao fundo.]. São Paulo, Brasil. Sem data sem data Sem data. Fotografia digitalizada; colorida; suporte em papel fotográfico. Disponível em: &lt;link do dataverse&gt;. Acesso em: 28 out. 2025.</v>
      </c>
      <c r="T31" s="59" t="s">
        <v>91</v>
      </c>
    </row>
    <row r="32" ht="15.75" customHeight="1">
      <c r="A32" s="49" t="str">
        <f t="shared" si="1"/>
        <v>031</v>
      </c>
      <c r="B32" s="60" t="s">
        <v>150</v>
      </c>
      <c r="C32" s="68" t="s">
        <v>77</v>
      </c>
      <c r="D32" s="52" t="s">
        <v>78</v>
      </c>
      <c r="E32" s="63" t="s">
        <v>79</v>
      </c>
      <c r="F32" s="54" t="s">
        <v>80</v>
      </c>
      <c r="G32" s="55" t="s">
        <v>81</v>
      </c>
      <c r="H32" s="56" t="s">
        <v>82</v>
      </c>
      <c r="I32" s="50" t="s">
        <v>83</v>
      </c>
      <c r="J32" s="56" t="s">
        <v>84</v>
      </c>
      <c r="K32" s="69" t="str">
        <f>TEXTJOIN("", TRUE, Geral!B32:U32)</f>
        <v>BR-SPGPDVE_ARCOENGE-DEMOLICAO-CSDTCARANDIRU_ICO-FOT-DGZ-MB0_0001-031.JPG</v>
      </c>
      <c r="L32"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32" s="70" t="s">
        <v>151</v>
      </c>
      <c r="N32"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32" s="50" t="s">
        <v>88</v>
      </c>
      <c r="P32" s="54" t="s">
        <v>89</v>
      </c>
      <c r="Q32" s="54" t="s">
        <v>90</v>
      </c>
      <c r="R32" s="71" t="str">
        <f t="shared" si="2"/>
        <v>Figura n – [Vista elevada de campo de terra com trave de futebol e pessoas, ladeado por grande pavilhão e muro longo.]
Fonte: Arquivo do Estado de São Paulo, Sem data.</v>
      </c>
      <c r="S32" s="71" t="str">
        <f t="shared" si="3"/>
        <v>ARQUIVO PÚBLICO DO ESTADO DE SÃO PAULO (Brasil). [Vista elevada de campo de terra com trave de futebol e pessoas, ladeado por grande pavilhão e muro longo.]. São Paulo, Brasil. Sem data sem data Sem data. Fotografia digitalizada; colorida; suporte em papel fotográfico. Disponível em: &lt;link do dataverse&gt;. Acesso em: 28 out. 2025.</v>
      </c>
      <c r="T32" s="59" t="s">
        <v>91</v>
      </c>
    </row>
    <row r="33" ht="15.75" customHeight="1"/>
    <row r="34" ht="15.75" customHeight="1"/>
  </sheetData>
  <conditionalFormatting sqref="A1">
    <cfRule type="notContainsBlanks" dxfId="0" priority="1">
      <formula>LEN(TRIM(A1))&gt;0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88"/>
    <col customWidth="1" min="2" max="2" width="33.63"/>
    <col customWidth="1" min="3" max="3" width="19.88"/>
    <col customWidth="1" min="4" max="4" width="36.13"/>
    <col customWidth="1" min="5" max="5" width="24.38"/>
    <col customWidth="1" min="6" max="6" width="35.25"/>
    <col customWidth="1" min="7" max="7" width="19.88"/>
    <col customWidth="1" min="8" max="8" width="48.63"/>
    <col customWidth="1" min="9" max="9" width="69.13"/>
    <col customWidth="1" min="10" max="10" width="14.13"/>
    <col customWidth="1" min="11" max="11" width="44.63"/>
    <col customWidth="1" min="12" max="12" width="82.13"/>
    <col customWidth="1" min="13" max="13" width="80.63"/>
    <col customWidth="1" min="14" max="14" width="78.13"/>
    <col customWidth="1" min="15" max="15" width="42.75"/>
    <col customWidth="1" min="16" max="16" width="23.25"/>
    <col customWidth="1" min="17" max="17" width="42.88"/>
    <col customWidth="1" min="18" max="18" width="50.88"/>
    <col customWidth="1" min="19" max="19" width="64.88"/>
    <col customWidth="1" min="20" max="20" width="50.38"/>
  </cols>
  <sheetData>
    <row r="1" ht="15.75" customHeight="1">
      <c r="A1" s="42" t="s">
        <v>57</v>
      </c>
      <c r="B1" s="43" t="s">
        <v>58</v>
      </c>
      <c r="C1" s="44" t="s">
        <v>59</v>
      </c>
      <c r="D1" s="45" t="s">
        <v>152</v>
      </c>
      <c r="E1" s="44" t="s">
        <v>61</v>
      </c>
      <c r="F1" s="45" t="s">
        <v>62</v>
      </c>
      <c r="G1" s="44" t="s">
        <v>63</v>
      </c>
      <c r="H1" s="46" t="s">
        <v>64</v>
      </c>
      <c r="I1" s="44" t="s">
        <v>65</v>
      </c>
      <c r="J1" s="44" t="s">
        <v>66</v>
      </c>
      <c r="K1" s="45" t="s">
        <v>67</v>
      </c>
      <c r="L1" s="44" t="s">
        <v>68</v>
      </c>
      <c r="M1" s="47" t="s">
        <v>69</v>
      </c>
      <c r="N1" s="44" t="s">
        <v>70</v>
      </c>
      <c r="O1" s="45" t="s">
        <v>71</v>
      </c>
      <c r="P1" s="44" t="s">
        <v>72</v>
      </c>
      <c r="Q1" s="44" t="s">
        <v>7</v>
      </c>
      <c r="R1" s="46" t="s">
        <v>73</v>
      </c>
      <c r="S1" s="48" t="s">
        <v>74</v>
      </c>
      <c r="T1" s="45" t="s">
        <v>75</v>
      </c>
    </row>
    <row r="2" ht="15.75" customHeight="1">
      <c r="A2" s="49" t="str">
        <f t="shared" ref="A2:A26" si="1">MID(K2, LEN(K2)-6, 3)</f>
        <v>001</v>
      </c>
      <c r="B2" s="50" t="s">
        <v>153</v>
      </c>
      <c r="C2" s="51" t="s">
        <v>77</v>
      </c>
      <c r="D2" s="72">
        <v>37690.0</v>
      </c>
      <c r="E2" s="53" t="s">
        <v>79</v>
      </c>
      <c r="F2" s="54" t="s">
        <v>80</v>
      </c>
      <c r="G2" s="55" t="s">
        <v>81</v>
      </c>
      <c r="H2" s="56" t="s">
        <v>82</v>
      </c>
      <c r="I2" s="50" t="s">
        <v>83</v>
      </c>
      <c r="J2" s="56" t="s">
        <v>154</v>
      </c>
      <c r="K2" s="57" t="str">
        <f>TEXTJOIN("", TRUE, Geral!B33:U33)</f>
        <v>BR-SPGPDVE_ARCOENGE-DEMOLICAO-CSDTCARANDIRU_ICO-FOT-DGZ-MB0_0002-001.JPG</v>
      </c>
      <c r="L2"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 s="55" t="s">
        <v>155</v>
      </c>
      <c r="N2"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 s="50" t="s">
        <v>88</v>
      </c>
      <c r="P2" s="54" t="s">
        <v>89</v>
      </c>
      <c r="Q2" s="54" t="s">
        <v>90</v>
      </c>
      <c r="R2" s="58" t="str">
        <f t="shared" ref="R2:R26" si="2">"Figura n – ["&amp;B2&amp;"]"&amp;CHAR(10)&amp;"Fonte: Arquivo do Estado de São Paulo, "&amp;TEXT(D2,"yyyy")&amp;"."</f>
        <v>Figura n – [Vista geral da torre de água e bairro residencial ao fundo.]
Fonte: Arquivo do Estado de São Paulo, 2003.</v>
      </c>
      <c r="S2" s="58" t="str">
        <f t="shared" ref="S2:S26" si="3">"ARQUIVO PÚBLICO DO ESTADO DE SÃO PAULO (Brasil). ["&amp;B2&amp;"]. "&amp;G2&amp;". "&amp;TEXT(D2,"dd")&amp;" "&amp;LOWER(TEXT(D2,"mmm"))&amp;" "&amp;TEXT(D2,"yyyy")&amp;". "&amp;F2&amp;". Disponível em: &lt;link do dataverse&gt;. Acesso em: 28 out. 2025."</f>
        <v>ARQUIVO PÚBLICO DO ESTADO DE SÃO PAULO (Brasil). [Vista geral da torre de água e bairro residencial ao fundo.]. São Paulo, Brasil. 10 mar. 2003. Fotografia digitalizada; colorida; suporte em papel fotográfico. Disponível em: &lt;link do dataverse&gt;. Acesso em: 28 out. 2025.</v>
      </c>
      <c r="T2" s="59" t="s">
        <v>156</v>
      </c>
    </row>
    <row r="3" ht="15.75" customHeight="1">
      <c r="A3" s="49" t="str">
        <f t="shared" si="1"/>
        <v>002</v>
      </c>
      <c r="B3" s="60" t="s">
        <v>157</v>
      </c>
      <c r="C3" s="61" t="s">
        <v>77</v>
      </c>
      <c r="D3" s="73">
        <v>37690.0</v>
      </c>
      <c r="E3" s="63" t="s">
        <v>79</v>
      </c>
      <c r="F3" s="54" t="s">
        <v>80</v>
      </c>
      <c r="G3" s="64" t="s">
        <v>81</v>
      </c>
      <c r="H3" s="56" t="s">
        <v>82</v>
      </c>
      <c r="I3" s="50" t="s">
        <v>83</v>
      </c>
      <c r="J3" s="56" t="s">
        <v>154</v>
      </c>
      <c r="K3" s="57" t="str">
        <f>TEXTJOIN("", TRUE, Geral!B34:U34)</f>
        <v>BR-SPGPDVE_ARCOENGE-DEMOLICAO-CSDTCARANDIRU_ICO-FOT-DGZ-MB0_0002-002.JPG</v>
      </c>
      <c r="L3"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3" s="55" t="s">
        <v>158</v>
      </c>
      <c r="N3"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3" s="50" t="s">
        <v>88</v>
      </c>
      <c r="P3" s="54" t="s">
        <v>89</v>
      </c>
      <c r="Q3" s="54" t="s">
        <v>90</v>
      </c>
      <c r="R3" s="66" t="str">
        <f t="shared" si="2"/>
        <v>Figura n – [Torre de água de concreto e trabalhadores.]
Fonte: Arquivo do Estado de São Paulo, 2003.</v>
      </c>
      <c r="S3" s="66" t="str">
        <f t="shared" si="3"/>
        <v>ARQUIVO PÚBLICO DO ESTADO DE SÃO PAULO (Brasil). [Torre de água de concreto e trabalhadores.]. São Paulo, Brasil. 10 mar. 2003. Fotografia digitalizada; colorida; suporte em papel fotográfico. Disponível em: &lt;link do dataverse&gt;. Acesso em: 28 out. 2025.</v>
      </c>
      <c r="T3" s="59" t="str">
        <f t="shared" ref="T3:T26" si="4">$T$2</f>
        <v>Este item pertencia à pasta intitulada "caixa-d'água 1".
Com relação à data de produção da fotografia, embora a lateral das fotografias indiquem 03/03/03, optou-se por utilizar a data mais antiga contida nos metadados do arquivo digital.</v>
      </c>
    </row>
    <row r="4" ht="15.75" customHeight="1">
      <c r="A4" s="49" t="str">
        <f t="shared" si="1"/>
        <v>003</v>
      </c>
      <c r="B4" s="60" t="s">
        <v>159</v>
      </c>
      <c r="C4" s="61" t="s">
        <v>77</v>
      </c>
      <c r="D4" s="72">
        <v>37690.0</v>
      </c>
      <c r="E4" s="63" t="s">
        <v>79</v>
      </c>
      <c r="F4" s="54" t="s">
        <v>80</v>
      </c>
      <c r="G4" s="64" t="s">
        <v>81</v>
      </c>
      <c r="H4" s="56" t="s">
        <v>82</v>
      </c>
      <c r="I4" s="50" t="s">
        <v>83</v>
      </c>
      <c r="J4" s="56" t="s">
        <v>154</v>
      </c>
      <c r="K4" s="57" t="str">
        <f>TEXTJOIN("", TRUE, Geral!B35:U35)</f>
        <v>BR-SPGPDVE_ARCOENGE-DEMOLICAO-CSDTCARANDIRU_ICO-FOT-DGZ-MB0_0002-003.JPG</v>
      </c>
      <c r="L4"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4" s="55" t="s">
        <v>160</v>
      </c>
      <c r="N4"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4" s="50" t="s">
        <v>88</v>
      </c>
      <c r="P4" s="54" t="s">
        <v>89</v>
      </c>
      <c r="Q4" s="54" t="s">
        <v>90</v>
      </c>
      <c r="R4" s="66" t="str">
        <f t="shared" si="2"/>
        <v>Figura n – [Telhados residenciais e pavilhões da Casa de Detenção do Carandiru.]
Fonte: Arquivo do Estado de São Paulo, 2003.</v>
      </c>
      <c r="S4" s="66" t="str">
        <f t="shared" si="3"/>
        <v>ARQUIVO PÚBLICO DO ESTADO DE SÃO PAULO (Brasil). [Telhados residenciais e pavilhões da Casa de Detenção do Carandiru.]. São Paulo, Brasil. 10 mar. 2003. Fotografia digitalizada; colorida; suporte em papel fotográfico. Disponível em: &lt;link do dataverse&gt;. Acesso em: 28 out. 2025.</v>
      </c>
      <c r="T4" s="59" t="str">
        <f t="shared" si="4"/>
        <v>Este item pertencia à pasta intitulada "caixa-d'água 1".
Com relação à data de produção da fotografia, embora a lateral das fotografias indiquem 03/03/03, optou-se por utilizar a data mais antiga contida nos metadados do arquivo digital.</v>
      </c>
    </row>
    <row r="5" ht="15.75" customHeight="1">
      <c r="A5" s="49" t="str">
        <f t="shared" si="1"/>
        <v>004</v>
      </c>
      <c r="B5" s="60" t="s">
        <v>161</v>
      </c>
      <c r="C5" s="61" t="s">
        <v>77</v>
      </c>
      <c r="D5" s="73">
        <v>37690.0</v>
      </c>
      <c r="E5" s="63" t="s">
        <v>79</v>
      </c>
      <c r="F5" s="54" t="s">
        <v>80</v>
      </c>
      <c r="G5" s="55" t="s">
        <v>81</v>
      </c>
      <c r="H5" s="56" t="s">
        <v>82</v>
      </c>
      <c r="I5" s="50" t="s">
        <v>83</v>
      </c>
      <c r="J5" s="56" t="s">
        <v>154</v>
      </c>
      <c r="K5" s="57" t="str">
        <f>TEXTJOIN("", TRUE, Geral!B36:U36)</f>
        <v>BR-SPGPDVE_ARCOENGE-DEMOLICAO-CSDTCARANDIRU_ICO-FOT-DGZ-MB0_0002-004.JPG</v>
      </c>
      <c r="L5"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5" s="55" t="s">
        <v>162</v>
      </c>
      <c r="N5"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5" s="50" t="s">
        <v>88</v>
      </c>
      <c r="P5" s="54" t="s">
        <v>89</v>
      </c>
      <c r="Q5" s="54" t="s">
        <v>90</v>
      </c>
      <c r="R5" s="66" t="str">
        <f t="shared" si="2"/>
        <v>Figura n – [Vista superior de imóveis residenciais contíguos.]
Fonte: Arquivo do Estado de São Paulo, 2003.</v>
      </c>
      <c r="S5" s="66" t="str">
        <f t="shared" si="3"/>
        <v>ARQUIVO PÚBLICO DO ESTADO DE SÃO PAULO (Brasil). [Vista superior de imóveis residenciais contíguos.]. São Paulo, Brasil. 10 mar. 2003. Fotografia digitalizada; colorida; suporte em papel fotográfico. Disponível em: &lt;link do dataverse&gt;. Acesso em: 28 out. 2025.</v>
      </c>
      <c r="T5" s="59" t="str">
        <f t="shared" si="4"/>
        <v>Este item pertencia à pasta intitulada "caixa-d'água 1".
Com relação à data de produção da fotografia, embora a lateral das fotografias indiquem 03/03/03, optou-se por utilizar a data mais antiga contida nos metadados do arquivo digital.</v>
      </c>
    </row>
    <row r="6" ht="15.75" customHeight="1">
      <c r="A6" s="49" t="str">
        <f t="shared" si="1"/>
        <v>005</v>
      </c>
      <c r="B6" s="60" t="s">
        <v>163</v>
      </c>
      <c r="C6" s="61" t="s">
        <v>77</v>
      </c>
      <c r="D6" s="72">
        <v>37690.0</v>
      </c>
      <c r="E6" s="63" t="s">
        <v>79</v>
      </c>
      <c r="F6" s="54" t="s">
        <v>80</v>
      </c>
      <c r="G6" s="64" t="s">
        <v>81</v>
      </c>
      <c r="H6" s="56" t="s">
        <v>82</v>
      </c>
      <c r="I6" s="50" t="s">
        <v>83</v>
      </c>
      <c r="J6" s="56" t="s">
        <v>154</v>
      </c>
      <c r="K6" s="57" t="str">
        <f>TEXTJOIN("", TRUE, Geral!B37:U37)</f>
        <v>BR-SPGPDVE_ARCOENGE-DEMOLICAO-CSDTCARANDIRU_ICO-FOT-DGZ-MB0_0002-005.JPG</v>
      </c>
      <c r="L6"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6" s="64" t="s">
        <v>164</v>
      </c>
      <c r="N6"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6" s="50" t="s">
        <v>88</v>
      </c>
      <c r="P6" s="54" t="s">
        <v>89</v>
      </c>
      <c r="Q6" s="54" t="s">
        <v>90</v>
      </c>
      <c r="R6" s="66" t="str">
        <f t="shared" si="2"/>
        <v>Figura n – [Edificação com laje e alvenaria expostas.]
Fonte: Arquivo do Estado de São Paulo, 2003.</v>
      </c>
      <c r="S6" s="66" t="str">
        <f t="shared" si="3"/>
        <v>ARQUIVO PÚBLICO DO ESTADO DE SÃO PAULO (Brasil). [Edificação com laje e alvenaria expostas.]. São Paulo, Brasil. 10 mar. 2003. Fotografia digitalizada; colorida; suporte em papel fotográfico. Disponível em: &lt;link do dataverse&gt;. Acesso em: 28 out. 2025.</v>
      </c>
      <c r="T6" s="59" t="str">
        <f t="shared" si="4"/>
        <v>Este item pertencia à pasta intitulada "caixa-d'água 1".
Com relação à data de produção da fotografia, embora a lateral das fotografias indiquem 03/03/03, optou-se por utilizar a data mais antiga contida nos metadados do arquivo digital.</v>
      </c>
    </row>
    <row r="7" ht="15.75" customHeight="1">
      <c r="A7" s="49" t="str">
        <f t="shared" si="1"/>
        <v>006</v>
      </c>
      <c r="B7" s="60" t="s">
        <v>165</v>
      </c>
      <c r="C7" s="61" t="s">
        <v>77</v>
      </c>
      <c r="D7" s="73">
        <v>37690.0</v>
      </c>
      <c r="E7" s="63" t="s">
        <v>79</v>
      </c>
      <c r="F7" s="54" t="s">
        <v>80</v>
      </c>
      <c r="G7" s="64" t="s">
        <v>81</v>
      </c>
      <c r="H7" s="56" t="s">
        <v>82</v>
      </c>
      <c r="I7" s="50" t="s">
        <v>83</v>
      </c>
      <c r="J7" s="56" t="s">
        <v>154</v>
      </c>
      <c r="K7" s="57" t="str">
        <f>TEXTJOIN("", TRUE, Geral!B38:U38)</f>
        <v>BR-SPGPDVE_ARCOENGE-DEMOLICAO-CSDTCARANDIRU_ICO-FOT-DGZ-MB0_0002-006.JPG</v>
      </c>
      <c r="L7"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7" s="64" t="s">
        <v>166</v>
      </c>
      <c r="N7"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7" s="50" t="s">
        <v>88</v>
      </c>
      <c r="P7" s="54" t="s">
        <v>89</v>
      </c>
      <c r="Q7" s="54" t="s">
        <v>90</v>
      </c>
      <c r="R7" s="66" t="str">
        <f t="shared" si="2"/>
        <v>Figura n – [Detalhe superior de imóvel parcialmente destelhado.]
Fonte: Arquivo do Estado de São Paulo, 2003.</v>
      </c>
      <c r="S7" s="66" t="str">
        <f t="shared" si="3"/>
        <v>ARQUIVO PÚBLICO DO ESTADO DE SÃO PAULO (Brasil). [Detalhe superior de imóvel parcialmente destelhado.]. São Paulo, Brasil. 10 mar. 2003. Fotografia digitalizada; colorida; suporte em papel fotográfico. Disponível em: &lt;link do dataverse&gt;. Acesso em: 28 out. 2025.</v>
      </c>
      <c r="T7" s="59" t="str">
        <f t="shared" si="4"/>
        <v>Este item pertencia à pasta intitulada "caixa-d'água 1".
Com relação à data de produção da fotografia, embora a lateral das fotografias indiquem 03/03/03, optou-se por utilizar a data mais antiga contida nos metadados do arquivo digital.</v>
      </c>
    </row>
    <row r="8" ht="15.75" customHeight="1">
      <c r="A8" s="49" t="str">
        <f t="shared" si="1"/>
        <v>007</v>
      </c>
      <c r="B8" s="60" t="s">
        <v>167</v>
      </c>
      <c r="C8" s="61" t="s">
        <v>77</v>
      </c>
      <c r="D8" s="72">
        <v>37690.0</v>
      </c>
      <c r="E8" s="63" t="s">
        <v>79</v>
      </c>
      <c r="F8" s="54" t="s">
        <v>80</v>
      </c>
      <c r="G8" s="55" t="s">
        <v>81</v>
      </c>
      <c r="H8" s="56" t="s">
        <v>82</v>
      </c>
      <c r="I8" s="50" t="s">
        <v>83</v>
      </c>
      <c r="J8" s="56" t="s">
        <v>154</v>
      </c>
      <c r="K8" s="57" t="str">
        <f>TEXTJOIN("", TRUE, Geral!B39:U39)</f>
        <v>BR-SPGPDVE_ARCOENGE-DEMOLICAO-CSDTCARANDIRU_ICO-FOT-DGZ-MB0_0002-007.JPG</v>
      </c>
      <c r="L8"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8" s="64" t="s">
        <v>168</v>
      </c>
      <c r="N8"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8" s="50" t="s">
        <v>88</v>
      </c>
      <c r="P8" s="54" t="s">
        <v>89</v>
      </c>
      <c r="Q8" s="54" t="s">
        <v>90</v>
      </c>
      <c r="R8" s="66" t="str">
        <f t="shared" si="2"/>
        <v>Figura n – [Cobertura de fibrocimento de galpão e via pública.]
Fonte: Arquivo do Estado de São Paulo, 2003.</v>
      </c>
      <c r="S8" s="66" t="str">
        <f t="shared" si="3"/>
        <v>ARQUIVO PÚBLICO DO ESTADO DE SÃO PAULO (Brasil). [Cobertura de fibrocimento de galpão e via pública.]. São Paulo, Brasil. 10 mar. 2003. Fotografia digitalizada; colorida; suporte em papel fotográfico. Disponível em: &lt;link do dataverse&gt;. Acesso em: 28 out. 2025.</v>
      </c>
      <c r="T8" s="59" t="str">
        <f t="shared" si="4"/>
        <v>Este item pertencia à pasta intitulada "caixa-d'água 1".
Com relação à data de produção da fotografia, embora a lateral das fotografias indiquem 03/03/03, optou-se por utilizar a data mais antiga contida nos metadados do arquivo digital.</v>
      </c>
    </row>
    <row r="9" ht="15.75" customHeight="1">
      <c r="A9" s="49" t="str">
        <f t="shared" si="1"/>
        <v>008</v>
      </c>
      <c r="B9" s="60" t="s">
        <v>169</v>
      </c>
      <c r="C9" s="61" t="s">
        <v>77</v>
      </c>
      <c r="D9" s="73">
        <v>37690.0</v>
      </c>
      <c r="E9" s="63" t="s">
        <v>79</v>
      </c>
      <c r="F9" s="54" t="s">
        <v>80</v>
      </c>
      <c r="G9" s="64" t="s">
        <v>81</v>
      </c>
      <c r="H9" s="56" t="s">
        <v>82</v>
      </c>
      <c r="I9" s="50" t="s">
        <v>83</v>
      </c>
      <c r="J9" s="56" t="s">
        <v>154</v>
      </c>
      <c r="K9" s="57" t="str">
        <f>TEXTJOIN("", TRUE, Geral!B40:U40)</f>
        <v>BR-SPGPDVE_ARCOENGE-DEMOLICAO-CSDTCARANDIRU_ICO-FOT-DGZ-MB0_0002-008.JPG</v>
      </c>
      <c r="L9"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9" s="64" t="s">
        <v>170</v>
      </c>
      <c r="N9"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9" s="50" t="s">
        <v>88</v>
      </c>
      <c r="P9" s="54" t="s">
        <v>89</v>
      </c>
      <c r="Q9" s="54" t="s">
        <v>90</v>
      </c>
      <c r="R9" s="66" t="str">
        <f t="shared" si="2"/>
        <v>Figura n – [Justaposição de coberturas de fibrocimento e terreno descampado.]
Fonte: Arquivo do Estado de São Paulo, 2003.</v>
      </c>
      <c r="S9" s="66" t="str">
        <f t="shared" si="3"/>
        <v>ARQUIVO PÚBLICO DO ESTADO DE SÃO PAULO (Brasil). [Justaposição de coberturas de fibrocimento e terreno descampado.]. São Paulo, Brasil. 10 mar. 2003. Fotografia digitalizada; colorida; suporte em papel fotográfico. Disponível em: &lt;link do dataverse&gt;. Acesso em: 28 out. 2025.</v>
      </c>
      <c r="T9" s="59" t="str">
        <f t="shared" si="4"/>
        <v>Este item pertencia à pasta intitulada "caixa-d'água 1".
Com relação à data de produção da fotografia, embora a lateral das fotografias indiquem 03/03/03, optou-se por utilizar a data mais antiga contida nos metadados do arquivo digital.</v>
      </c>
    </row>
    <row r="10" ht="15.75" customHeight="1">
      <c r="A10" s="49" t="str">
        <f t="shared" si="1"/>
        <v>009</v>
      </c>
      <c r="B10" s="60" t="s">
        <v>171</v>
      </c>
      <c r="C10" s="61" t="s">
        <v>77</v>
      </c>
      <c r="D10" s="72">
        <v>37690.0</v>
      </c>
      <c r="E10" s="63" t="s">
        <v>79</v>
      </c>
      <c r="F10" s="54" t="s">
        <v>80</v>
      </c>
      <c r="G10" s="64" t="s">
        <v>81</v>
      </c>
      <c r="H10" s="56" t="s">
        <v>82</v>
      </c>
      <c r="I10" s="50" t="s">
        <v>83</v>
      </c>
      <c r="J10" s="56" t="s">
        <v>154</v>
      </c>
      <c r="K10" s="57" t="str">
        <f>TEXTJOIN("", TRUE, Geral!B41:U41)</f>
        <v>BR-SPGPDVE_ARCOENGE-DEMOLICAO-CSDTCARANDIRU_ICO-FOT-DGZ-MB0_0002-009.JPG</v>
      </c>
      <c r="L10"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0" s="64" t="s">
        <v>172</v>
      </c>
      <c r="N10"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0" s="50" t="s">
        <v>88</v>
      </c>
      <c r="P10" s="54" t="s">
        <v>89</v>
      </c>
      <c r="Q10" s="54" t="s">
        <v>90</v>
      </c>
      <c r="R10" s="66" t="str">
        <f t="shared" si="2"/>
        <v>Figura n – [Edificação estreita e corredor de acesso lateral.]
Fonte: Arquivo do Estado de São Paulo, 2003.</v>
      </c>
      <c r="S10" s="66" t="str">
        <f t="shared" si="3"/>
        <v>ARQUIVO PÚBLICO DO ESTADO DE SÃO PAULO (Brasil). [Edificação estreita e corredor de acesso lateral.]. São Paulo, Brasil. 10 mar. 2003. Fotografia digitalizada; colorida; suporte em papel fotográfico. Disponível em: &lt;link do dataverse&gt;. Acesso em: 28 out. 2025.</v>
      </c>
      <c r="T10" s="59" t="str">
        <f t="shared" si="4"/>
        <v>Este item pertencia à pasta intitulada "caixa-d'água 1".
Com relação à data de produção da fotografia, embora a lateral das fotografias indiquem 03/03/03, optou-se por utilizar a data mais antiga contida nos metadados do arquivo digital.</v>
      </c>
    </row>
    <row r="11" ht="15.75" customHeight="1">
      <c r="A11" s="49" t="str">
        <f t="shared" si="1"/>
        <v>010</v>
      </c>
      <c r="B11" s="60" t="s">
        <v>173</v>
      </c>
      <c r="C11" s="61" t="s">
        <v>77</v>
      </c>
      <c r="D11" s="73">
        <v>37690.0</v>
      </c>
      <c r="E11" s="63" t="s">
        <v>79</v>
      </c>
      <c r="F11" s="54" t="s">
        <v>80</v>
      </c>
      <c r="G11" s="55" t="s">
        <v>81</v>
      </c>
      <c r="H11" s="56" t="s">
        <v>82</v>
      </c>
      <c r="I11" s="50" t="s">
        <v>83</v>
      </c>
      <c r="J11" s="56" t="s">
        <v>154</v>
      </c>
      <c r="K11" s="57" t="str">
        <f>TEXTJOIN("", TRUE, Geral!B42:U42)</f>
        <v>BR-SPGPDVE_ARCOENGE-DEMOLICAO-CSDTCARANDIRU_ICO-FOT-DGZ-MB0_0002-010.JPG</v>
      </c>
      <c r="L11"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1" s="64" t="s">
        <v>174</v>
      </c>
      <c r="N11"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1" s="50" t="s">
        <v>88</v>
      </c>
      <c r="P11" s="54" t="s">
        <v>89</v>
      </c>
      <c r="Q11" s="54" t="s">
        <v>90</v>
      </c>
      <c r="R11" s="66" t="str">
        <f t="shared" si="2"/>
        <v>Figura n – [Cobertura de telhas cerâmicas com colapso parcial.]
Fonte: Arquivo do Estado de São Paulo, 2003.</v>
      </c>
      <c r="S11" s="66" t="str">
        <f t="shared" si="3"/>
        <v>ARQUIVO PÚBLICO DO ESTADO DE SÃO PAULO (Brasil). [Cobertura de telhas cerâmicas com colapso parcial.]. São Paulo, Brasil. 10 mar. 2003. Fotografia digitalizada; colorida; suporte em papel fotográfico. Disponível em: &lt;link do dataverse&gt;. Acesso em: 28 out. 2025.</v>
      </c>
      <c r="T11" s="59" t="str">
        <f t="shared" si="4"/>
        <v>Este item pertencia à pasta intitulada "caixa-d'água 1".
Com relação à data de produção da fotografia, embora a lateral das fotografias indiquem 03/03/03, optou-se por utilizar a data mais antiga contida nos metadados do arquivo digital.</v>
      </c>
    </row>
    <row r="12" ht="15.75" customHeight="1">
      <c r="A12" s="49" t="str">
        <f t="shared" si="1"/>
        <v>011</v>
      </c>
      <c r="B12" s="60" t="s">
        <v>175</v>
      </c>
      <c r="C12" s="61" t="s">
        <v>77</v>
      </c>
      <c r="D12" s="72">
        <v>37690.0</v>
      </c>
      <c r="E12" s="63" t="s">
        <v>79</v>
      </c>
      <c r="F12" s="54" t="s">
        <v>80</v>
      </c>
      <c r="G12" s="64" t="s">
        <v>81</v>
      </c>
      <c r="H12" s="56" t="s">
        <v>82</v>
      </c>
      <c r="I12" s="50" t="s">
        <v>83</v>
      </c>
      <c r="J12" s="56" t="s">
        <v>154</v>
      </c>
      <c r="K12" s="57" t="str">
        <f>TEXTJOIN("", TRUE, Geral!B43:U43)</f>
        <v>BR-SPGPDVE_ARCOENGE-DEMOLICAO-CSDTCARANDIRU_ICO-FOT-DGZ-MB0_0002-011.JPG</v>
      </c>
      <c r="L12"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2" s="64" t="s">
        <v>176</v>
      </c>
      <c r="N12"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2" s="50" t="s">
        <v>88</v>
      </c>
      <c r="P12" s="54" t="s">
        <v>89</v>
      </c>
      <c r="Q12" s="54" t="s">
        <v>90</v>
      </c>
      <c r="R12" s="66" t="str">
        <f t="shared" si="2"/>
        <v>Figura n – [Vista superior de telhados e escavação em canteiro de obras.]
Fonte: Arquivo do Estado de São Paulo, 2003.</v>
      </c>
      <c r="S12" s="66" t="str">
        <f t="shared" si="3"/>
        <v>ARQUIVO PÚBLICO DO ESTADO DE SÃO PAULO (Brasil). [Vista superior de telhados e escavação em canteiro de obras.]. São Paulo, Brasil. 10 mar. 2003. Fotografia digitalizada; colorida; suporte em papel fotográfico. Disponível em: &lt;link do dataverse&gt;. Acesso em: 28 out. 2025.</v>
      </c>
      <c r="T12" s="59" t="str">
        <f t="shared" si="4"/>
        <v>Este item pertencia à pasta intitulada "caixa-d'água 1".
Com relação à data de produção da fotografia, embora a lateral das fotografias indiquem 03/03/03, optou-se por utilizar a data mais antiga contida nos metadados do arquivo digital.</v>
      </c>
    </row>
    <row r="13" ht="15.75" customHeight="1">
      <c r="A13" s="49" t="str">
        <f t="shared" si="1"/>
        <v>012</v>
      </c>
      <c r="B13" s="60" t="s">
        <v>177</v>
      </c>
      <c r="C13" s="61" t="s">
        <v>77</v>
      </c>
      <c r="D13" s="73">
        <v>37690.0</v>
      </c>
      <c r="E13" s="63" t="s">
        <v>79</v>
      </c>
      <c r="F13" s="54" t="s">
        <v>80</v>
      </c>
      <c r="G13" s="64" t="s">
        <v>81</v>
      </c>
      <c r="H13" s="56" t="s">
        <v>82</v>
      </c>
      <c r="I13" s="50" t="s">
        <v>83</v>
      </c>
      <c r="J13" s="56" t="s">
        <v>154</v>
      </c>
      <c r="K13" s="57" t="str">
        <f>TEXTJOIN("", TRUE, Geral!B44:U44)</f>
        <v>BR-SPGPDVE_ARCOENGE-DEMOLICAO-CSDTCARANDIRU_ICO-FOT-DGZ-MB0_0002-012.JPG</v>
      </c>
      <c r="L13"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3" s="64" t="s">
        <v>178</v>
      </c>
      <c r="N13"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3" s="50" t="s">
        <v>88</v>
      </c>
      <c r="P13" s="54" t="s">
        <v>89</v>
      </c>
      <c r="Q13" s="54" t="s">
        <v>90</v>
      </c>
      <c r="R13" s="66" t="str">
        <f t="shared" si="2"/>
        <v>Figura n – [Telhados residenciais adjacentes a canteiro de obras e via pública.]
Fonte: Arquivo do Estado de São Paulo, 2003.</v>
      </c>
      <c r="S13" s="66" t="str">
        <f t="shared" si="3"/>
        <v>ARQUIVO PÚBLICO DO ESTADO DE SÃO PAULO (Brasil). [Telhados residenciais adjacentes a canteiro de obras e via pública.]. São Paulo, Brasil. 10 mar. 2003. Fotografia digitalizada; colorida; suporte em papel fotográfico. Disponível em: &lt;link do dataverse&gt;. Acesso em: 28 out. 2025.</v>
      </c>
      <c r="T13" s="59" t="str">
        <f t="shared" si="4"/>
        <v>Este item pertencia à pasta intitulada "caixa-d'água 1".
Com relação à data de produção da fotografia, embora a lateral das fotografias indiquem 03/03/03, optou-se por utilizar a data mais antiga contida nos metadados do arquivo digital.</v>
      </c>
    </row>
    <row r="14" ht="15.75" customHeight="1">
      <c r="A14" s="49" t="str">
        <f t="shared" si="1"/>
        <v>013</v>
      </c>
      <c r="B14" s="60" t="s">
        <v>179</v>
      </c>
      <c r="C14" s="61" t="s">
        <v>77</v>
      </c>
      <c r="D14" s="72">
        <v>37690.0</v>
      </c>
      <c r="E14" s="63" t="s">
        <v>79</v>
      </c>
      <c r="F14" s="54" t="s">
        <v>80</v>
      </c>
      <c r="G14" s="55" t="s">
        <v>81</v>
      </c>
      <c r="H14" s="56" t="s">
        <v>82</v>
      </c>
      <c r="I14" s="50" t="s">
        <v>83</v>
      </c>
      <c r="J14" s="56" t="s">
        <v>154</v>
      </c>
      <c r="K14" s="57" t="str">
        <f>TEXTJOIN("", TRUE, Geral!B45:U45)</f>
        <v>BR-SPGPDVE_ARCOENGE-DEMOLICAO-CSDTCARANDIRU_ICO-FOT-DGZ-MB0_0002-013.JPG</v>
      </c>
      <c r="L14"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4" s="64" t="s">
        <v>180</v>
      </c>
      <c r="N14"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4" s="50" t="s">
        <v>88</v>
      </c>
      <c r="P14" s="54" t="s">
        <v>89</v>
      </c>
      <c r="Q14" s="54" t="s">
        <v>90</v>
      </c>
      <c r="R14" s="66" t="str">
        <f t="shared" si="2"/>
        <v>Figura n – [Perspectiva de casas enfileiradas e área de demolição com maquinário.]
Fonte: Arquivo do Estado de São Paulo, 2003.</v>
      </c>
      <c r="S14" s="66" t="str">
        <f t="shared" si="3"/>
        <v>ARQUIVO PÚBLICO DO ESTADO DE SÃO PAULO (Brasil). [Perspectiva de casas enfileiradas e área de demolição com maquinário.]. São Paulo, Brasil. 10 mar. 2003. Fotografia digitalizada; colorida; suporte em papel fotográfico. Disponível em: &lt;link do dataverse&gt;. Acesso em: 28 out. 2025.</v>
      </c>
      <c r="T14" s="59" t="str">
        <f t="shared" si="4"/>
        <v>Este item pertencia à pasta intitulada "caixa-d'água 1".
Com relação à data de produção da fotografia, embora a lateral das fotografias indiquem 03/03/03, optou-se por utilizar a data mais antiga contida nos metadados do arquivo digital.</v>
      </c>
    </row>
    <row r="15" ht="15.75" customHeight="1">
      <c r="A15" s="49" t="str">
        <f t="shared" si="1"/>
        <v>014</v>
      </c>
      <c r="B15" s="60" t="s">
        <v>181</v>
      </c>
      <c r="C15" s="61" t="s">
        <v>77</v>
      </c>
      <c r="D15" s="73">
        <v>37690.0</v>
      </c>
      <c r="E15" s="63" t="s">
        <v>79</v>
      </c>
      <c r="F15" s="54" t="s">
        <v>80</v>
      </c>
      <c r="G15" s="64" t="s">
        <v>81</v>
      </c>
      <c r="H15" s="56" t="s">
        <v>82</v>
      </c>
      <c r="I15" s="50" t="s">
        <v>83</v>
      </c>
      <c r="J15" s="56" t="s">
        <v>154</v>
      </c>
      <c r="K15" s="57" t="str">
        <f>TEXTJOIN("", TRUE, Geral!B46:U46)</f>
        <v>BR-SPGPDVE_ARCOENGE-DEMOLICAO-CSDTCARANDIRU_ICO-FOT-DGZ-MB0_0002-014.JPG</v>
      </c>
      <c r="L15"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5" s="64" t="s">
        <v>182</v>
      </c>
      <c r="N15"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5" s="50" t="s">
        <v>88</v>
      </c>
      <c r="P15" s="54" t="s">
        <v>89</v>
      </c>
      <c r="Q15" s="54" t="s">
        <v>90</v>
      </c>
      <c r="R15" s="66" t="str">
        <f t="shared" si="2"/>
        <v>Figura n – [Vista panorâmica do bairro, canteiro de obras e horizonte da cidade.]
Fonte: Arquivo do Estado de São Paulo, 2003.</v>
      </c>
      <c r="S15" s="66" t="str">
        <f t="shared" si="3"/>
        <v>ARQUIVO PÚBLICO DO ESTADO DE SÃO PAULO (Brasil). [Vista panorâmica do bairro, canteiro de obras e horizonte da cidade.]. São Paulo, Brasil. 10 mar. 2003. Fotografia digitalizada; colorida; suporte em papel fotográfico. Disponível em: &lt;link do dataverse&gt;. Acesso em: 28 out. 2025.</v>
      </c>
      <c r="T15" s="59" t="str">
        <f t="shared" si="4"/>
        <v>Este item pertencia à pasta intitulada "caixa-d'água 1".
Com relação à data de produção da fotografia, embora a lateral das fotografias indiquem 03/03/03, optou-se por utilizar a data mais antiga contida nos metadados do arquivo digital.</v>
      </c>
    </row>
    <row r="16" ht="15.75" customHeight="1">
      <c r="A16" s="49" t="str">
        <f t="shared" si="1"/>
        <v>015</v>
      </c>
      <c r="B16" s="60" t="s">
        <v>183</v>
      </c>
      <c r="C16" s="61" t="s">
        <v>77</v>
      </c>
      <c r="D16" s="72">
        <v>37690.0</v>
      </c>
      <c r="E16" s="63" t="s">
        <v>79</v>
      </c>
      <c r="F16" s="54" t="s">
        <v>80</v>
      </c>
      <c r="G16" s="64" t="s">
        <v>81</v>
      </c>
      <c r="H16" s="56" t="s">
        <v>82</v>
      </c>
      <c r="I16" s="50" t="s">
        <v>83</v>
      </c>
      <c r="J16" s="56" t="s">
        <v>154</v>
      </c>
      <c r="K16" s="57" t="str">
        <f>TEXTJOIN("", TRUE, Geral!B47:U47)</f>
        <v>BR-SPGPDVE_ARCOENGE-DEMOLICAO-CSDTCARANDIRU_ICO-FOT-DGZ-MB0_0002-015.JPG</v>
      </c>
      <c r="L16"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6" s="64" t="s">
        <v>184</v>
      </c>
      <c r="N16"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6" s="50" t="s">
        <v>88</v>
      </c>
      <c r="P16" s="54" t="s">
        <v>89</v>
      </c>
      <c r="Q16" s="54" t="s">
        <v>90</v>
      </c>
      <c r="R16" s="66" t="str">
        <f t="shared" si="2"/>
        <v>Figura n – [Contraste entre telhados de imóveis e os pavilhões da Casa de Detenção.]
Fonte: Arquivo do Estado de São Paulo, 2003.</v>
      </c>
      <c r="S16" s="66" t="str">
        <f t="shared" si="3"/>
        <v>ARQUIVO PÚBLICO DO ESTADO DE SÃO PAULO (Brasil). [Contraste entre telhados de imóveis e os pavilhões da Casa de Detenção.]. São Paulo, Brasil. 10 mar. 2003. Fotografia digitalizada; colorida; suporte em papel fotográfico. Disponível em: &lt;link do dataverse&gt;. Acesso em: 28 out. 2025.</v>
      </c>
      <c r="T16" s="59" t="str">
        <f t="shared" si="4"/>
        <v>Este item pertencia à pasta intitulada "caixa-d'água 1".
Com relação à data de produção da fotografia, embora a lateral das fotografias indiquem 03/03/03, optou-se por utilizar a data mais antiga contida nos metadados do arquivo digital.</v>
      </c>
    </row>
    <row r="17" ht="15.75" customHeight="1">
      <c r="A17" s="49" t="str">
        <f t="shared" si="1"/>
        <v>016</v>
      </c>
      <c r="B17" s="60" t="s">
        <v>185</v>
      </c>
      <c r="C17" s="61" t="s">
        <v>77</v>
      </c>
      <c r="D17" s="73">
        <v>37690.0</v>
      </c>
      <c r="E17" s="63" t="s">
        <v>79</v>
      </c>
      <c r="F17" s="54" t="s">
        <v>80</v>
      </c>
      <c r="G17" s="55" t="s">
        <v>81</v>
      </c>
      <c r="H17" s="56" t="s">
        <v>82</v>
      </c>
      <c r="I17" s="50" t="s">
        <v>83</v>
      </c>
      <c r="J17" s="56" t="s">
        <v>154</v>
      </c>
      <c r="K17" s="57" t="str">
        <f>TEXTJOIN("", TRUE, Geral!B48:U48)</f>
        <v>BR-SPGPDVE_ARCOENGE-DEMOLICAO-CSDTCARANDIRU_ICO-FOT-DGZ-MB0_0002-016.JPG</v>
      </c>
      <c r="L17"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7" s="64" t="s">
        <v>186</v>
      </c>
      <c r="N17"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7" s="50" t="s">
        <v>88</v>
      </c>
      <c r="P17" s="54" t="s">
        <v>89</v>
      </c>
      <c r="Q17" s="54" t="s">
        <v>90</v>
      </c>
      <c r="R17" s="66" t="str">
        <f t="shared" si="2"/>
        <v>Figura n – [Detalhe superior de telhado cerâmico avariado e muro divisório.]
Fonte: Arquivo do Estado de São Paulo, 2003.</v>
      </c>
      <c r="S17" s="66" t="str">
        <f t="shared" si="3"/>
        <v>ARQUIVO PÚBLICO DO ESTADO DE SÃO PAULO (Brasil). [Detalhe superior de telhado cerâmico avariado e muro divisório.]. São Paulo, Brasil. 10 mar. 2003. Fotografia digitalizada; colorida; suporte em papel fotográfico. Disponível em: &lt;link do dataverse&gt;. Acesso em: 28 out. 2025.</v>
      </c>
      <c r="T17" s="59" t="str">
        <f t="shared" si="4"/>
        <v>Este item pertencia à pasta intitulada "caixa-d'água 1".
Com relação à data de produção da fotografia, embora a lateral das fotografias indiquem 03/03/03, optou-se por utilizar a data mais antiga contida nos metadados do arquivo digital.</v>
      </c>
    </row>
    <row r="18" ht="15.75" customHeight="1">
      <c r="A18" s="49" t="str">
        <f t="shared" si="1"/>
        <v>017</v>
      </c>
      <c r="B18" s="60" t="s">
        <v>187</v>
      </c>
      <c r="C18" s="61" t="s">
        <v>77</v>
      </c>
      <c r="D18" s="72">
        <v>37690.0</v>
      </c>
      <c r="E18" s="63" t="s">
        <v>79</v>
      </c>
      <c r="F18" s="54" t="s">
        <v>80</v>
      </c>
      <c r="G18" s="64" t="s">
        <v>81</v>
      </c>
      <c r="H18" s="56" t="s">
        <v>82</v>
      </c>
      <c r="I18" s="50" t="s">
        <v>83</v>
      </c>
      <c r="J18" s="56" t="s">
        <v>154</v>
      </c>
      <c r="K18" s="57" t="str">
        <f>TEXTJOIN("", TRUE, Geral!B49:U49)</f>
        <v>BR-SPGPDVE_ARCOENGE-DEMOLICAO-CSDTCARANDIRU_ICO-FOT-DGZ-MB0_0002-017.JPG</v>
      </c>
      <c r="L18"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8" s="64" t="s">
        <v>188</v>
      </c>
      <c r="N18"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8" s="50" t="s">
        <v>88</v>
      </c>
      <c r="P18" s="54" t="s">
        <v>89</v>
      </c>
      <c r="Q18" s="54" t="s">
        <v>90</v>
      </c>
      <c r="R18" s="66" t="str">
        <f t="shared" si="2"/>
        <v>Figura n – [Muro de divisa desgastado e tapume de madeira em primeiro plano.]
Fonte: Arquivo do Estado de São Paulo, 2003.</v>
      </c>
      <c r="S18" s="66" t="str">
        <f t="shared" si="3"/>
        <v>ARQUIVO PÚBLICO DO ESTADO DE SÃO PAULO (Brasil). [Muro de divisa desgastado e tapume de madeira em primeiro plano.]. São Paulo, Brasil. 10 mar. 2003. Fotografia digitalizada; colorida; suporte em papel fotográfico. Disponível em: &lt;link do dataverse&gt;. Acesso em: 28 out. 2025.</v>
      </c>
      <c r="T18" s="59" t="str">
        <f t="shared" si="4"/>
        <v>Este item pertencia à pasta intitulada "caixa-d'água 1".
Com relação à data de produção da fotografia, embora a lateral das fotografias indiquem 03/03/03, optou-se por utilizar a data mais antiga contida nos metadados do arquivo digital.</v>
      </c>
    </row>
    <row r="19" ht="15.75" customHeight="1">
      <c r="A19" s="49" t="str">
        <f t="shared" si="1"/>
        <v>018</v>
      </c>
      <c r="B19" s="60" t="s">
        <v>189</v>
      </c>
      <c r="C19" s="61" t="s">
        <v>77</v>
      </c>
      <c r="D19" s="73">
        <v>37690.0</v>
      </c>
      <c r="E19" s="63" t="s">
        <v>79</v>
      </c>
      <c r="F19" s="54" t="s">
        <v>80</v>
      </c>
      <c r="G19" s="64" t="s">
        <v>81</v>
      </c>
      <c r="H19" s="56" t="s">
        <v>82</v>
      </c>
      <c r="I19" s="50" t="s">
        <v>83</v>
      </c>
      <c r="J19" s="56" t="s">
        <v>154</v>
      </c>
      <c r="K19" s="57" t="str">
        <f>TEXTJOIN("", TRUE, Geral!B50:U50)</f>
        <v>BR-SPGPDVE_ARCOENGE-DEMOLICAO-CSDTCARANDIRU_ICO-FOT-DGZ-MB0_0002-018.JPG</v>
      </c>
      <c r="L19"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9" s="64" t="s">
        <v>190</v>
      </c>
      <c r="N19"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9" s="50" t="s">
        <v>88</v>
      </c>
      <c r="P19" s="54" t="s">
        <v>89</v>
      </c>
      <c r="Q19" s="54" t="s">
        <v>90</v>
      </c>
      <c r="R19" s="66" t="str">
        <f t="shared" si="2"/>
        <v>Figura n – [Grupo de trabalhadores junto a muro.]
Fonte: Arquivo do Estado de São Paulo, 2003.</v>
      </c>
      <c r="S19" s="66" t="str">
        <f t="shared" si="3"/>
        <v>ARQUIVO PÚBLICO DO ESTADO DE SÃO PAULO (Brasil). [Grupo de trabalhadores junto a muro.]. São Paulo, Brasil. 10 mar. 2003. Fotografia digitalizada; colorida; suporte em papel fotográfico. Disponível em: &lt;link do dataverse&gt;. Acesso em: 28 out. 2025.</v>
      </c>
      <c r="T19" s="59" t="str">
        <f t="shared" si="4"/>
        <v>Este item pertencia à pasta intitulada "caixa-d'água 1".
Com relação à data de produção da fotografia, embora a lateral das fotografias indiquem 03/03/03, optou-se por utilizar a data mais antiga contida nos metadados do arquivo digital.</v>
      </c>
    </row>
    <row r="20" ht="15.75" customHeight="1">
      <c r="A20" s="49" t="str">
        <f t="shared" si="1"/>
        <v>019</v>
      </c>
      <c r="B20" s="60" t="s">
        <v>191</v>
      </c>
      <c r="C20" s="61" t="s">
        <v>77</v>
      </c>
      <c r="D20" s="72">
        <v>37690.0</v>
      </c>
      <c r="E20" s="63" t="s">
        <v>79</v>
      </c>
      <c r="F20" s="54" t="s">
        <v>80</v>
      </c>
      <c r="G20" s="55" t="s">
        <v>81</v>
      </c>
      <c r="H20" s="56" t="s">
        <v>82</v>
      </c>
      <c r="I20" s="50" t="s">
        <v>83</v>
      </c>
      <c r="J20" s="56" t="s">
        <v>154</v>
      </c>
      <c r="K20" s="57" t="str">
        <f>TEXTJOIN("", TRUE, Geral!B51:U51)</f>
        <v>BR-SPGPDVE_ARCOENGE-DEMOLICAO-CSDTCARANDIRU_ICO-FOT-DGZ-MB0_0002-019.JPG</v>
      </c>
      <c r="L20"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0" s="64" t="s">
        <v>192</v>
      </c>
      <c r="N20"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0" s="50" t="s">
        <v>88</v>
      </c>
      <c r="P20" s="54" t="s">
        <v>89</v>
      </c>
      <c r="Q20" s="54" t="s">
        <v>90</v>
      </c>
      <c r="R20" s="66" t="str">
        <f t="shared" si="2"/>
        <v>Figura n – [Trabalhadores e caixa d'água visível sobre extenso muro de divisa.]
Fonte: Arquivo do Estado de São Paulo, 2003.</v>
      </c>
      <c r="S20" s="66" t="str">
        <f t="shared" si="3"/>
        <v>ARQUIVO PÚBLICO DO ESTADO DE SÃO PAULO (Brasil). [Trabalhadores e caixa d'água visível sobre extenso muro de divisa.]. São Paulo, Brasil. 10 mar. 2003. Fotografia digitalizada; colorida; suporte em papel fotográfico. Disponível em: &lt;link do dataverse&gt;. Acesso em: 28 out. 2025.</v>
      </c>
      <c r="T20" s="59" t="str">
        <f t="shared" si="4"/>
        <v>Este item pertencia à pasta intitulada "caixa-d'água 1".
Com relação à data de produção da fotografia, embora a lateral das fotografias indiquem 03/03/03, optou-se por utilizar a data mais antiga contida nos metadados do arquivo digital.</v>
      </c>
    </row>
    <row r="21" ht="15.75" customHeight="1">
      <c r="A21" s="49" t="str">
        <f t="shared" si="1"/>
        <v>020</v>
      </c>
      <c r="B21" s="60" t="s">
        <v>193</v>
      </c>
      <c r="C21" s="61" t="s">
        <v>77</v>
      </c>
      <c r="D21" s="73">
        <v>37690.0</v>
      </c>
      <c r="E21" s="63" t="s">
        <v>79</v>
      </c>
      <c r="F21" s="54" t="s">
        <v>80</v>
      </c>
      <c r="G21" s="64" t="s">
        <v>81</v>
      </c>
      <c r="H21" s="56" t="s">
        <v>82</v>
      </c>
      <c r="I21" s="50" t="s">
        <v>83</v>
      </c>
      <c r="J21" s="56" t="s">
        <v>154</v>
      </c>
      <c r="K21" s="57" t="str">
        <f>TEXTJOIN("", TRUE, Geral!B52:U52)</f>
        <v>BR-SPGPDVE_ARCOENGE-DEMOLICAO-CSDTCARANDIRU_ICO-FOT-DGZ-MB0_0002-020.JPG</v>
      </c>
      <c r="L21"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1" s="64" t="s">
        <v>194</v>
      </c>
      <c r="N21"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1" s="50" t="s">
        <v>88</v>
      </c>
      <c r="P21" s="54" t="s">
        <v>89</v>
      </c>
      <c r="Q21" s="54" t="s">
        <v>90</v>
      </c>
      <c r="R21" s="66" t="str">
        <f t="shared" si="2"/>
        <v>Figura n – [Trecho de muro divisório com faixas de coloração e antenas.]
Fonte: Arquivo do Estado de São Paulo, 2003.</v>
      </c>
      <c r="S21" s="66" t="str">
        <f t="shared" si="3"/>
        <v>ARQUIVO PÚBLICO DO ESTADO DE SÃO PAULO (Brasil). [Trecho de muro divisório com faixas de coloração e antenas.]. São Paulo, Brasil. 10 mar. 2003. Fotografia digitalizada; colorida; suporte em papel fotográfico. Disponível em: &lt;link do dataverse&gt;. Acesso em: 28 out. 2025.</v>
      </c>
      <c r="T21" s="59" t="str">
        <f t="shared" si="4"/>
        <v>Este item pertencia à pasta intitulada "caixa-d'água 1".
Com relação à data de produção da fotografia, embora a lateral das fotografias indiquem 03/03/03, optou-se por utilizar a data mais antiga contida nos metadados do arquivo digital.</v>
      </c>
    </row>
    <row r="22" ht="15.75" customHeight="1">
      <c r="A22" s="49" t="str">
        <f t="shared" si="1"/>
        <v>021</v>
      </c>
      <c r="B22" s="60" t="s">
        <v>195</v>
      </c>
      <c r="C22" s="61" t="s">
        <v>77</v>
      </c>
      <c r="D22" s="72">
        <v>37690.0</v>
      </c>
      <c r="E22" s="63" t="s">
        <v>79</v>
      </c>
      <c r="F22" s="54" t="s">
        <v>80</v>
      </c>
      <c r="G22" s="64" t="s">
        <v>81</v>
      </c>
      <c r="H22" s="56" t="s">
        <v>82</v>
      </c>
      <c r="I22" s="50" t="s">
        <v>83</v>
      </c>
      <c r="J22" s="56" t="s">
        <v>154</v>
      </c>
      <c r="K22" s="57" t="str">
        <f>TEXTJOIN("", TRUE, Geral!B53:U53)</f>
        <v>BR-SPGPDVE_ARCOENGE-DEMOLICAO-CSDTCARANDIRU_ICO-FOT-DGZ-MB0_0002-021.JPG</v>
      </c>
      <c r="L22"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2" s="64" t="s">
        <v>196</v>
      </c>
      <c r="N22"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2" s="50" t="s">
        <v>88</v>
      </c>
      <c r="P22" s="54" t="s">
        <v>89</v>
      </c>
      <c r="Q22" s="54" t="s">
        <v>90</v>
      </c>
      <c r="R22" s="66" t="str">
        <f t="shared" si="2"/>
        <v>Figura n – [Fachada lateral de edificação vizinha e base de torre.]
Fonte: Arquivo do Estado de São Paulo, 2003.</v>
      </c>
      <c r="S22" s="66" t="str">
        <f t="shared" si="3"/>
        <v>ARQUIVO PÚBLICO DO ESTADO DE SÃO PAULO (Brasil). [Fachada lateral de edificação vizinha e base de torre.]. São Paulo, Brasil. 10 mar. 2003. Fotografia digitalizada; colorida; suporte em papel fotográfico. Disponível em: &lt;link do dataverse&gt;. Acesso em: 28 out. 2025.</v>
      </c>
      <c r="T22" s="59" t="str">
        <f t="shared" si="4"/>
        <v>Este item pertencia à pasta intitulada "caixa-d'água 1".
Com relação à data de produção da fotografia, embora a lateral das fotografias indiquem 03/03/03, optou-se por utilizar a data mais antiga contida nos metadados do arquivo digital.</v>
      </c>
    </row>
    <row r="23" ht="15.75" customHeight="1">
      <c r="A23" s="49" t="str">
        <f t="shared" si="1"/>
        <v>022</v>
      </c>
      <c r="B23" s="60" t="s">
        <v>197</v>
      </c>
      <c r="C23" s="61" t="s">
        <v>77</v>
      </c>
      <c r="D23" s="73">
        <v>37690.0</v>
      </c>
      <c r="E23" s="63" t="s">
        <v>79</v>
      </c>
      <c r="F23" s="54" t="s">
        <v>80</v>
      </c>
      <c r="G23" s="55" t="s">
        <v>81</v>
      </c>
      <c r="H23" s="56" t="s">
        <v>82</v>
      </c>
      <c r="I23" s="50" t="s">
        <v>83</v>
      </c>
      <c r="J23" s="56" t="s">
        <v>154</v>
      </c>
      <c r="K23" s="57" t="str">
        <f>TEXTJOIN("", TRUE, Geral!B54:U54)</f>
        <v>BR-SPGPDVE_ARCOENGE-DEMOLICAO-CSDTCARANDIRU_ICO-FOT-DGZ-MB0_0002-022.JPG</v>
      </c>
      <c r="L23"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3" s="64" t="s">
        <v>198</v>
      </c>
      <c r="N23"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3" s="50" t="s">
        <v>88</v>
      </c>
      <c r="P23" s="54" t="s">
        <v>89</v>
      </c>
      <c r="Q23" s="54" t="s">
        <v>90</v>
      </c>
      <c r="R23" s="66" t="str">
        <f t="shared" si="2"/>
        <v>Figura n – [Muro divisório escurecido e materiais de construção em solo de terra.]
Fonte: Arquivo do Estado de São Paulo, 2003.</v>
      </c>
      <c r="S23" s="66" t="str">
        <f t="shared" si="3"/>
        <v>ARQUIVO PÚBLICO DO ESTADO DE SÃO PAULO (Brasil). [Muro divisório escurecido e materiais de construção em solo de terra.]. São Paulo, Brasil. 10 mar. 2003. Fotografia digitalizada; colorida; suporte em papel fotográfico. Disponível em: &lt;link do dataverse&gt;. Acesso em: 28 out. 2025.</v>
      </c>
      <c r="T23" s="59" t="str">
        <f t="shared" si="4"/>
        <v>Este item pertencia à pasta intitulada "caixa-d'água 1".
Com relação à data de produção da fotografia, embora a lateral das fotografias indiquem 03/03/03, optou-se por utilizar a data mais antiga contida nos metadados do arquivo digital.</v>
      </c>
    </row>
    <row r="24" ht="15.75" customHeight="1">
      <c r="A24" s="49" t="str">
        <f t="shared" si="1"/>
        <v>023</v>
      </c>
      <c r="B24" s="60" t="s">
        <v>199</v>
      </c>
      <c r="C24" s="61" t="s">
        <v>77</v>
      </c>
      <c r="D24" s="72">
        <v>37690.0</v>
      </c>
      <c r="E24" s="63" t="s">
        <v>79</v>
      </c>
      <c r="F24" s="54" t="s">
        <v>80</v>
      </c>
      <c r="G24" s="64" t="s">
        <v>81</v>
      </c>
      <c r="H24" s="56" t="s">
        <v>82</v>
      </c>
      <c r="I24" s="50" t="s">
        <v>83</v>
      </c>
      <c r="J24" s="56" t="s">
        <v>154</v>
      </c>
      <c r="K24" s="57" t="str">
        <f>TEXTJOIN("", TRUE, Geral!B55:U55)</f>
        <v>BR-SPGPDVE_ARCOENGE-DEMOLICAO-CSDTCARANDIRU_ICO-FOT-DGZ-MB0_0002-023.JPG</v>
      </c>
      <c r="L24"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4" s="64" t="s">
        <v>200</v>
      </c>
      <c r="N24"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4" s="50" t="s">
        <v>88</v>
      </c>
      <c r="P24" s="54" t="s">
        <v>89</v>
      </c>
      <c r="Q24" s="54" t="s">
        <v>90</v>
      </c>
      <c r="R24" s="66" t="str">
        <f t="shared" si="2"/>
        <v>Figura n – [Muro de blocos de concreto com equipamentos industriais superiores.]
Fonte: Arquivo do Estado de São Paulo, 2003.</v>
      </c>
      <c r="S24" s="66" t="str">
        <f t="shared" si="3"/>
        <v>ARQUIVO PÚBLICO DO ESTADO DE SÃO PAULO (Brasil). [Muro de blocos de concreto com equipamentos industriais superiores.]. São Paulo, Brasil. 10 mar. 2003. Fotografia digitalizada; colorida; suporte em papel fotográfico. Disponível em: &lt;link do dataverse&gt;. Acesso em: 28 out. 2025.</v>
      </c>
      <c r="T24" s="59" t="str">
        <f t="shared" si="4"/>
        <v>Este item pertencia à pasta intitulada "caixa-d'água 1".
Com relação à data de produção da fotografia, embora a lateral das fotografias indiquem 03/03/03, optou-se por utilizar a data mais antiga contida nos metadados do arquivo digital.</v>
      </c>
    </row>
    <row r="25" ht="15.75" customHeight="1">
      <c r="A25" s="49" t="str">
        <f t="shared" si="1"/>
        <v>024</v>
      </c>
      <c r="B25" s="60" t="s">
        <v>201</v>
      </c>
      <c r="C25" s="61" t="s">
        <v>77</v>
      </c>
      <c r="D25" s="73">
        <v>37690.0</v>
      </c>
      <c r="E25" s="63" t="s">
        <v>79</v>
      </c>
      <c r="F25" s="54" t="s">
        <v>80</v>
      </c>
      <c r="G25" s="64" t="s">
        <v>81</v>
      </c>
      <c r="H25" s="56" t="s">
        <v>82</v>
      </c>
      <c r="I25" s="50" t="s">
        <v>83</v>
      </c>
      <c r="J25" s="56" t="s">
        <v>154</v>
      </c>
      <c r="K25" s="57" t="str">
        <f>TEXTJOIN("", TRUE, Geral!B56:U56)</f>
        <v>BR-SPGPDVE_ARCOENGE-DEMOLICAO-CSDTCARANDIRU_ICO-FOT-DGZ-MB0_0002-024.JPG</v>
      </c>
      <c r="L25"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5" s="67" t="s">
        <v>202</v>
      </c>
      <c r="N25"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5" s="50" t="s">
        <v>88</v>
      </c>
      <c r="P25" s="54" t="s">
        <v>89</v>
      </c>
      <c r="Q25" s="54" t="s">
        <v>90</v>
      </c>
      <c r="R25" s="66" t="str">
        <f t="shared" si="2"/>
        <v>Figura n – [Vistoria técnica apontando fissura em muro divisório (plano aberto).]
Fonte: Arquivo do Estado de São Paulo, 2003.</v>
      </c>
      <c r="S25" s="66" t="str">
        <f t="shared" si="3"/>
        <v>ARQUIVO PÚBLICO DO ESTADO DE SÃO PAULO (Brasil). [Vistoria técnica apontando fissura em muro divisório (plano aberto).]. São Paulo, Brasil. 10 mar. 2003. Fotografia digitalizada; colorida; suporte em papel fotográfico. Disponível em: &lt;link do dataverse&gt;. Acesso em: 28 out. 2025.</v>
      </c>
      <c r="T25" s="59" t="str">
        <f t="shared" si="4"/>
        <v>Este item pertencia à pasta intitulada "caixa-d'água 1".
Com relação à data de produção da fotografia, embora a lateral das fotografias indiquem 03/03/03, optou-se por utilizar a data mais antiga contida nos metadados do arquivo digital.</v>
      </c>
    </row>
    <row r="26" ht="15.75" customHeight="1">
      <c r="A26" s="49" t="str">
        <f t="shared" si="1"/>
        <v>025</v>
      </c>
      <c r="B26" s="60" t="s">
        <v>203</v>
      </c>
      <c r="C26" s="61" t="s">
        <v>77</v>
      </c>
      <c r="D26" s="72">
        <v>37690.0</v>
      </c>
      <c r="E26" s="63" t="s">
        <v>79</v>
      </c>
      <c r="F26" s="54" t="s">
        <v>80</v>
      </c>
      <c r="G26" s="55" t="s">
        <v>81</v>
      </c>
      <c r="H26" s="56" t="s">
        <v>82</v>
      </c>
      <c r="I26" s="50" t="s">
        <v>83</v>
      </c>
      <c r="J26" s="56" t="s">
        <v>154</v>
      </c>
      <c r="K26" s="57" t="str">
        <f>TEXTJOIN("", TRUE, Geral!B57:U57)</f>
        <v>BR-SPGPDVE_ARCOENGE-DEMOLICAO-CSDTCARANDIRU_ICO-FOT-DGZ-MB0_0002-025.JPG</v>
      </c>
      <c r="L26"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6" s="67" t="s">
        <v>204</v>
      </c>
      <c r="N26"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6" s="50" t="s">
        <v>88</v>
      </c>
      <c r="P26" s="54" t="s">
        <v>89</v>
      </c>
      <c r="Q26" s="54" t="s">
        <v>90</v>
      </c>
      <c r="R26" s="66" t="str">
        <f t="shared" si="2"/>
        <v>Figura n – [Vistoria técnica apontando fissura em muro divisório (plano fechado).]
Fonte: Arquivo do Estado de São Paulo, 2003.</v>
      </c>
      <c r="S26" s="66" t="str">
        <f t="shared" si="3"/>
        <v>ARQUIVO PÚBLICO DO ESTADO DE SÃO PAULO (Brasil). [Vistoria técnica apontando fissura em muro divisório (plano fechado).]. São Paulo, Brasil. 10 mar. 2003. Fotografia digitalizada; colorida; suporte em papel fotográfico. Disponível em: &lt;link do dataverse&gt;. Acesso em: 28 out. 2025.</v>
      </c>
      <c r="T26" s="59" t="str">
        <f t="shared" si="4"/>
        <v>Este item pertencia à pasta intitulada "caixa-d'água 1".
Com relação à data de produção da fotografia, embora a lateral das fotografias indiquem 03/03/03, optou-se por utilizar a data mais antiga contida nos metadados do arquivo digital.</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1">
    <cfRule type="notContainsBlanks" dxfId="0" priority="1">
      <formula>LEN(TRIM(A1))&gt;0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88"/>
    <col customWidth="1" min="2" max="2" width="33.63"/>
    <col customWidth="1" min="3" max="3" width="19.88"/>
    <col customWidth="1" min="4" max="4" width="36.13"/>
    <col customWidth="1" min="5" max="5" width="24.38"/>
    <col customWidth="1" min="6" max="6" width="35.25"/>
    <col customWidth="1" min="7" max="7" width="19.88"/>
    <col customWidth="1" min="8" max="8" width="48.63"/>
    <col customWidth="1" min="9" max="9" width="69.13"/>
    <col customWidth="1" min="10" max="10" width="14.13"/>
    <col customWidth="1" min="11" max="11" width="44.63"/>
    <col customWidth="1" min="12" max="12" width="82.13"/>
    <col customWidth="1" min="13" max="13" width="80.63"/>
    <col customWidth="1" min="14" max="14" width="78.13"/>
    <col customWidth="1" min="15" max="15" width="42.75"/>
    <col customWidth="1" min="16" max="16" width="23.25"/>
    <col customWidth="1" min="17" max="17" width="42.88"/>
    <col customWidth="1" min="18" max="18" width="50.88"/>
    <col customWidth="1" min="19" max="19" width="64.88"/>
    <col customWidth="1" min="20" max="20" width="50.38"/>
  </cols>
  <sheetData>
    <row r="1" ht="15.75" customHeight="1">
      <c r="A1" s="42" t="s">
        <v>57</v>
      </c>
      <c r="B1" s="43" t="s">
        <v>58</v>
      </c>
      <c r="C1" s="44" t="s">
        <v>59</v>
      </c>
      <c r="D1" s="45" t="s">
        <v>152</v>
      </c>
      <c r="E1" s="44" t="s">
        <v>61</v>
      </c>
      <c r="F1" s="45" t="s">
        <v>62</v>
      </c>
      <c r="G1" s="44" t="s">
        <v>63</v>
      </c>
      <c r="H1" s="46" t="s">
        <v>64</v>
      </c>
      <c r="I1" s="44" t="s">
        <v>65</v>
      </c>
      <c r="J1" s="44" t="s">
        <v>66</v>
      </c>
      <c r="K1" s="45" t="s">
        <v>67</v>
      </c>
      <c r="L1" s="44" t="s">
        <v>68</v>
      </c>
      <c r="M1" s="47" t="s">
        <v>69</v>
      </c>
      <c r="N1" s="44" t="s">
        <v>70</v>
      </c>
      <c r="O1" s="45" t="s">
        <v>71</v>
      </c>
      <c r="P1" s="44" t="s">
        <v>72</v>
      </c>
      <c r="Q1" s="44" t="s">
        <v>7</v>
      </c>
      <c r="R1" s="46" t="s">
        <v>73</v>
      </c>
      <c r="S1" s="48" t="s">
        <v>74</v>
      </c>
      <c r="T1" s="45" t="s">
        <v>75</v>
      </c>
    </row>
    <row r="2" ht="15.75" customHeight="1">
      <c r="A2" s="49" t="str">
        <f t="shared" ref="A2:A26" si="1">MID(K2, LEN(K2)-6, 3)</f>
        <v>001</v>
      </c>
      <c r="B2" s="50" t="s">
        <v>205</v>
      </c>
      <c r="C2" s="51" t="s">
        <v>77</v>
      </c>
      <c r="D2" s="73">
        <v>37690.0</v>
      </c>
      <c r="E2" s="53" t="s">
        <v>79</v>
      </c>
      <c r="F2" s="54" t="s">
        <v>80</v>
      </c>
      <c r="G2" s="55" t="s">
        <v>81</v>
      </c>
      <c r="H2" s="56" t="s">
        <v>82</v>
      </c>
      <c r="I2" s="50" t="s">
        <v>83</v>
      </c>
      <c r="J2" s="56" t="s">
        <v>206</v>
      </c>
      <c r="K2" s="57" t="str">
        <f>TEXTJOIN("", TRUE, Geral!B58:U58)</f>
        <v>BR-SPGPDVE_ARCOENGE-DEMOLICAO-CSDTCARANDIRU_ICO-FOT-DGZ-MB0_0003-001.JPG</v>
      </c>
      <c r="L2"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 s="55" t="s">
        <v>207</v>
      </c>
      <c r="N2"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 s="50" t="s">
        <v>88</v>
      </c>
      <c r="P2" s="54" t="s">
        <v>89</v>
      </c>
      <c r="Q2" s="54" t="s">
        <v>90</v>
      </c>
      <c r="R2" s="58" t="str">
        <f t="shared" ref="R2:R26" si="2">"Figura n – ["&amp;B2&amp;"]"&amp;CHAR(10)&amp;"Fonte: Arquivo do Estado de São Paulo, "&amp;TEXT(D2,"yyyy")&amp;"."</f>
        <v>Figura n – [Fachada cega com manchas de umidade e técnico em deslocamento.]
Fonte: Arquivo do Estado de São Paulo, 2003.</v>
      </c>
      <c r="S2" s="58" t="str">
        <f t="shared" ref="S2:S26" si="3">"ARQUIVO PÚBLICO DO ESTADO DE SÃO PAULO (Brasil). ["&amp;B2&amp;"]. "&amp;G2&amp;". "&amp;TEXT(D2,"dd")&amp;" "&amp;LOWER(TEXT(D2,"mmm"))&amp;" "&amp;TEXT(D2,"yyyy")&amp;". "&amp;F2&amp;". Disponível em: &lt;link do dataverse&gt;. Acesso em: 28 out. 2025."</f>
        <v>ARQUIVO PÚBLICO DO ESTADO DE SÃO PAULO (Brasil). [Fachada cega com manchas de umidade e técnico em deslocamento.]. São Paulo, Brasil. 10 mar. 2003. Fotografia digitalizada; colorida; suporte em papel fotográfico. Disponível em: &lt;link do dataverse&gt;. Acesso em: 28 out. 2025.</v>
      </c>
      <c r="T2" s="59" t="s">
        <v>208</v>
      </c>
    </row>
    <row r="3" ht="15.75" customHeight="1">
      <c r="A3" s="49" t="str">
        <f t="shared" si="1"/>
        <v>002</v>
      </c>
      <c r="B3" s="60" t="s">
        <v>209</v>
      </c>
      <c r="C3" s="61" t="s">
        <v>77</v>
      </c>
      <c r="D3" s="73">
        <v>37690.0</v>
      </c>
      <c r="E3" s="63" t="s">
        <v>79</v>
      </c>
      <c r="F3" s="54" t="s">
        <v>80</v>
      </c>
      <c r="G3" s="64" t="s">
        <v>81</v>
      </c>
      <c r="H3" s="56" t="s">
        <v>82</v>
      </c>
      <c r="I3" s="50" t="s">
        <v>83</v>
      </c>
      <c r="J3" s="56" t="s">
        <v>206</v>
      </c>
      <c r="K3" s="57" t="str">
        <f>TEXTJOIN("", TRUE, Geral!B59:U59)</f>
        <v>BR-SPGPDVE_ARCOENGE-DEMOLICAO-CSDTCARANDIRU_ICO-FOT-DGZ-MB0_0003-002.JPG</v>
      </c>
      <c r="L3"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3" s="55" t="s">
        <v>210</v>
      </c>
      <c r="N3"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3" s="50" t="s">
        <v>88</v>
      </c>
      <c r="P3" s="54" t="s">
        <v>89</v>
      </c>
      <c r="Q3" s="54" t="s">
        <v>90</v>
      </c>
      <c r="R3" s="66" t="str">
        <f t="shared" si="2"/>
        <v>Figura n – [Muro divisório com pichações sutis e técnico apontando fissura.]
Fonte: Arquivo do Estado de São Paulo, 2003.</v>
      </c>
      <c r="S3" s="66" t="str">
        <f t="shared" si="3"/>
        <v>ARQUIVO PÚBLICO DO ESTADO DE SÃO PAULO (Brasil). [Muro divisório com pichações sutis e técnico apontando fissura.]. São Paulo, Brasil. 10 mar. 2003. Fotografia digitalizada; colorida; suporte em papel fotográfico. Disponível em: &lt;link do dataverse&gt;. Acesso em: 28 out. 2025.</v>
      </c>
      <c r="T3" s="59" t="s">
        <v>208</v>
      </c>
    </row>
    <row r="4" ht="15.75" customHeight="1">
      <c r="A4" s="49" t="str">
        <f t="shared" si="1"/>
        <v>003</v>
      </c>
      <c r="B4" s="60" t="s">
        <v>211</v>
      </c>
      <c r="C4" s="61" t="s">
        <v>77</v>
      </c>
      <c r="D4" s="73">
        <v>37690.0</v>
      </c>
      <c r="E4" s="63" t="s">
        <v>79</v>
      </c>
      <c r="F4" s="54" t="s">
        <v>80</v>
      </c>
      <c r="G4" s="64" t="s">
        <v>81</v>
      </c>
      <c r="H4" s="56" t="s">
        <v>82</v>
      </c>
      <c r="I4" s="50" t="s">
        <v>83</v>
      </c>
      <c r="J4" s="56" t="s">
        <v>206</v>
      </c>
      <c r="K4" s="57" t="str">
        <f>TEXTJOIN("", TRUE, Geral!B60:U60)</f>
        <v>BR-SPGPDVE_ARCOENGE-DEMOLICAO-CSDTCARANDIRU_ICO-FOT-DGZ-MB0_0003-003.JPG</v>
      </c>
      <c r="L4"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4" s="55" t="s">
        <v>212</v>
      </c>
      <c r="N4"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4" s="50" t="s">
        <v>88</v>
      </c>
      <c r="P4" s="54" t="s">
        <v>89</v>
      </c>
      <c r="Q4" s="54" t="s">
        <v>90</v>
      </c>
      <c r="R4" s="66" t="str">
        <f t="shared" si="2"/>
        <v>Figura n – [Vistoria de fenda estrutural entre muros de divisa.]
Fonte: Arquivo do Estado de São Paulo, 2003.</v>
      </c>
      <c r="S4" s="66" t="str">
        <f t="shared" si="3"/>
        <v>ARQUIVO PÚBLICO DO ESTADO DE SÃO PAULO (Brasil). [Vistoria de fenda estrutural entre muros de divisa.]. São Paulo, Brasil. 10 mar. 2003. Fotografia digitalizada; colorida; suporte em papel fotográfico. Disponível em: &lt;link do dataverse&gt;. Acesso em: 28 out. 2025.</v>
      </c>
      <c r="T4" s="59" t="s">
        <v>208</v>
      </c>
    </row>
    <row r="5" ht="15.75" customHeight="1">
      <c r="A5" s="49" t="str">
        <f t="shared" si="1"/>
        <v>004</v>
      </c>
      <c r="B5" s="60" t="s">
        <v>213</v>
      </c>
      <c r="C5" s="61" t="s">
        <v>77</v>
      </c>
      <c r="D5" s="73">
        <v>37690.0</v>
      </c>
      <c r="E5" s="63" t="s">
        <v>79</v>
      </c>
      <c r="F5" s="54" t="s">
        <v>80</v>
      </c>
      <c r="G5" s="55" t="s">
        <v>81</v>
      </c>
      <c r="H5" s="56" t="s">
        <v>82</v>
      </c>
      <c r="I5" s="50" t="s">
        <v>83</v>
      </c>
      <c r="J5" s="56" t="s">
        <v>206</v>
      </c>
      <c r="K5" s="57" t="str">
        <f>TEXTJOIN("", TRUE, Geral!B61:U61)</f>
        <v>BR-SPGPDVE_ARCOENGE-DEMOLICAO-CSDTCARANDIRU_ICO-FOT-DGZ-MB0_0003-004.JPG</v>
      </c>
      <c r="L5"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5" s="55" t="s">
        <v>214</v>
      </c>
      <c r="N5"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5" s="50" t="s">
        <v>88</v>
      </c>
      <c r="P5" s="54" t="s">
        <v>89</v>
      </c>
      <c r="Q5" s="54" t="s">
        <v>90</v>
      </c>
      <c r="R5" s="66" t="str">
        <f t="shared" si="2"/>
        <v>Figura n – [Detalhe de avarias no reboco com exposição de alvenaria.]
Fonte: Arquivo do Estado de São Paulo, 2003.</v>
      </c>
      <c r="S5" s="66" t="str">
        <f t="shared" si="3"/>
        <v>ARQUIVO PÚBLICO DO ESTADO DE SÃO PAULO (Brasil). [Detalhe de avarias no reboco com exposição de alvenaria.]. São Paulo, Brasil. 10 mar. 2003. Fotografia digitalizada; colorida; suporte em papel fotográfico. Disponível em: &lt;link do dataverse&gt;. Acesso em: 28 out. 2025.</v>
      </c>
      <c r="T5" s="59" t="s">
        <v>208</v>
      </c>
    </row>
    <row r="6" ht="15.75" customHeight="1">
      <c r="A6" s="49" t="str">
        <f t="shared" si="1"/>
        <v>005</v>
      </c>
      <c r="B6" s="60" t="s">
        <v>215</v>
      </c>
      <c r="C6" s="61" t="s">
        <v>77</v>
      </c>
      <c r="D6" s="73">
        <v>37690.0</v>
      </c>
      <c r="E6" s="63" t="s">
        <v>79</v>
      </c>
      <c r="F6" s="54" t="s">
        <v>80</v>
      </c>
      <c r="G6" s="64" t="s">
        <v>81</v>
      </c>
      <c r="H6" s="56" t="s">
        <v>82</v>
      </c>
      <c r="I6" s="50" t="s">
        <v>83</v>
      </c>
      <c r="J6" s="56" t="s">
        <v>206</v>
      </c>
      <c r="K6" s="57" t="str">
        <f>TEXTJOIN("", TRUE, Geral!B62:U62)</f>
        <v>BR-SPGPDVE_ARCOENGE-DEMOLICAO-CSDTCARANDIRU_ICO-FOT-DGZ-MB0_0003-005.JPG</v>
      </c>
      <c r="L6"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6" s="64" t="s">
        <v>216</v>
      </c>
      <c r="N6"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6" s="50" t="s">
        <v>88</v>
      </c>
      <c r="P6" s="54" t="s">
        <v>89</v>
      </c>
      <c r="Q6" s="54" t="s">
        <v>90</v>
      </c>
      <c r="R6" s="66" t="str">
        <f t="shared" si="2"/>
        <v>Figura n – [Técnico apontando extensa fissura vertical em muro.]
Fonte: Arquivo do Estado de São Paulo, 2003.</v>
      </c>
      <c r="S6" s="66" t="str">
        <f t="shared" si="3"/>
        <v>ARQUIVO PÚBLICO DO ESTADO DE SÃO PAULO (Brasil). [Técnico apontando extensa fissura vertical em muro.]. São Paulo, Brasil. 10 mar. 2003. Fotografia digitalizada; colorida; suporte em papel fotográfico. Disponível em: &lt;link do dataverse&gt;. Acesso em: 28 out. 2025.</v>
      </c>
      <c r="T6" s="59" t="s">
        <v>208</v>
      </c>
    </row>
    <row r="7" ht="15.75" customHeight="1">
      <c r="A7" s="49" t="str">
        <f t="shared" si="1"/>
        <v>006</v>
      </c>
      <c r="B7" s="60" t="s">
        <v>217</v>
      </c>
      <c r="C7" s="61" t="s">
        <v>77</v>
      </c>
      <c r="D7" s="73">
        <v>37690.0</v>
      </c>
      <c r="E7" s="63" t="s">
        <v>79</v>
      </c>
      <c r="F7" s="54" t="s">
        <v>80</v>
      </c>
      <c r="G7" s="64" t="s">
        <v>81</v>
      </c>
      <c r="H7" s="56" t="s">
        <v>82</v>
      </c>
      <c r="I7" s="50" t="s">
        <v>83</v>
      </c>
      <c r="J7" s="56" t="s">
        <v>206</v>
      </c>
      <c r="K7" s="57" t="str">
        <f>TEXTJOIN("", TRUE, Geral!B63:U63)</f>
        <v>BR-SPGPDVE_ARCOENGE-DEMOLICAO-CSDTCARANDIRU_ICO-FOT-DGZ-MB0_0003-006.JPG</v>
      </c>
      <c r="L7"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7" s="64" t="s">
        <v>218</v>
      </c>
      <c r="N7"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7" s="50" t="s">
        <v>88</v>
      </c>
      <c r="P7" s="54" t="s">
        <v>89</v>
      </c>
      <c r="Q7" s="54" t="s">
        <v>90</v>
      </c>
      <c r="R7" s="66" t="str">
        <f t="shared" si="2"/>
        <v>Figura n – [Vistoria de trinca vertical.]
Fonte: Arquivo do Estado de São Paulo, 2003.</v>
      </c>
      <c r="S7" s="66" t="str">
        <f t="shared" si="3"/>
        <v>ARQUIVO PÚBLICO DO ESTADO DE SÃO PAULO (Brasil). [Vistoria de trinca vertical.]. São Paulo, Brasil. 10 mar. 2003. Fotografia digitalizada; colorida; suporte em papel fotográfico. Disponível em: &lt;link do dataverse&gt;. Acesso em: 28 out. 2025.</v>
      </c>
      <c r="T7" s="59" t="s">
        <v>208</v>
      </c>
    </row>
    <row r="8" ht="15.75" customHeight="1">
      <c r="A8" s="49" t="str">
        <f t="shared" si="1"/>
        <v>007</v>
      </c>
      <c r="B8" s="60" t="s">
        <v>219</v>
      </c>
      <c r="C8" s="61" t="s">
        <v>77</v>
      </c>
      <c r="D8" s="73">
        <v>37690.0</v>
      </c>
      <c r="E8" s="63" t="s">
        <v>79</v>
      </c>
      <c r="F8" s="54" t="s">
        <v>80</v>
      </c>
      <c r="G8" s="55" t="s">
        <v>81</v>
      </c>
      <c r="H8" s="56" t="s">
        <v>82</v>
      </c>
      <c r="I8" s="50" t="s">
        <v>83</v>
      </c>
      <c r="J8" s="56" t="s">
        <v>206</v>
      </c>
      <c r="K8" s="57" t="str">
        <f>TEXTJOIN("", TRUE, Geral!B64:U64)</f>
        <v>BR-SPGPDVE_ARCOENGE-DEMOLICAO-CSDTCARANDIRU_ICO-FOT-DGZ-MB0_0003-007.JPG</v>
      </c>
      <c r="L8"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8" s="64" t="s">
        <v>220</v>
      </c>
      <c r="N8"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8" s="50" t="s">
        <v>88</v>
      </c>
      <c r="P8" s="54" t="s">
        <v>89</v>
      </c>
      <c r="Q8" s="54" t="s">
        <v>90</v>
      </c>
      <c r="R8" s="66" t="str">
        <f t="shared" si="2"/>
        <v>Figura n – [Técnico indicando ruptura com desprendimento de reboco.]
Fonte: Arquivo do Estado de São Paulo, 2003.</v>
      </c>
      <c r="S8" s="66" t="str">
        <f t="shared" si="3"/>
        <v>ARQUIVO PÚBLICO DO ESTADO DE SÃO PAULO (Brasil). [Técnico indicando ruptura com desprendimento de reboco.]. São Paulo, Brasil. 10 mar. 2003. Fotografia digitalizada; colorida; suporte em papel fotográfico. Disponível em: &lt;link do dataverse&gt;. Acesso em: 28 out. 2025.</v>
      </c>
      <c r="T8" s="59" t="s">
        <v>208</v>
      </c>
    </row>
    <row r="9" ht="15.75" customHeight="1">
      <c r="A9" s="49" t="str">
        <f t="shared" si="1"/>
        <v>008</v>
      </c>
      <c r="B9" s="60" t="s">
        <v>221</v>
      </c>
      <c r="C9" s="61" t="s">
        <v>77</v>
      </c>
      <c r="D9" s="73">
        <v>37690.0</v>
      </c>
      <c r="E9" s="63" t="s">
        <v>79</v>
      </c>
      <c r="F9" s="54" t="s">
        <v>80</v>
      </c>
      <c r="G9" s="64" t="s">
        <v>81</v>
      </c>
      <c r="H9" s="56" t="s">
        <v>82</v>
      </c>
      <c r="I9" s="50" t="s">
        <v>83</v>
      </c>
      <c r="J9" s="56" t="s">
        <v>206</v>
      </c>
      <c r="K9" s="57" t="str">
        <f>TEXTJOIN("", TRUE, Geral!B65:U65)</f>
        <v>BR-SPGPDVE_ARCOENGE-DEMOLICAO-CSDTCARANDIRU_ICO-FOT-DGZ-MB0_0003-008.JPG</v>
      </c>
      <c r="L9"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9" s="64" t="s">
        <v>222</v>
      </c>
      <c r="N9"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9" s="50" t="s">
        <v>88</v>
      </c>
      <c r="P9" s="54" t="s">
        <v>89</v>
      </c>
      <c r="Q9" s="54" t="s">
        <v>90</v>
      </c>
      <c r="R9" s="66" t="str">
        <f t="shared" si="2"/>
        <v>Figura n – [Técnico encostado em quina de muro com buracos profundos.]
Fonte: Arquivo do Estado de São Paulo, 2003.</v>
      </c>
      <c r="S9" s="66" t="str">
        <f t="shared" si="3"/>
        <v>ARQUIVO PÚBLICO DO ESTADO DE SÃO PAULO (Brasil). [Técnico encostado em quina de muro com buracos profundos.]. São Paulo, Brasil. 10 mar. 2003. Fotografia digitalizada; colorida; suporte em papel fotográfico. Disponível em: &lt;link do dataverse&gt;. Acesso em: 28 out. 2025.</v>
      </c>
      <c r="T9" s="59" t="s">
        <v>208</v>
      </c>
    </row>
    <row r="10" ht="15.75" customHeight="1">
      <c r="A10" s="49" t="str">
        <f t="shared" si="1"/>
        <v>009</v>
      </c>
      <c r="B10" s="60" t="s">
        <v>223</v>
      </c>
      <c r="C10" s="61" t="s">
        <v>77</v>
      </c>
      <c r="D10" s="73">
        <v>37690.0</v>
      </c>
      <c r="E10" s="63" t="s">
        <v>79</v>
      </c>
      <c r="F10" s="54" t="s">
        <v>80</v>
      </c>
      <c r="G10" s="64" t="s">
        <v>81</v>
      </c>
      <c r="H10" s="56" t="s">
        <v>82</v>
      </c>
      <c r="I10" s="50" t="s">
        <v>83</v>
      </c>
      <c r="J10" s="56" t="s">
        <v>206</v>
      </c>
      <c r="K10" s="57" t="str">
        <f>TEXTJOIN("", TRUE, Geral!B66:U66)</f>
        <v>BR-SPGPDVE_ARCOENGE-DEMOLICAO-CSDTCARANDIRU_ICO-FOT-DGZ-MB0_0003-009.JPG</v>
      </c>
      <c r="L10"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0" s="64" t="s">
        <v>224</v>
      </c>
      <c r="N10"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0" s="50" t="s">
        <v>88</v>
      </c>
      <c r="P10" s="54" t="s">
        <v>89</v>
      </c>
      <c r="Q10" s="54" t="s">
        <v>90</v>
      </c>
      <c r="R10" s="66" t="str">
        <f t="shared" si="2"/>
        <v>Figura n – [Extensa fachada lateral com equipe em terreno de obras.]
Fonte: Arquivo do Estado de São Paulo, 2003.</v>
      </c>
      <c r="S10" s="66" t="str">
        <f t="shared" si="3"/>
        <v>ARQUIVO PÚBLICO DO ESTADO DE SÃO PAULO (Brasil). [Extensa fachada lateral com equipe em terreno de obras.]. São Paulo, Brasil. 10 mar. 2003. Fotografia digitalizada; colorida; suporte em papel fotográfico. Disponível em: &lt;link do dataverse&gt;. Acesso em: 28 out. 2025.</v>
      </c>
      <c r="T10" s="59" t="s">
        <v>208</v>
      </c>
    </row>
    <row r="11" ht="15.75" customHeight="1">
      <c r="A11" s="49" t="str">
        <f t="shared" si="1"/>
        <v>010</v>
      </c>
      <c r="B11" s="60" t="s">
        <v>225</v>
      </c>
      <c r="C11" s="61" t="s">
        <v>77</v>
      </c>
      <c r="D11" s="73">
        <v>37690.0</v>
      </c>
      <c r="E11" s="63" t="s">
        <v>79</v>
      </c>
      <c r="F11" s="54" t="s">
        <v>80</v>
      </c>
      <c r="G11" s="55" t="s">
        <v>81</v>
      </c>
      <c r="H11" s="56" t="s">
        <v>82</v>
      </c>
      <c r="I11" s="50" t="s">
        <v>83</v>
      </c>
      <c r="J11" s="56" t="s">
        <v>206</v>
      </c>
      <c r="K11" s="57" t="str">
        <f>TEXTJOIN("", TRUE, Geral!B67:U67)</f>
        <v>BR-SPGPDVE_ARCOENGE-DEMOLICAO-CSDTCARANDIRU_ICO-FOT-DGZ-MB0_0003-010.JPG</v>
      </c>
      <c r="L11"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1" s="64" t="s">
        <v>226</v>
      </c>
      <c r="N11"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1" s="50" t="s">
        <v>88</v>
      </c>
      <c r="P11" s="54" t="s">
        <v>89</v>
      </c>
      <c r="Q11" s="54" t="s">
        <v>90</v>
      </c>
      <c r="R11" s="66" t="str">
        <f t="shared" si="2"/>
        <v>Figura n – [Detalhe superior de empena cega com tijolos laterais expostos.]
Fonte: Arquivo do Estado de São Paulo, 2003.</v>
      </c>
      <c r="S11" s="66" t="str">
        <f t="shared" si="3"/>
        <v>ARQUIVO PÚBLICO DO ESTADO DE SÃO PAULO (Brasil). [Detalhe superior de empena cega com tijolos laterais expostos.]. São Paulo, Brasil. 10 mar. 2003. Fotografia digitalizada; colorida; suporte em papel fotográfico. Disponível em: &lt;link do dataverse&gt;. Acesso em: 28 out. 2025.</v>
      </c>
      <c r="T11" s="59" t="s">
        <v>208</v>
      </c>
    </row>
    <row r="12" ht="15.75" customHeight="1">
      <c r="A12" s="49" t="str">
        <f t="shared" si="1"/>
        <v>011</v>
      </c>
      <c r="B12" s="60" t="s">
        <v>227</v>
      </c>
      <c r="C12" s="61" t="s">
        <v>77</v>
      </c>
      <c r="D12" s="73">
        <v>37690.0</v>
      </c>
      <c r="E12" s="63" t="s">
        <v>79</v>
      </c>
      <c r="F12" s="54" t="s">
        <v>80</v>
      </c>
      <c r="G12" s="64" t="s">
        <v>81</v>
      </c>
      <c r="H12" s="56" t="s">
        <v>82</v>
      </c>
      <c r="I12" s="50" t="s">
        <v>83</v>
      </c>
      <c r="J12" s="56" t="s">
        <v>206</v>
      </c>
      <c r="K12" s="57" t="str">
        <f>TEXTJOIN("", TRUE, Geral!B68:U68)</f>
        <v>BR-SPGPDVE_ARCOENGE-DEMOLICAO-CSDTCARANDIRU_ICO-FOT-DGZ-MB0_0003-011.JPG</v>
      </c>
      <c r="L12"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2" s="64" t="s">
        <v>228</v>
      </c>
      <c r="N12"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2" s="50" t="s">
        <v>88</v>
      </c>
      <c r="P12" s="54" t="s">
        <v>89</v>
      </c>
      <c r="Q12" s="54" t="s">
        <v>90</v>
      </c>
      <c r="R12" s="66" t="str">
        <f t="shared" si="2"/>
        <v>Figura n – [Detalhe de revestimento de muro divisório com manchas e escorrimentos escuros.]
Fonte: Arquivo do Estado de São Paulo, 2003.</v>
      </c>
      <c r="S12" s="66" t="str">
        <f t="shared" si="3"/>
        <v>ARQUIVO PÚBLICO DO ESTADO DE SÃO PAULO (Brasil). [Detalhe de revestimento de muro divisório com manchas e escorrimentos escuros.]. São Paulo, Brasil. 10 mar. 2003. Fotografia digitalizada; colorida; suporte em papel fotográfico. Disponível em: &lt;link do dataverse&gt;. Acesso em: 28 out. 2025.</v>
      </c>
      <c r="T12" s="59" t="s">
        <v>208</v>
      </c>
    </row>
    <row r="13" ht="15.75" customHeight="1">
      <c r="A13" s="49" t="str">
        <f t="shared" si="1"/>
        <v>012</v>
      </c>
      <c r="B13" s="60" t="s">
        <v>229</v>
      </c>
      <c r="C13" s="61" t="s">
        <v>77</v>
      </c>
      <c r="D13" s="73">
        <v>37690.0</v>
      </c>
      <c r="E13" s="63" t="s">
        <v>79</v>
      </c>
      <c r="F13" s="54" t="s">
        <v>80</v>
      </c>
      <c r="G13" s="64" t="s">
        <v>81</v>
      </c>
      <c r="H13" s="56" t="s">
        <v>82</v>
      </c>
      <c r="I13" s="50" t="s">
        <v>83</v>
      </c>
      <c r="J13" s="56" t="s">
        <v>206</v>
      </c>
      <c r="K13" s="57" t="str">
        <f>TEXTJOIN("", TRUE, Geral!B69:U69)</f>
        <v>BR-SPGPDVE_ARCOENGE-DEMOLICAO-CSDTCARANDIRU_ICO-FOT-DGZ-MB0_0003-012.JPG</v>
      </c>
      <c r="L13"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3" s="64" t="s">
        <v>230</v>
      </c>
      <c r="N13"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3" s="50" t="s">
        <v>88</v>
      </c>
      <c r="P13" s="54" t="s">
        <v>89</v>
      </c>
      <c r="Q13" s="54" t="s">
        <v>90</v>
      </c>
      <c r="R13" s="66" t="str">
        <f t="shared" si="2"/>
        <v>Figura n – [Detalhe de avarias, umidade e oxidação em superfície de muro.]
Fonte: Arquivo do Estado de São Paulo, 2003.</v>
      </c>
      <c r="S13" s="66" t="str">
        <f t="shared" si="3"/>
        <v>ARQUIVO PÚBLICO DO ESTADO DE SÃO PAULO (Brasil). [Detalhe de avarias, umidade e oxidação em superfície de muro.]. São Paulo, Brasil. 10 mar. 2003. Fotografia digitalizada; colorida; suporte em papel fotográfico. Disponível em: &lt;link do dataverse&gt;. Acesso em: 28 out. 2025.</v>
      </c>
      <c r="T13" s="59" t="s">
        <v>208</v>
      </c>
    </row>
    <row r="14" ht="15.75" customHeight="1">
      <c r="A14" s="49" t="str">
        <f t="shared" si="1"/>
        <v>013</v>
      </c>
      <c r="B14" s="60" t="s">
        <v>231</v>
      </c>
      <c r="C14" s="61" t="s">
        <v>77</v>
      </c>
      <c r="D14" s="73">
        <v>37690.0</v>
      </c>
      <c r="E14" s="63" t="s">
        <v>79</v>
      </c>
      <c r="F14" s="54" t="s">
        <v>80</v>
      </c>
      <c r="G14" s="55" t="s">
        <v>81</v>
      </c>
      <c r="H14" s="56" t="s">
        <v>82</v>
      </c>
      <c r="I14" s="50" t="s">
        <v>83</v>
      </c>
      <c r="J14" s="56" t="s">
        <v>206</v>
      </c>
      <c r="K14" s="57" t="str">
        <f>TEXTJOIN("", TRUE, Geral!B70:U70)</f>
        <v>BR-SPGPDVE_ARCOENGE-DEMOLICAO-CSDTCARANDIRU_ICO-FOT-DGZ-MB0_0003-013.JPG</v>
      </c>
      <c r="L14"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4" s="64" t="s">
        <v>232</v>
      </c>
      <c r="N14"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4" s="50" t="s">
        <v>88</v>
      </c>
      <c r="P14" s="54" t="s">
        <v>89</v>
      </c>
      <c r="Q14" s="54" t="s">
        <v>90</v>
      </c>
      <c r="R14" s="66" t="str">
        <f t="shared" si="2"/>
        <v>Figura n – [Muro divisório bipartido e vala para fundação no canteiro.]
Fonte: Arquivo do Estado de São Paulo, 2003.</v>
      </c>
      <c r="S14" s="66" t="str">
        <f t="shared" si="3"/>
        <v>ARQUIVO PÚBLICO DO ESTADO DE SÃO PAULO (Brasil). [Muro divisório bipartido e vala para fundação no canteiro.]. São Paulo, Brasil. 10 mar. 2003. Fotografia digitalizada; colorida; suporte em papel fotográfico. Disponível em: &lt;link do dataverse&gt;. Acesso em: 28 out. 2025.</v>
      </c>
      <c r="T14" s="59" t="s">
        <v>208</v>
      </c>
    </row>
    <row r="15" ht="15.75" customHeight="1">
      <c r="A15" s="49" t="str">
        <f t="shared" si="1"/>
        <v>014</v>
      </c>
      <c r="B15" s="60" t="s">
        <v>233</v>
      </c>
      <c r="C15" s="61" t="s">
        <v>77</v>
      </c>
      <c r="D15" s="73">
        <v>37690.0</v>
      </c>
      <c r="E15" s="63" t="s">
        <v>79</v>
      </c>
      <c r="F15" s="54" t="s">
        <v>80</v>
      </c>
      <c r="G15" s="64" t="s">
        <v>81</v>
      </c>
      <c r="H15" s="56" t="s">
        <v>82</v>
      </c>
      <c r="I15" s="50" t="s">
        <v>83</v>
      </c>
      <c r="J15" s="56" t="s">
        <v>206</v>
      </c>
      <c r="K15" s="57" t="str">
        <f>TEXTJOIN("", TRUE, Geral!B71:U71)</f>
        <v>BR-SPGPDVE_ARCOENGE-DEMOLICAO-CSDTCARANDIRU_ICO-FOT-DGZ-MB0_0003-014.JPG</v>
      </c>
      <c r="L15"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5" s="64" t="s">
        <v>234</v>
      </c>
      <c r="N15"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5" s="50" t="s">
        <v>88</v>
      </c>
      <c r="P15" s="54" t="s">
        <v>89</v>
      </c>
      <c r="Q15" s="54" t="s">
        <v>90</v>
      </c>
      <c r="R15" s="66" t="str">
        <f t="shared" si="2"/>
        <v>Figura n – [Muro de divisa com proteção superior e vala de fundação.]
Fonte: Arquivo do Estado de São Paulo, 2003.</v>
      </c>
      <c r="S15" s="66" t="str">
        <f t="shared" si="3"/>
        <v>ARQUIVO PÚBLICO DO ESTADO DE SÃO PAULO (Brasil). [Muro de divisa com proteção superior e vala de fundação.]. São Paulo, Brasil. 10 mar. 2003. Fotografia digitalizada; colorida; suporte em papel fotográfico. Disponível em: &lt;link do dataverse&gt;. Acesso em: 28 out. 2025.</v>
      </c>
      <c r="T15" s="59" t="s">
        <v>208</v>
      </c>
    </row>
    <row r="16" ht="15.75" customHeight="1">
      <c r="A16" s="49" t="str">
        <f t="shared" si="1"/>
        <v>015</v>
      </c>
      <c r="B16" s="60" t="s">
        <v>235</v>
      </c>
      <c r="C16" s="61" t="s">
        <v>77</v>
      </c>
      <c r="D16" s="73">
        <v>37690.0</v>
      </c>
      <c r="E16" s="63" t="s">
        <v>79</v>
      </c>
      <c r="F16" s="54" t="s">
        <v>80</v>
      </c>
      <c r="G16" s="64" t="s">
        <v>81</v>
      </c>
      <c r="H16" s="56" t="s">
        <v>82</v>
      </c>
      <c r="I16" s="50" t="s">
        <v>83</v>
      </c>
      <c r="J16" s="56" t="s">
        <v>206</v>
      </c>
      <c r="K16" s="57" t="str">
        <f>TEXTJOIN("", TRUE, Geral!B72:U72)</f>
        <v>BR-SPGPDVE_ARCOENGE-DEMOLICAO-CSDTCARANDIRU_ICO-FOT-DGZ-MB0_0003-015.JPG</v>
      </c>
      <c r="L16"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6" s="64" t="s">
        <v>236</v>
      </c>
      <c r="N16"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6" s="50" t="s">
        <v>88</v>
      </c>
      <c r="P16" s="54" t="s">
        <v>89</v>
      </c>
      <c r="Q16" s="54" t="s">
        <v>90</v>
      </c>
      <c r="R16" s="66" t="str">
        <f t="shared" si="2"/>
        <v>Figura n – [Amplo muro divisório degradado e ferragens dispersas no solo.]
Fonte: Arquivo do Estado de São Paulo, 2003.</v>
      </c>
      <c r="S16" s="66" t="str">
        <f t="shared" si="3"/>
        <v>ARQUIVO PÚBLICO DO ESTADO DE SÃO PAULO (Brasil). [Amplo muro divisório degradado e ferragens dispersas no solo.]. São Paulo, Brasil. 10 mar. 2003. Fotografia digitalizada; colorida; suporte em papel fotográfico. Disponível em: &lt;link do dataverse&gt;. Acesso em: 28 out. 2025.</v>
      </c>
      <c r="T16" s="59" t="s">
        <v>208</v>
      </c>
    </row>
    <row r="17" ht="15.75" customHeight="1">
      <c r="A17" s="49" t="str">
        <f t="shared" si="1"/>
        <v>016</v>
      </c>
      <c r="B17" s="60" t="s">
        <v>237</v>
      </c>
      <c r="C17" s="61" t="s">
        <v>77</v>
      </c>
      <c r="D17" s="73">
        <v>37690.0</v>
      </c>
      <c r="E17" s="63" t="s">
        <v>79</v>
      </c>
      <c r="F17" s="54" t="s">
        <v>80</v>
      </c>
      <c r="G17" s="55" t="s">
        <v>81</v>
      </c>
      <c r="H17" s="56" t="s">
        <v>82</v>
      </c>
      <c r="I17" s="50" t="s">
        <v>83</v>
      </c>
      <c r="J17" s="56" t="s">
        <v>206</v>
      </c>
      <c r="K17" s="57" t="str">
        <f>TEXTJOIN("", TRUE, Geral!B73:U73)</f>
        <v>BR-SPGPDVE_ARCOENGE-DEMOLICAO-CSDTCARANDIRU_ICO-FOT-DGZ-MB0_0003-016.JPG</v>
      </c>
      <c r="L17"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7" s="64" t="s">
        <v>238</v>
      </c>
      <c r="N17"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7" s="50" t="s">
        <v>88</v>
      </c>
      <c r="P17" s="54" t="s">
        <v>89</v>
      </c>
      <c r="Q17" s="54" t="s">
        <v>90</v>
      </c>
      <c r="R17" s="66" t="str">
        <f t="shared" si="2"/>
        <v>Figura n – [Ruptura de revestimento em muro revelando blocos de concreto.]
Fonte: Arquivo do Estado de São Paulo, 2003.</v>
      </c>
      <c r="S17" s="66" t="str">
        <f t="shared" si="3"/>
        <v>ARQUIVO PÚBLICO DO ESTADO DE SÃO PAULO (Brasil). [Ruptura de revestimento em muro revelando blocos de concreto.]. São Paulo, Brasil. 10 mar. 2003. Fotografia digitalizada; colorida; suporte em papel fotográfico. Disponível em: &lt;link do dataverse&gt;. Acesso em: 28 out. 2025.</v>
      </c>
      <c r="T17" s="59" t="s">
        <v>208</v>
      </c>
    </row>
    <row r="18" ht="15.75" customHeight="1">
      <c r="A18" s="49" t="str">
        <f t="shared" si="1"/>
        <v>017</v>
      </c>
      <c r="B18" s="60" t="s">
        <v>239</v>
      </c>
      <c r="C18" s="61" t="s">
        <v>77</v>
      </c>
      <c r="D18" s="73">
        <v>37690.0</v>
      </c>
      <c r="E18" s="63" t="s">
        <v>79</v>
      </c>
      <c r="F18" s="54" t="s">
        <v>80</v>
      </c>
      <c r="G18" s="64" t="s">
        <v>81</v>
      </c>
      <c r="H18" s="56" t="s">
        <v>82</v>
      </c>
      <c r="I18" s="50" t="s">
        <v>83</v>
      </c>
      <c r="J18" s="56" t="s">
        <v>206</v>
      </c>
      <c r="K18" s="57" t="str">
        <f>TEXTJOIN("", TRUE, Geral!B74:U74)</f>
        <v>BR-SPGPDVE_ARCOENGE-DEMOLICAO-CSDTCARANDIRU_ICO-FOT-DGZ-MB0_0003-017.JPG</v>
      </c>
      <c r="L18"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8" s="64" t="s">
        <v>240</v>
      </c>
      <c r="N18"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8" s="50" t="s">
        <v>88</v>
      </c>
      <c r="P18" s="54" t="s">
        <v>89</v>
      </c>
      <c r="Q18" s="54" t="s">
        <v>90</v>
      </c>
      <c r="R18" s="66" t="str">
        <f t="shared" si="2"/>
        <v>Figura n – [Exposição de alvenaria estrutural e tubulações em muro divisório.]
Fonte: Arquivo do Estado de São Paulo, 2003.</v>
      </c>
      <c r="S18" s="66" t="str">
        <f t="shared" si="3"/>
        <v>ARQUIVO PÚBLICO DO ESTADO DE SÃO PAULO (Brasil). [Exposição de alvenaria estrutural e tubulações em muro divisório.]. São Paulo, Brasil. 10 mar. 2003. Fotografia digitalizada; colorida; suporte em papel fotográfico. Disponível em: &lt;link do dataverse&gt;. Acesso em: 28 out. 2025.</v>
      </c>
      <c r="T18" s="59" t="s">
        <v>208</v>
      </c>
    </row>
    <row r="19" ht="15.75" customHeight="1">
      <c r="A19" s="49" t="str">
        <f t="shared" si="1"/>
        <v>018</v>
      </c>
      <c r="B19" s="60" t="s">
        <v>241</v>
      </c>
      <c r="C19" s="61" t="s">
        <v>77</v>
      </c>
      <c r="D19" s="73">
        <v>37690.0</v>
      </c>
      <c r="E19" s="63" t="s">
        <v>79</v>
      </c>
      <c r="F19" s="54" t="s">
        <v>80</v>
      </c>
      <c r="G19" s="64" t="s">
        <v>81</v>
      </c>
      <c r="H19" s="56" t="s">
        <v>82</v>
      </c>
      <c r="I19" s="50" t="s">
        <v>83</v>
      </c>
      <c r="J19" s="56" t="s">
        <v>206</v>
      </c>
      <c r="K19" s="57" t="str">
        <f>TEXTJOIN("", TRUE, Geral!B75:U75)</f>
        <v>BR-SPGPDVE_ARCOENGE-DEMOLICAO-CSDTCARANDIRU_ICO-FOT-DGZ-MB0_0003-018.JPG</v>
      </c>
      <c r="L19"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9" s="64" t="s">
        <v>242</v>
      </c>
      <c r="N19"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9" s="50" t="s">
        <v>88</v>
      </c>
      <c r="P19" s="54" t="s">
        <v>89</v>
      </c>
      <c r="Q19" s="54" t="s">
        <v>90</v>
      </c>
      <c r="R19" s="66" t="str">
        <f t="shared" si="2"/>
        <v>Figura n – [Operários trabalhando em escavação junto a muros de divisa.]
Fonte: Arquivo do Estado de São Paulo, 2003.</v>
      </c>
      <c r="S19" s="66" t="str">
        <f t="shared" si="3"/>
        <v>ARQUIVO PÚBLICO DO ESTADO DE SÃO PAULO (Brasil). [Operários trabalhando em escavação junto a muros de divisa.]. São Paulo, Brasil. 10 mar. 2003. Fotografia digitalizada; colorida; suporte em papel fotográfico. Disponível em: &lt;link do dataverse&gt;. Acesso em: 28 out. 2025.</v>
      </c>
      <c r="T19" s="59" t="s">
        <v>208</v>
      </c>
    </row>
    <row r="20" ht="15.75" customHeight="1">
      <c r="A20" s="49" t="str">
        <f t="shared" si="1"/>
        <v>019</v>
      </c>
      <c r="B20" s="60" t="s">
        <v>243</v>
      </c>
      <c r="C20" s="61" t="s">
        <v>77</v>
      </c>
      <c r="D20" s="73">
        <v>37690.0</v>
      </c>
      <c r="E20" s="63" t="s">
        <v>79</v>
      </c>
      <c r="F20" s="54" t="s">
        <v>80</v>
      </c>
      <c r="G20" s="55" t="s">
        <v>81</v>
      </c>
      <c r="H20" s="56" t="s">
        <v>82</v>
      </c>
      <c r="I20" s="50" t="s">
        <v>83</v>
      </c>
      <c r="J20" s="56" t="s">
        <v>206</v>
      </c>
      <c r="K20" s="57" t="str">
        <f>TEXTJOIN("", TRUE, Geral!B76:U76)</f>
        <v>BR-SPGPDVE_ARCOENGE-DEMOLICAO-CSDTCARANDIRU_ICO-FOT-DGZ-MB0_0003-019.JPG</v>
      </c>
      <c r="L20"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0" s="64" t="s">
        <v>244</v>
      </c>
      <c r="N20"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0" s="50" t="s">
        <v>88</v>
      </c>
      <c r="P20" s="54" t="s">
        <v>89</v>
      </c>
      <c r="Q20" s="54" t="s">
        <v>90</v>
      </c>
      <c r="R20" s="66" t="str">
        <f t="shared" si="2"/>
        <v>Figura n – [Fachada de imóvel residencial com placa de venda na via pública.]
Fonte: Arquivo do Estado de São Paulo, 2003.</v>
      </c>
      <c r="S20" s="66" t="str">
        <f t="shared" si="3"/>
        <v>ARQUIVO PÚBLICO DO ESTADO DE SÃO PAULO (Brasil). [Fachada de imóvel residencial com placa de venda na via pública.]. São Paulo, Brasil. 10 mar. 2003. Fotografia digitalizada; colorida; suporte em papel fotográfico. Disponível em: &lt;link do dataverse&gt;. Acesso em: 28 out. 2025.</v>
      </c>
      <c r="T20" s="59" t="s">
        <v>208</v>
      </c>
    </row>
    <row r="21" ht="15.75" customHeight="1">
      <c r="A21" s="49" t="str">
        <f t="shared" si="1"/>
        <v>020</v>
      </c>
      <c r="B21" s="60" t="s">
        <v>245</v>
      </c>
      <c r="C21" s="61" t="s">
        <v>77</v>
      </c>
      <c r="D21" s="73">
        <v>37690.0</v>
      </c>
      <c r="E21" s="63" t="s">
        <v>79</v>
      </c>
      <c r="F21" s="54" t="s">
        <v>80</v>
      </c>
      <c r="G21" s="64" t="s">
        <v>81</v>
      </c>
      <c r="H21" s="56" t="s">
        <v>82</v>
      </c>
      <c r="I21" s="50" t="s">
        <v>83</v>
      </c>
      <c r="J21" s="56" t="s">
        <v>206</v>
      </c>
      <c r="K21" s="57" t="str">
        <f>TEXTJOIN("", TRUE, Geral!B77:U77)</f>
        <v>BR-SPGPDVE_ARCOENGE-DEMOLICAO-CSDTCARANDIRU_ICO-FOT-DGZ-MB0_0003-020.JPG</v>
      </c>
      <c r="L21"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1" s="64" t="s">
        <v>246</v>
      </c>
      <c r="N21"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1" s="50" t="s">
        <v>88</v>
      </c>
      <c r="P21" s="54" t="s">
        <v>89</v>
      </c>
      <c r="Q21" s="54" t="s">
        <v>90</v>
      </c>
      <c r="R21" s="66" t="str">
        <f t="shared" si="2"/>
        <v>Figura n – [Residência em reforma com escoramento de laje e caçamba de entulho.]
Fonte: Arquivo do Estado de São Paulo, 2003.</v>
      </c>
      <c r="S21" s="66" t="str">
        <f t="shared" si="3"/>
        <v>ARQUIVO PÚBLICO DO ESTADO DE SÃO PAULO (Brasil). [Residência em reforma com escoramento de laje e caçamba de entulho.]. São Paulo, Brasil. 10 mar. 2003. Fotografia digitalizada; colorida; suporte em papel fotográfico. Disponível em: &lt;link do dataverse&gt;. Acesso em: 28 out. 2025.</v>
      </c>
      <c r="T21" s="59" t="s">
        <v>208</v>
      </c>
    </row>
    <row r="22" ht="15.75" customHeight="1">
      <c r="A22" s="49" t="str">
        <f t="shared" si="1"/>
        <v>021</v>
      </c>
      <c r="B22" s="60" t="s">
        <v>247</v>
      </c>
      <c r="C22" s="61" t="s">
        <v>77</v>
      </c>
      <c r="D22" s="73">
        <v>37690.0</v>
      </c>
      <c r="E22" s="63" t="s">
        <v>79</v>
      </c>
      <c r="F22" s="54" t="s">
        <v>80</v>
      </c>
      <c r="G22" s="64" t="s">
        <v>81</v>
      </c>
      <c r="H22" s="56" t="s">
        <v>82</v>
      </c>
      <c r="I22" s="50" t="s">
        <v>83</v>
      </c>
      <c r="J22" s="56" t="s">
        <v>248</v>
      </c>
      <c r="K22" s="57" t="str">
        <f>TEXTJOIN("", TRUE, Geral!B78:U78)</f>
        <v>BR-SPGPDVE_ARCOENGE-DEMOLICAO-CSDTCARANDIRU_ICO-FOT-DGZ-MB0_0003-021.JPG</v>
      </c>
      <c r="L22"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2" s="64" t="s">
        <v>249</v>
      </c>
      <c r="N22"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2" s="50" t="s">
        <v>88</v>
      </c>
      <c r="P22" s="54" t="s">
        <v>89</v>
      </c>
      <c r="Q22" s="54" t="s">
        <v>90</v>
      </c>
      <c r="R22" s="66" t="str">
        <f t="shared" si="2"/>
        <v>Figura n – [Fachada de garagem residencial com dois veículos.]
Fonte: Arquivo do Estado de São Paulo, 2003.</v>
      </c>
      <c r="S22" s="66" t="str">
        <f t="shared" si="3"/>
        <v>ARQUIVO PÚBLICO DO ESTADO DE SÃO PAULO (Brasil). [Fachada de garagem residencial com dois veículos.]. São Paulo, Brasil. 10 mar. 2003. Fotografia digitalizada; colorida; suporte em papel fotográfico. Disponível em: &lt;link do dataverse&gt;. Acesso em: 28 out. 2025.</v>
      </c>
      <c r="T22" s="59" t="s">
        <v>208</v>
      </c>
    </row>
    <row r="23" ht="15.75" customHeight="1">
      <c r="A23" s="49" t="str">
        <f t="shared" si="1"/>
        <v>022</v>
      </c>
      <c r="B23" s="60" t="s">
        <v>250</v>
      </c>
      <c r="C23" s="61" t="s">
        <v>77</v>
      </c>
      <c r="D23" s="73">
        <v>37690.0</v>
      </c>
      <c r="E23" s="63" t="s">
        <v>79</v>
      </c>
      <c r="F23" s="54" t="s">
        <v>80</v>
      </c>
      <c r="G23" s="55" t="s">
        <v>81</v>
      </c>
      <c r="H23" s="56" t="s">
        <v>82</v>
      </c>
      <c r="I23" s="50" t="s">
        <v>83</v>
      </c>
      <c r="J23" s="56" t="s">
        <v>248</v>
      </c>
      <c r="K23" s="57" t="str">
        <f>TEXTJOIN("", TRUE, Geral!B79:U79)</f>
        <v>BR-SPGPDVE_ARCOENGE-DEMOLICAO-CSDTCARANDIRU_ICO-FOT-DGZ-MB0_0003-022.JPG</v>
      </c>
      <c r="L23"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3" s="64" t="s">
        <v>251</v>
      </c>
      <c r="N23"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3" s="50" t="s">
        <v>88</v>
      </c>
      <c r="P23" s="54" t="s">
        <v>89</v>
      </c>
      <c r="Q23" s="54" t="s">
        <v>90</v>
      </c>
      <c r="R23" s="66" t="str">
        <f t="shared" si="2"/>
        <v>Figura n – [Fachada contínua de edificações na via pública.]
Fonte: Arquivo do Estado de São Paulo, 2003.</v>
      </c>
      <c r="S23" s="66" t="str">
        <f t="shared" si="3"/>
        <v>ARQUIVO PÚBLICO DO ESTADO DE SÃO PAULO (Brasil). [Fachada contínua de edificações na via pública.]. São Paulo, Brasil. 10 mar. 2003. Fotografia digitalizada; colorida; suporte em papel fotográfico. Disponível em: &lt;link do dataverse&gt;. Acesso em: 28 out. 2025.</v>
      </c>
      <c r="T23" s="59" t="s">
        <v>208</v>
      </c>
    </row>
    <row r="24" ht="15.75" customHeight="1">
      <c r="A24" s="49" t="str">
        <f t="shared" si="1"/>
        <v>023</v>
      </c>
      <c r="B24" s="60" t="s">
        <v>252</v>
      </c>
      <c r="C24" s="61" t="s">
        <v>77</v>
      </c>
      <c r="D24" s="73">
        <v>37690.0</v>
      </c>
      <c r="E24" s="63" t="s">
        <v>79</v>
      </c>
      <c r="F24" s="54" t="s">
        <v>80</v>
      </c>
      <c r="G24" s="64" t="s">
        <v>81</v>
      </c>
      <c r="H24" s="56" t="s">
        <v>82</v>
      </c>
      <c r="I24" s="50" t="s">
        <v>83</v>
      </c>
      <c r="J24" s="56" t="s">
        <v>248</v>
      </c>
      <c r="K24" s="57" t="str">
        <f>TEXTJOIN("", TRUE, Geral!B80:U80)</f>
        <v>BR-SPGPDVE_ARCOENGE-DEMOLICAO-CSDTCARANDIRU_ICO-FOT-DGZ-MB0_0003-023.JPG</v>
      </c>
      <c r="L24"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4" s="64" t="s">
        <v>253</v>
      </c>
      <c r="N24"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4" s="50" t="s">
        <v>88</v>
      </c>
      <c r="P24" s="54" t="s">
        <v>89</v>
      </c>
      <c r="Q24" s="54" t="s">
        <v>90</v>
      </c>
      <c r="R24" s="66" t="str">
        <f t="shared" si="2"/>
        <v>Figura n – [Fachada de habitação térrea com portão gradeado.]
Fonte: Arquivo do Estado de São Paulo, 2003.</v>
      </c>
      <c r="S24" s="66" t="str">
        <f t="shared" si="3"/>
        <v>ARQUIVO PÚBLICO DO ESTADO DE SÃO PAULO (Brasil). [Fachada de habitação térrea com portão gradeado.]. São Paulo, Brasil. 10 mar. 2003. Fotografia digitalizada; colorida; suporte em papel fotográfico. Disponível em: &lt;link do dataverse&gt;. Acesso em: 28 out. 2025.</v>
      </c>
      <c r="T24" s="59" t="s">
        <v>208</v>
      </c>
    </row>
    <row r="25" ht="15.75" customHeight="1">
      <c r="A25" s="49" t="str">
        <f t="shared" si="1"/>
        <v>024</v>
      </c>
      <c r="B25" s="60" t="s">
        <v>254</v>
      </c>
      <c r="C25" s="61" t="s">
        <v>77</v>
      </c>
      <c r="D25" s="73">
        <v>37690.0</v>
      </c>
      <c r="E25" s="63" t="s">
        <v>79</v>
      </c>
      <c r="F25" s="54" t="s">
        <v>80</v>
      </c>
      <c r="G25" s="64" t="s">
        <v>81</v>
      </c>
      <c r="H25" s="56" t="s">
        <v>82</v>
      </c>
      <c r="I25" s="50" t="s">
        <v>83</v>
      </c>
      <c r="J25" s="56" t="s">
        <v>248</v>
      </c>
      <c r="K25" s="57" t="str">
        <f>TEXTJOIN("", TRUE, Geral!B81:U81)</f>
        <v>BR-SPGPDVE_ARCOENGE-DEMOLICAO-CSDTCARANDIRU_ICO-FOT-DGZ-MB0_0003-024.JPG</v>
      </c>
      <c r="L25"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5" s="67" t="s">
        <v>255</v>
      </c>
      <c r="N25"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5" s="50" t="s">
        <v>88</v>
      </c>
      <c r="P25" s="54" t="s">
        <v>89</v>
      </c>
      <c r="Q25" s="54" t="s">
        <v>90</v>
      </c>
      <c r="R25" s="66" t="str">
        <f t="shared" si="2"/>
        <v>Figura n – [Entrada de moradia parcialmente encoberta por árvore.]
Fonte: Arquivo do Estado de São Paulo, 2003.</v>
      </c>
      <c r="S25" s="66" t="str">
        <f t="shared" si="3"/>
        <v>ARQUIVO PÚBLICO DO ESTADO DE SÃO PAULO (Brasil). [Entrada de moradia parcialmente encoberta por árvore.]. São Paulo, Brasil. 10 mar. 2003. Fotografia digitalizada; colorida; suporte em papel fotográfico. Disponível em: &lt;link do dataverse&gt;. Acesso em: 28 out. 2025.</v>
      </c>
      <c r="T25" s="59" t="s">
        <v>208</v>
      </c>
    </row>
    <row r="26" ht="15.75" customHeight="1">
      <c r="A26" s="49" t="str">
        <f t="shared" si="1"/>
        <v>025</v>
      </c>
      <c r="B26" s="60" t="s">
        <v>256</v>
      </c>
      <c r="C26" s="61" t="s">
        <v>77</v>
      </c>
      <c r="D26" s="73">
        <v>37690.0</v>
      </c>
      <c r="E26" s="63" t="s">
        <v>79</v>
      </c>
      <c r="F26" s="54" t="s">
        <v>80</v>
      </c>
      <c r="G26" s="55" t="s">
        <v>81</v>
      </c>
      <c r="H26" s="56" t="s">
        <v>82</v>
      </c>
      <c r="I26" s="50" t="s">
        <v>83</v>
      </c>
      <c r="J26" s="56" t="s">
        <v>248</v>
      </c>
      <c r="K26" s="57" t="str">
        <f>TEXTJOIN("", TRUE, Geral!B82:U82)</f>
        <v>BR-SPGPDVE_ARCOENGE-DEMOLICAO-CSDTCARANDIRU_ICO-FOT-DGZ-MB0_0003-025.JPG</v>
      </c>
      <c r="L26"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6" s="67" t="s">
        <v>257</v>
      </c>
      <c r="N26"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6" s="50" t="s">
        <v>88</v>
      </c>
      <c r="P26" s="54" t="s">
        <v>89</v>
      </c>
      <c r="Q26" s="54" t="s">
        <v>90</v>
      </c>
      <c r="R26" s="66" t="str">
        <f t="shared" si="2"/>
        <v>Figura n – [Portão residencial metálico com veículo no interior.]
Fonte: Arquivo do Estado de São Paulo, 2003.</v>
      </c>
      <c r="S26" s="66" t="str">
        <f t="shared" si="3"/>
        <v>ARQUIVO PÚBLICO DO ESTADO DE SÃO PAULO (Brasil). [Portão residencial metálico com veículo no interior.]. São Paulo, Brasil. 10 mar. 2003. Fotografia digitalizada; colorida; suporte em papel fotográfico. Disponível em: &lt;link do dataverse&gt;. Acesso em: 28 out. 2025.</v>
      </c>
      <c r="T26" s="59" t="s">
        <v>208</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1">
    <cfRule type="notContainsBlanks" dxfId="0" priority="1">
      <formula>LEN(TRIM(A1))&gt;0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88"/>
    <col customWidth="1" min="2" max="2" width="33.63"/>
    <col customWidth="1" min="3" max="3" width="19.88"/>
    <col customWidth="1" min="4" max="4" width="36.13"/>
    <col customWidth="1" min="5" max="5" width="24.38"/>
    <col customWidth="1" min="6" max="6" width="35.25"/>
    <col customWidth="1" min="7" max="7" width="19.88"/>
    <col customWidth="1" min="8" max="8" width="48.63"/>
    <col customWidth="1" min="9" max="9" width="69.13"/>
    <col customWidth="1" min="10" max="10" width="14.13"/>
    <col customWidth="1" min="11" max="11" width="44.63"/>
    <col customWidth="1" min="12" max="12" width="82.13"/>
    <col customWidth="1" min="13" max="13" width="80.63"/>
    <col customWidth="1" min="14" max="14" width="78.13"/>
    <col customWidth="1" min="15" max="15" width="42.75"/>
    <col customWidth="1" min="16" max="16" width="23.25"/>
    <col customWidth="1" min="17" max="17" width="42.88"/>
    <col customWidth="1" min="18" max="18" width="50.88"/>
    <col customWidth="1" min="19" max="19" width="64.88"/>
    <col customWidth="1" min="20" max="20" width="50.38"/>
  </cols>
  <sheetData>
    <row r="1" ht="15.75" customHeight="1">
      <c r="A1" s="42" t="s">
        <v>57</v>
      </c>
      <c r="B1" s="43" t="s">
        <v>58</v>
      </c>
      <c r="C1" s="44" t="s">
        <v>59</v>
      </c>
      <c r="D1" s="45" t="s">
        <v>60</v>
      </c>
      <c r="E1" s="44" t="s">
        <v>61</v>
      </c>
      <c r="F1" s="45" t="s">
        <v>62</v>
      </c>
      <c r="G1" s="44" t="s">
        <v>63</v>
      </c>
      <c r="H1" s="46" t="s">
        <v>64</v>
      </c>
      <c r="I1" s="44" t="s">
        <v>65</v>
      </c>
      <c r="J1" s="44" t="s">
        <v>66</v>
      </c>
      <c r="K1" s="45" t="s">
        <v>67</v>
      </c>
      <c r="L1" s="44" t="s">
        <v>68</v>
      </c>
      <c r="M1" s="47" t="s">
        <v>69</v>
      </c>
      <c r="N1" s="44" t="s">
        <v>70</v>
      </c>
      <c r="O1" s="45" t="s">
        <v>71</v>
      </c>
      <c r="P1" s="44" t="s">
        <v>72</v>
      </c>
      <c r="Q1" s="44" t="s">
        <v>7</v>
      </c>
      <c r="R1" s="46" t="s">
        <v>73</v>
      </c>
      <c r="S1" s="48" t="s">
        <v>74</v>
      </c>
      <c r="T1" s="45" t="s">
        <v>75</v>
      </c>
    </row>
    <row r="2" ht="15.75" customHeight="1">
      <c r="A2" s="49" t="str">
        <f>MID('0003'!K2, LEN('0003'!K2)-6, 3)</f>
        <v>001</v>
      </c>
      <c r="B2" s="60" t="s">
        <v>258</v>
      </c>
      <c r="C2" s="51" t="s">
        <v>77</v>
      </c>
      <c r="D2" s="72">
        <v>38550.0</v>
      </c>
      <c r="E2" s="53" t="s">
        <v>79</v>
      </c>
      <c r="F2" s="54" t="s">
        <v>80</v>
      </c>
      <c r="G2" s="55" t="s">
        <v>81</v>
      </c>
      <c r="H2" s="56" t="s">
        <v>82</v>
      </c>
      <c r="I2" s="50" t="s">
        <v>83</v>
      </c>
      <c r="J2" s="56" t="s">
        <v>154</v>
      </c>
      <c r="K2" s="57" t="str">
        <f>TEXTJOIN("", TRUE, Geral!B83:U83)</f>
        <v>BR-SPGPDVE_ARCOENGE-DEMOLICAO-CSDTCARANDIRU_ICO-FOT-DGZ-MB0_0004-001.JPG</v>
      </c>
      <c r="L2"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 s="60" t="s">
        <v>259</v>
      </c>
      <c r="N2"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 s="50" t="s">
        <v>88</v>
      </c>
      <c r="P2" s="55"/>
      <c r="Q2" s="54" t="s">
        <v>90</v>
      </c>
      <c r="R2" s="58" t="str">
        <f>"Figura n – ["&amp;'0003'!B2&amp;"]"&amp;CHAR(10)&amp;"Fonte: Arquivo do Estado de São Paulo, "&amp;TEXT('0003'!D2,"yyyy")&amp;"."</f>
        <v>Figura n – [Fachada cega com manchas de umidade e técnico em deslocamento.]
Fonte: Arquivo do Estado de São Paulo, 2003.</v>
      </c>
      <c r="S2" s="58" t="str">
        <f>"ARQUIVO PÚBLICO DO ESTADO DE SÃO PAULO (Brasil). ["&amp;'0003'!B2&amp;"]. "&amp;'0003'!G2&amp;". "&amp;TEXT('0003'!D2,"dd")&amp;" "&amp;LOWER(TEXT('0003'!D2,"mmm"))&amp;" "&amp;TEXT('0003'!D2,"yyyy")&amp;". "&amp;'0003'!F2&amp;". Disponível em: &lt;link do dataverse&gt;. Acesso em: 28 out. 2025."</f>
        <v>ARQUIVO PÚBLICO DO ESTADO DE SÃO PAULO (Brasil). [Fachada cega com manchas de umidade e técnico em deslocamento.]. São Paulo, Brasil. 10 mar. 2003. Fotografia digitalizada; colorida; suporte em papel fotográfico. Disponível em: &lt;link do dataverse&gt;. Acesso em: 28 out. 2025.</v>
      </c>
      <c r="T2" s="59" t="s">
        <v>260</v>
      </c>
    </row>
    <row r="3" ht="15.75" customHeight="1">
      <c r="A3" s="49" t="str">
        <f>MID('0003'!K3, LEN('0003'!K3)-6, 3)</f>
        <v>002</v>
      </c>
      <c r="B3" s="60" t="s">
        <v>261</v>
      </c>
      <c r="C3" s="61" t="s">
        <v>77</v>
      </c>
      <c r="D3" s="72">
        <v>38550.0</v>
      </c>
      <c r="E3" s="63" t="s">
        <v>79</v>
      </c>
      <c r="F3" s="54" t="s">
        <v>80</v>
      </c>
      <c r="G3" s="64" t="s">
        <v>81</v>
      </c>
      <c r="H3" s="56" t="s">
        <v>82</v>
      </c>
      <c r="I3" s="50" t="s">
        <v>83</v>
      </c>
      <c r="J3" s="56" t="s">
        <v>154</v>
      </c>
      <c r="K3" s="57" t="str">
        <f>TEXTJOIN("", TRUE, Geral!B84:U84)</f>
        <v>BR-SPGPDVE_ARCOENGE-DEMOLICAO-CSDTCARANDIRU_ICO-FOT-DGZ-MB0_0004-002.JPG</v>
      </c>
      <c r="L3"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3" s="60" t="s">
        <v>262</v>
      </c>
      <c r="N3"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3" s="50" t="s">
        <v>88</v>
      </c>
      <c r="P3" s="54" t="s">
        <v>89</v>
      </c>
      <c r="Q3" s="54" t="s">
        <v>90</v>
      </c>
      <c r="R3" s="66" t="str">
        <f>"Figura n – ["&amp;'0003'!B3&amp;"]"&amp;CHAR(10)&amp;"Fonte: Arquivo do Estado de São Paulo, "&amp;TEXT('0003'!D3,"yyyy")&amp;"."</f>
        <v>Figura n – [Muro divisório com pichações sutis e técnico apontando fissura.]
Fonte: Arquivo do Estado de São Paulo, 2003.</v>
      </c>
      <c r="S3" s="66" t="str">
        <f>"ARQUIVO PÚBLICO DO ESTADO DE SÃO PAULO (Brasil). ["&amp;'0003'!B3&amp;"]. "&amp;'0003'!G3&amp;". "&amp;TEXT('0003'!D3,"dd")&amp;" "&amp;LOWER(TEXT('0003'!D3,"mmm"))&amp;" "&amp;TEXT('0003'!D3,"yyyy")&amp;". "&amp;'0003'!F3&amp;". Disponível em: &lt;link do dataverse&gt;. Acesso em: 28 out. 2025."</f>
        <v>ARQUIVO PÚBLICO DO ESTADO DE SÃO PAULO (Brasil). [Muro divisório com pichações sutis e técnico apontando fissura.]. São Paulo, Brasil. 10 mar. 2003. Fotografia digitalizada; colorida; suporte em papel fotográfico. Disponível em: &lt;link do dataverse&gt;. Acesso em: 28 out. 2025.</v>
      </c>
      <c r="T3" s="59" t="s">
        <v>260</v>
      </c>
    </row>
    <row r="4" ht="15.75" customHeight="1">
      <c r="A4" s="49" t="str">
        <f>MID('0003'!K4, LEN('0003'!K4)-6, 3)</f>
        <v>003</v>
      </c>
      <c r="B4" s="60" t="s">
        <v>263</v>
      </c>
      <c r="C4" s="61" t="s">
        <v>77</v>
      </c>
      <c r="D4" s="72">
        <v>38550.0</v>
      </c>
      <c r="E4" s="63" t="s">
        <v>79</v>
      </c>
      <c r="F4" s="54" t="s">
        <v>80</v>
      </c>
      <c r="G4" s="64" t="s">
        <v>81</v>
      </c>
      <c r="H4" s="56" t="s">
        <v>82</v>
      </c>
      <c r="I4" s="50" t="s">
        <v>83</v>
      </c>
      <c r="J4" s="56" t="s">
        <v>154</v>
      </c>
      <c r="K4" s="57" t="str">
        <f>TEXTJOIN("", TRUE, Geral!B85:U85)</f>
        <v>BR-SPGPDVE_ARCOENGE-DEMOLICAO-CSDTCARANDIRU_ICO-FOT-DGZ-MB0_0004-003.JPG</v>
      </c>
      <c r="L4"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4" s="60" t="s">
        <v>264</v>
      </c>
      <c r="N4"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4" s="50" t="s">
        <v>88</v>
      </c>
      <c r="P4" s="54" t="s">
        <v>89</v>
      </c>
      <c r="Q4" s="54" t="s">
        <v>90</v>
      </c>
      <c r="R4" s="66" t="str">
        <f>"Figura n – ["&amp;'0003'!B4&amp;"]"&amp;CHAR(10)&amp;"Fonte: Arquivo do Estado de São Paulo, "&amp;TEXT('0003'!D4,"yyyy")&amp;"."</f>
        <v>Figura n – [Vistoria de fenda estrutural entre muros de divisa.]
Fonte: Arquivo do Estado de São Paulo, 2003.</v>
      </c>
      <c r="S4" s="66" t="str">
        <f>"ARQUIVO PÚBLICO DO ESTADO DE SÃO PAULO (Brasil). ["&amp;'0003'!B4&amp;"]. "&amp;'0003'!G4&amp;". "&amp;TEXT('0003'!D4,"dd")&amp;" "&amp;LOWER(TEXT('0003'!D4,"mmm"))&amp;" "&amp;TEXT('0003'!D4,"yyyy")&amp;". "&amp;'0003'!F4&amp;". Disponível em: &lt;link do dataverse&gt;. Acesso em: 28 out. 2025."</f>
        <v>ARQUIVO PÚBLICO DO ESTADO DE SÃO PAULO (Brasil). [Vistoria de fenda estrutural entre muros de divisa.]. São Paulo, Brasil. 10 mar. 2003. Fotografia digitalizada; colorida; suporte em papel fotográfico. Disponível em: &lt;link do dataverse&gt;. Acesso em: 28 out. 2025.</v>
      </c>
      <c r="T4" s="59" t="s">
        <v>260</v>
      </c>
    </row>
    <row r="5" ht="15.75" customHeight="1">
      <c r="A5" s="49" t="str">
        <f>MID('0003'!K5, LEN('0003'!K5)-6, 3)</f>
        <v>004</v>
      </c>
      <c r="B5" s="60" t="s">
        <v>265</v>
      </c>
      <c r="C5" s="61" t="s">
        <v>77</v>
      </c>
      <c r="D5" s="72">
        <v>38550.0</v>
      </c>
      <c r="E5" s="63" t="s">
        <v>79</v>
      </c>
      <c r="F5" s="54" t="s">
        <v>80</v>
      </c>
      <c r="G5" s="55" t="s">
        <v>81</v>
      </c>
      <c r="H5" s="56" t="s">
        <v>82</v>
      </c>
      <c r="I5" s="50" t="s">
        <v>83</v>
      </c>
      <c r="J5" s="56" t="s">
        <v>154</v>
      </c>
      <c r="K5" s="57" t="str">
        <f>TEXTJOIN("", TRUE, Geral!B86:U86)</f>
        <v>BR-SPGPDVE_ARCOENGE-DEMOLICAO-CSDTCARANDIRU_ICO-FOT-DGZ-MB0_0004-004.JPG</v>
      </c>
      <c r="L5"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5" s="60" t="s">
        <v>266</v>
      </c>
      <c r="N5"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5" s="50" t="s">
        <v>88</v>
      </c>
      <c r="P5" s="54" t="s">
        <v>89</v>
      </c>
      <c r="Q5" s="54" t="s">
        <v>90</v>
      </c>
      <c r="R5" s="66" t="str">
        <f>"Figura n – ["&amp;'0003'!B5&amp;"]"&amp;CHAR(10)&amp;"Fonte: Arquivo do Estado de São Paulo, "&amp;TEXT('0003'!D5,"yyyy")&amp;"."</f>
        <v>Figura n – [Detalhe de avarias no reboco com exposição de alvenaria.]
Fonte: Arquivo do Estado de São Paulo, 2003.</v>
      </c>
      <c r="S5" s="66" t="str">
        <f>"ARQUIVO PÚBLICO DO ESTADO DE SÃO PAULO (Brasil). ["&amp;'0003'!B5&amp;"]. "&amp;'0003'!G5&amp;". "&amp;TEXT('0003'!D5,"dd")&amp;" "&amp;LOWER(TEXT('0003'!D5,"mmm"))&amp;" "&amp;TEXT('0003'!D5,"yyyy")&amp;". "&amp;'0003'!F5&amp;". Disponível em: &lt;link do dataverse&gt;. Acesso em: 28 out. 2025."</f>
        <v>ARQUIVO PÚBLICO DO ESTADO DE SÃO PAULO (Brasil). [Detalhe de avarias no reboco com exposição de alvenaria.]. São Paulo, Brasil. 10 mar. 2003. Fotografia digitalizada; colorida; suporte em papel fotográfico. Disponível em: &lt;link do dataverse&gt;. Acesso em: 28 out. 2025.</v>
      </c>
      <c r="T5" s="59" t="s">
        <v>260</v>
      </c>
    </row>
    <row r="6" ht="15.75" customHeight="1">
      <c r="A6" s="49" t="str">
        <f>MID('0003'!K6, LEN('0003'!K6)-6, 3)</f>
        <v>005</v>
      </c>
      <c r="B6" s="60" t="s">
        <v>267</v>
      </c>
      <c r="C6" s="61" t="s">
        <v>77</v>
      </c>
      <c r="D6" s="72">
        <v>38550.0</v>
      </c>
      <c r="E6" s="63" t="s">
        <v>79</v>
      </c>
      <c r="F6" s="54" t="s">
        <v>80</v>
      </c>
      <c r="G6" s="64" t="s">
        <v>81</v>
      </c>
      <c r="H6" s="56" t="s">
        <v>82</v>
      </c>
      <c r="I6" s="50" t="s">
        <v>83</v>
      </c>
      <c r="J6" s="56" t="s">
        <v>154</v>
      </c>
      <c r="K6" s="57" t="str">
        <f>TEXTJOIN("", TRUE, Geral!B87:U87)</f>
        <v>BR-SPGPDVE_ARCOENGE-DEMOLICAO-CSDTCARANDIRU_ICO-FOT-DGZ-MB0_0004-005.JPG</v>
      </c>
      <c r="L6"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6" s="60" t="s">
        <v>268</v>
      </c>
      <c r="N6"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6" s="50" t="s">
        <v>88</v>
      </c>
      <c r="P6" s="54" t="s">
        <v>89</v>
      </c>
      <c r="Q6" s="54" t="s">
        <v>90</v>
      </c>
      <c r="R6" s="66" t="str">
        <f>"Figura n – ["&amp;'0003'!B6&amp;"]"&amp;CHAR(10)&amp;"Fonte: Arquivo do Estado de São Paulo, "&amp;TEXT('0003'!D6,"yyyy")&amp;"."</f>
        <v>Figura n – [Técnico apontando extensa fissura vertical em muro.]
Fonte: Arquivo do Estado de São Paulo, 2003.</v>
      </c>
      <c r="S6" s="66" t="str">
        <f>"ARQUIVO PÚBLICO DO ESTADO DE SÃO PAULO (Brasil). ["&amp;'0003'!B6&amp;"]. "&amp;'0003'!G6&amp;". "&amp;TEXT('0003'!D6,"dd")&amp;" "&amp;LOWER(TEXT('0003'!D6,"mmm"))&amp;" "&amp;TEXT('0003'!D6,"yyyy")&amp;". "&amp;'0003'!F6&amp;". Disponível em: &lt;link do dataverse&gt;. Acesso em: 28 out. 2025."</f>
        <v>ARQUIVO PÚBLICO DO ESTADO DE SÃO PAULO (Brasil). [Técnico apontando extensa fissura vertical em muro.]. São Paulo, Brasil. 10 mar. 2003. Fotografia digitalizada; colorida; suporte em papel fotográfico. Disponível em: &lt;link do dataverse&gt;. Acesso em: 28 out. 2025.</v>
      </c>
      <c r="T6" s="59" t="s">
        <v>260</v>
      </c>
    </row>
    <row r="7" ht="15.75" customHeight="1">
      <c r="A7" s="49" t="str">
        <f>MID('0003'!K7, LEN('0003'!K7)-6, 3)</f>
        <v>006</v>
      </c>
      <c r="B7" s="60" t="s">
        <v>269</v>
      </c>
      <c r="C7" s="61" t="s">
        <v>77</v>
      </c>
      <c r="D7" s="72">
        <v>38550.0</v>
      </c>
      <c r="E7" s="63" t="s">
        <v>79</v>
      </c>
      <c r="F7" s="54" t="s">
        <v>80</v>
      </c>
      <c r="G7" s="64" t="s">
        <v>81</v>
      </c>
      <c r="H7" s="56" t="s">
        <v>82</v>
      </c>
      <c r="I7" s="50" t="s">
        <v>83</v>
      </c>
      <c r="J7" s="56" t="s">
        <v>154</v>
      </c>
      <c r="K7" s="57" t="str">
        <f>TEXTJOIN("", TRUE, Geral!B88:U88)</f>
        <v>BR-SPGPDVE_ARCOENGE-DEMOLICAO-CSDTCARANDIRU_ICO-FOT-DGZ-MB0_0004-006.JPG</v>
      </c>
      <c r="L7"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7" s="60" t="s">
        <v>270</v>
      </c>
      <c r="N7"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7" s="50" t="s">
        <v>88</v>
      </c>
      <c r="P7" s="54" t="s">
        <v>89</v>
      </c>
      <c r="Q7" s="54" t="s">
        <v>90</v>
      </c>
      <c r="R7" s="66" t="str">
        <f>"Figura n – ["&amp;'0003'!B7&amp;"]"&amp;CHAR(10)&amp;"Fonte: Arquivo do Estado de São Paulo, "&amp;TEXT('0003'!D7,"yyyy")&amp;"."</f>
        <v>Figura n – [Vistoria de trinca vertical.]
Fonte: Arquivo do Estado de São Paulo, 2003.</v>
      </c>
      <c r="S7" s="66" t="str">
        <f>"ARQUIVO PÚBLICO DO ESTADO DE SÃO PAULO (Brasil). ["&amp;'0003'!B7&amp;"]. "&amp;'0003'!G7&amp;". "&amp;TEXT('0003'!D7,"dd")&amp;" "&amp;LOWER(TEXT('0003'!D7,"mmm"))&amp;" "&amp;TEXT('0003'!D7,"yyyy")&amp;". "&amp;'0003'!F7&amp;". Disponível em: &lt;link do dataverse&gt;. Acesso em: 28 out. 2025."</f>
        <v>ARQUIVO PÚBLICO DO ESTADO DE SÃO PAULO (Brasil). [Vistoria de trinca vertical.]. São Paulo, Brasil. 10 mar. 2003. Fotografia digitalizada; colorida; suporte em papel fotográfico. Disponível em: &lt;link do dataverse&gt;. Acesso em: 28 out. 2025.</v>
      </c>
      <c r="T7" s="59" t="s">
        <v>260</v>
      </c>
    </row>
    <row r="8" ht="15.75" customHeight="1">
      <c r="A8" s="49" t="str">
        <f>MID('0003'!K8, LEN('0003'!K8)-6, 3)</f>
        <v>007</v>
      </c>
      <c r="B8" s="60" t="s">
        <v>271</v>
      </c>
      <c r="C8" s="61" t="s">
        <v>77</v>
      </c>
      <c r="D8" s="72">
        <v>38550.0</v>
      </c>
      <c r="E8" s="63" t="s">
        <v>79</v>
      </c>
      <c r="F8" s="54" t="s">
        <v>80</v>
      </c>
      <c r="G8" s="55" t="s">
        <v>81</v>
      </c>
      <c r="H8" s="56" t="s">
        <v>82</v>
      </c>
      <c r="I8" s="50" t="s">
        <v>83</v>
      </c>
      <c r="J8" s="56" t="s">
        <v>154</v>
      </c>
      <c r="K8" s="57" t="str">
        <f>TEXTJOIN("", TRUE, Geral!B89:U89)</f>
        <v>BR-SPGPDVE_ARCOENGE-DEMOLICAO-CSDTCARANDIRU_ICO-FOT-DGZ-MB0_0004-007.JPG</v>
      </c>
      <c r="L8"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8" s="60" t="s">
        <v>272</v>
      </c>
      <c r="N8"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8" s="50" t="s">
        <v>88</v>
      </c>
      <c r="P8" s="54" t="s">
        <v>89</v>
      </c>
      <c r="Q8" s="54" t="s">
        <v>90</v>
      </c>
      <c r="R8" s="66" t="str">
        <f>"Figura n – ["&amp;'0003'!B8&amp;"]"&amp;CHAR(10)&amp;"Fonte: Arquivo do Estado de São Paulo, "&amp;TEXT('0003'!D8,"yyyy")&amp;"."</f>
        <v>Figura n – [Técnico indicando ruptura com desprendimento de reboco.]
Fonte: Arquivo do Estado de São Paulo, 2003.</v>
      </c>
      <c r="S8" s="66" t="str">
        <f>"ARQUIVO PÚBLICO DO ESTADO DE SÃO PAULO (Brasil). ["&amp;'0003'!B8&amp;"]. "&amp;'0003'!G8&amp;". "&amp;TEXT('0003'!D8,"dd")&amp;" "&amp;LOWER(TEXT('0003'!D8,"mmm"))&amp;" "&amp;TEXT('0003'!D8,"yyyy")&amp;". "&amp;'0003'!F8&amp;". Disponível em: &lt;link do dataverse&gt;. Acesso em: 28 out. 2025."</f>
        <v>ARQUIVO PÚBLICO DO ESTADO DE SÃO PAULO (Brasil). [Técnico indicando ruptura com desprendimento de reboco.]. São Paulo, Brasil. 10 mar. 2003. Fotografia digitalizada; colorida; suporte em papel fotográfico. Disponível em: &lt;link do dataverse&gt;. Acesso em: 28 out. 2025.</v>
      </c>
      <c r="T8" s="59" t="s">
        <v>260</v>
      </c>
    </row>
    <row r="9" ht="15.75" customHeight="1">
      <c r="A9" s="49" t="str">
        <f>MID('0003'!K9, LEN('0003'!K9)-6, 3)</f>
        <v>008</v>
      </c>
      <c r="B9" s="60" t="s">
        <v>273</v>
      </c>
      <c r="C9" s="61" t="s">
        <v>77</v>
      </c>
      <c r="D9" s="72">
        <v>38550.0</v>
      </c>
      <c r="E9" s="63" t="s">
        <v>79</v>
      </c>
      <c r="F9" s="54" t="s">
        <v>80</v>
      </c>
      <c r="G9" s="64" t="s">
        <v>81</v>
      </c>
      <c r="H9" s="56" t="s">
        <v>82</v>
      </c>
      <c r="I9" s="50" t="s">
        <v>83</v>
      </c>
      <c r="J9" s="56" t="s">
        <v>154</v>
      </c>
      <c r="K9" s="57" t="str">
        <f>TEXTJOIN("", TRUE, Geral!B90:U90)</f>
        <v>BR-SPGPDVE_ARCOENGE-DEMOLICAO-CSDTCARANDIRU_ICO-FOT-DGZ-MB0_0004-008.JPG</v>
      </c>
      <c r="L9"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9" s="60" t="s">
        <v>274</v>
      </c>
      <c r="N9"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9" s="50" t="s">
        <v>88</v>
      </c>
      <c r="P9" s="54" t="s">
        <v>89</v>
      </c>
      <c r="Q9" s="54" t="s">
        <v>90</v>
      </c>
      <c r="R9" s="66" t="str">
        <f>"Figura n – ["&amp;'0003'!B9&amp;"]"&amp;CHAR(10)&amp;"Fonte: Arquivo do Estado de São Paulo, "&amp;TEXT('0003'!D9,"yyyy")&amp;"."</f>
        <v>Figura n – [Técnico encostado em quina de muro com buracos profundos.]
Fonte: Arquivo do Estado de São Paulo, 2003.</v>
      </c>
      <c r="S9" s="66" t="str">
        <f>"ARQUIVO PÚBLICO DO ESTADO DE SÃO PAULO (Brasil). ["&amp;'0003'!B9&amp;"]. "&amp;'0003'!G9&amp;". "&amp;TEXT('0003'!D9,"dd")&amp;" "&amp;LOWER(TEXT('0003'!D9,"mmm"))&amp;" "&amp;TEXT('0003'!D9,"yyyy")&amp;". "&amp;'0003'!F9&amp;". Disponível em: &lt;link do dataverse&gt;. Acesso em: 28 out. 2025."</f>
        <v>ARQUIVO PÚBLICO DO ESTADO DE SÃO PAULO (Brasil). [Técnico encostado em quina de muro com buracos profundos.]. São Paulo, Brasil. 10 mar. 2003. Fotografia digitalizada; colorida; suporte em papel fotográfico. Disponível em: &lt;link do dataverse&gt;. Acesso em: 28 out. 2025.</v>
      </c>
      <c r="T9" s="59" t="s">
        <v>260</v>
      </c>
    </row>
    <row r="10" ht="15.75" customHeight="1">
      <c r="A10" s="49" t="str">
        <f>MID('0003'!K10, LEN('0003'!K10)-6, 3)</f>
        <v>009</v>
      </c>
      <c r="B10" s="60" t="s">
        <v>275</v>
      </c>
      <c r="C10" s="61" t="s">
        <v>77</v>
      </c>
      <c r="D10" s="72">
        <v>38550.0</v>
      </c>
      <c r="E10" s="63" t="s">
        <v>79</v>
      </c>
      <c r="F10" s="54" t="s">
        <v>80</v>
      </c>
      <c r="G10" s="64" t="s">
        <v>81</v>
      </c>
      <c r="H10" s="56" t="s">
        <v>82</v>
      </c>
      <c r="I10" s="50" t="s">
        <v>83</v>
      </c>
      <c r="J10" s="56" t="s">
        <v>154</v>
      </c>
      <c r="K10" s="57" t="str">
        <f>TEXTJOIN("", TRUE, Geral!B91:U91)</f>
        <v>BR-SPGPDVE_ARCOENGE-DEMOLICAO-CSDTCARANDIRU_ICO-FOT-DGZ-MB0_0004-009.JPG</v>
      </c>
      <c r="L10"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0" s="60" t="s">
        <v>276</v>
      </c>
      <c r="N10"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0" s="50" t="s">
        <v>88</v>
      </c>
      <c r="P10" s="54" t="s">
        <v>89</v>
      </c>
      <c r="Q10" s="54" t="s">
        <v>90</v>
      </c>
      <c r="R10" s="66" t="str">
        <f>"Figura n – ["&amp;'0003'!B10&amp;"]"&amp;CHAR(10)&amp;"Fonte: Arquivo do Estado de São Paulo, "&amp;TEXT('0003'!D10,"yyyy")&amp;"."</f>
        <v>Figura n – [Extensa fachada lateral com equipe em terreno de obras.]
Fonte: Arquivo do Estado de São Paulo, 2003.</v>
      </c>
      <c r="S10" s="66" t="str">
        <f>"ARQUIVO PÚBLICO DO ESTADO DE SÃO PAULO (Brasil). ["&amp;'0003'!B10&amp;"]. "&amp;'0003'!G10&amp;". "&amp;TEXT('0003'!D10,"dd")&amp;" "&amp;LOWER(TEXT('0003'!D10,"mmm"))&amp;" "&amp;TEXT('0003'!D10,"yyyy")&amp;". "&amp;'0003'!F10&amp;". Disponível em: &lt;link do dataverse&gt;. Acesso em: 28 out. 2025."</f>
        <v>ARQUIVO PÚBLICO DO ESTADO DE SÃO PAULO (Brasil). [Extensa fachada lateral com equipe em terreno de obras.]. São Paulo, Brasil. 10 mar. 2003. Fotografia digitalizada; colorida; suporte em papel fotográfico. Disponível em: &lt;link do dataverse&gt;. Acesso em: 28 out. 2025.</v>
      </c>
      <c r="T10" s="59" t="s">
        <v>260</v>
      </c>
    </row>
    <row r="11" ht="15.75" customHeight="1">
      <c r="A11" s="49" t="str">
        <f>MID('0003'!K11, LEN('0003'!K11)-6, 3)</f>
        <v>010</v>
      </c>
      <c r="B11" s="60" t="s">
        <v>277</v>
      </c>
      <c r="C11" s="61" t="s">
        <v>77</v>
      </c>
      <c r="D11" s="72">
        <v>38550.0</v>
      </c>
      <c r="E11" s="63" t="s">
        <v>79</v>
      </c>
      <c r="F11" s="54" t="s">
        <v>80</v>
      </c>
      <c r="G11" s="55" t="s">
        <v>81</v>
      </c>
      <c r="H11" s="56" t="s">
        <v>82</v>
      </c>
      <c r="I11" s="50" t="s">
        <v>83</v>
      </c>
      <c r="J11" s="56" t="s">
        <v>154</v>
      </c>
      <c r="K11" s="57" t="str">
        <f>TEXTJOIN("", TRUE, Geral!B92:U92)</f>
        <v>BR-SPGPDVE_ARCOENGE-DEMOLICAO-CSDTCARANDIRU_ICO-FOT-DGZ-MB0_0004-010.JPG</v>
      </c>
      <c r="L11"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1" s="60" t="s">
        <v>278</v>
      </c>
      <c r="N11"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1" s="50" t="s">
        <v>88</v>
      </c>
      <c r="P11" s="54" t="s">
        <v>89</v>
      </c>
      <c r="Q11" s="54" t="s">
        <v>90</v>
      </c>
      <c r="R11" s="66" t="str">
        <f>"Figura n – ["&amp;'0003'!B11&amp;"]"&amp;CHAR(10)&amp;"Fonte: Arquivo do Estado de São Paulo, "&amp;TEXT('0003'!D11,"yyyy")&amp;"."</f>
        <v>Figura n – [Detalhe superior de empena cega com tijolos laterais expostos.]
Fonte: Arquivo do Estado de São Paulo, 2003.</v>
      </c>
      <c r="S11" s="66" t="str">
        <f>"ARQUIVO PÚBLICO DO ESTADO DE SÃO PAULO (Brasil). ["&amp;'0003'!B11&amp;"]. "&amp;'0003'!G11&amp;". "&amp;TEXT('0003'!D11,"dd")&amp;" "&amp;LOWER(TEXT('0003'!D11,"mmm"))&amp;" "&amp;TEXT('0003'!D11,"yyyy")&amp;". "&amp;'0003'!F11&amp;". Disponível em: &lt;link do dataverse&gt;. Acesso em: 28 out. 2025."</f>
        <v>ARQUIVO PÚBLICO DO ESTADO DE SÃO PAULO (Brasil). [Detalhe superior de empena cega com tijolos laterais expostos.]. São Paulo, Brasil. 10 mar. 2003. Fotografia digitalizada; colorida; suporte em papel fotográfico. Disponível em: &lt;link do dataverse&gt;. Acesso em: 28 out. 2025.</v>
      </c>
      <c r="T11" s="59" t="s">
        <v>260</v>
      </c>
    </row>
    <row r="12" ht="15.75" customHeight="1">
      <c r="A12" s="49" t="str">
        <f>MID('0003'!K12, LEN('0003'!K12)-6, 3)</f>
        <v>011</v>
      </c>
      <c r="B12" s="60" t="s">
        <v>279</v>
      </c>
      <c r="C12" s="61" t="s">
        <v>77</v>
      </c>
      <c r="D12" s="72">
        <v>38550.0</v>
      </c>
      <c r="E12" s="63" t="s">
        <v>79</v>
      </c>
      <c r="F12" s="54" t="s">
        <v>80</v>
      </c>
      <c r="G12" s="64" t="s">
        <v>81</v>
      </c>
      <c r="H12" s="56" t="s">
        <v>82</v>
      </c>
      <c r="I12" s="50" t="s">
        <v>83</v>
      </c>
      <c r="J12" s="56" t="s">
        <v>154</v>
      </c>
      <c r="K12" s="57" t="str">
        <f>TEXTJOIN("", TRUE, Geral!B93:U93)</f>
        <v>BR-SPGPDVE_ARCOENGE-DEMOLICAO-CSDTCARANDIRU_ICO-FOT-DGZ-MB0_0004-011.JPG</v>
      </c>
      <c r="L12"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2" s="60" t="s">
        <v>280</v>
      </c>
      <c r="N12"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2" s="50" t="s">
        <v>88</v>
      </c>
      <c r="P12" s="54" t="s">
        <v>89</v>
      </c>
      <c r="Q12" s="54" t="s">
        <v>90</v>
      </c>
      <c r="R12" s="66" t="str">
        <f>"Figura n – ["&amp;'0003'!B12&amp;"]"&amp;CHAR(10)&amp;"Fonte: Arquivo do Estado de São Paulo, "&amp;TEXT('0003'!D12,"yyyy")&amp;"."</f>
        <v>Figura n – [Detalhe de revestimento de muro divisório com manchas e escorrimentos escuros.]
Fonte: Arquivo do Estado de São Paulo, 2003.</v>
      </c>
      <c r="S12" s="66" t="str">
        <f>"ARQUIVO PÚBLICO DO ESTADO DE SÃO PAULO (Brasil). ["&amp;'0003'!B12&amp;"]. "&amp;'0003'!G12&amp;". "&amp;TEXT('0003'!D12,"dd")&amp;" "&amp;LOWER(TEXT('0003'!D12,"mmm"))&amp;" "&amp;TEXT('0003'!D12,"yyyy")&amp;". "&amp;'0003'!F12&amp;". Disponível em: &lt;link do dataverse&gt;. Acesso em: 28 out. 2025."</f>
        <v>ARQUIVO PÚBLICO DO ESTADO DE SÃO PAULO (Brasil). [Detalhe de revestimento de muro divisório com manchas e escorrimentos escuros.]. São Paulo, Brasil. 10 mar. 2003. Fotografia digitalizada; colorida; suporte em papel fotográfico. Disponível em: &lt;link do dataverse&gt;. Acesso em: 28 out. 2025.</v>
      </c>
      <c r="T12" s="59" t="s">
        <v>260</v>
      </c>
    </row>
    <row r="13" ht="15.75" customHeight="1">
      <c r="A13" s="49" t="str">
        <f>MID('0003'!K13, LEN('0003'!K13)-6, 3)</f>
        <v>012</v>
      </c>
      <c r="B13" s="60" t="s">
        <v>281</v>
      </c>
      <c r="C13" s="61" t="s">
        <v>77</v>
      </c>
      <c r="D13" s="72">
        <v>38550.0</v>
      </c>
      <c r="E13" s="63" t="s">
        <v>79</v>
      </c>
      <c r="F13" s="54" t="s">
        <v>80</v>
      </c>
      <c r="G13" s="64" t="s">
        <v>81</v>
      </c>
      <c r="H13" s="56" t="s">
        <v>82</v>
      </c>
      <c r="I13" s="50" t="s">
        <v>83</v>
      </c>
      <c r="J13" s="56" t="s">
        <v>154</v>
      </c>
      <c r="K13" s="57" t="str">
        <f>TEXTJOIN("", TRUE, Geral!B94:U94)</f>
        <v>BR-SPGPDVE_ARCOENGE-DEMOLICAO-CSDTCARANDIRU_ICO-FOT-DGZ-MB0_0004-012.JPG</v>
      </c>
      <c r="L13"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3" s="60" t="s">
        <v>282</v>
      </c>
      <c r="N13"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3" s="50" t="s">
        <v>88</v>
      </c>
      <c r="P13" s="54" t="s">
        <v>89</v>
      </c>
      <c r="Q13" s="54" t="s">
        <v>90</v>
      </c>
      <c r="R13" s="66" t="str">
        <f>"Figura n – ["&amp;'0003'!B13&amp;"]"&amp;CHAR(10)&amp;"Fonte: Arquivo do Estado de São Paulo, "&amp;TEXT('0003'!D13,"yyyy")&amp;"."</f>
        <v>Figura n – [Detalhe de avarias, umidade e oxidação em superfície de muro.]
Fonte: Arquivo do Estado de São Paulo, 2003.</v>
      </c>
      <c r="S13" s="66" t="str">
        <f>"ARQUIVO PÚBLICO DO ESTADO DE SÃO PAULO (Brasil). ["&amp;'0003'!B13&amp;"]. "&amp;'0003'!G13&amp;". "&amp;TEXT('0003'!D13,"dd")&amp;" "&amp;LOWER(TEXT('0003'!D13,"mmm"))&amp;" "&amp;TEXT('0003'!D13,"yyyy")&amp;". "&amp;'0003'!F13&amp;". Disponível em: &lt;link do dataverse&gt;. Acesso em: 28 out. 2025."</f>
        <v>ARQUIVO PÚBLICO DO ESTADO DE SÃO PAULO (Brasil). [Detalhe de avarias, umidade e oxidação em superfície de muro.]. São Paulo, Brasil. 10 mar. 2003. Fotografia digitalizada; colorida; suporte em papel fotográfico. Disponível em: &lt;link do dataverse&gt;. Acesso em: 28 out. 2025.</v>
      </c>
      <c r="T13" s="59" t="s">
        <v>260</v>
      </c>
    </row>
    <row r="14" ht="15.75" customHeight="1">
      <c r="A14" s="49" t="str">
        <f>MID('0003'!K14, LEN('0003'!K14)-6, 3)</f>
        <v>013</v>
      </c>
      <c r="B14" s="60" t="s">
        <v>283</v>
      </c>
      <c r="C14" s="61" t="s">
        <v>77</v>
      </c>
      <c r="D14" s="72">
        <v>38550.0</v>
      </c>
      <c r="E14" s="63" t="s">
        <v>79</v>
      </c>
      <c r="F14" s="54" t="s">
        <v>80</v>
      </c>
      <c r="G14" s="55" t="s">
        <v>81</v>
      </c>
      <c r="H14" s="56" t="s">
        <v>82</v>
      </c>
      <c r="I14" s="50" t="s">
        <v>83</v>
      </c>
      <c r="J14" s="56" t="s">
        <v>154</v>
      </c>
      <c r="K14" s="57" t="str">
        <f>TEXTJOIN("", TRUE, Geral!B95:U95)</f>
        <v>BR-SPGPDVE_ARCOENGE-DEMOLICAO-CSDTCARANDIRU_ICO-FOT-DGZ-MB0_0004-013.JPG</v>
      </c>
      <c r="L14"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4" s="60" t="s">
        <v>284</v>
      </c>
      <c r="N14"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4" s="50" t="s">
        <v>88</v>
      </c>
      <c r="P14" s="54" t="s">
        <v>89</v>
      </c>
      <c r="Q14" s="54" t="s">
        <v>90</v>
      </c>
      <c r="R14" s="66" t="str">
        <f>"Figura n – ["&amp;'0003'!B14&amp;"]"&amp;CHAR(10)&amp;"Fonte: Arquivo do Estado de São Paulo, "&amp;TEXT('0003'!D14,"yyyy")&amp;"."</f>
        <v>Figura n – [Muro divisório bipartido e vala para fundação no canteiro.]
Fonte: Arquivo do Estado de São Paulo, 2003.</v>
      </c>
      <c r="S14" s="66" t="str">
        <f>"ARQUIVO PÚBLICO DO ESTADO DE SÃO PAULO (Brasil). ["&amp;'0003'!B14&amp;"]. "&amp;'0003'!G14&amp;". "&amp;TEXT('0003'!D14,"dd")&amp;" "&amp;LOWER(TEXT('0003'!D14,"mmm"))&amp;" "&amp;TEXT('0003'!D14,"yyyy")&amp;". "&amp;'0003'!F14&amp;". Disponível em: &lt;link do dataverse&gt;. Acesso em: 28 out. 2025."</f>
        <v>ARQUIVO PÚBLICO DO ESTADO DE SÃO PAULO (Brasil). [Muro divisório bipartido e vala para fundação no canteiro.]. São Paulo, Brasil. 10 mar. 2003. Fotografia digitalizada; colorida; suporte em papel fotográfico. Disponível em: &lt;link do dataverse&gt;. Acesso em: 28 out. 2025.</v>
      </c>
      <c r="T14" s="59" t="s">
        <v>260</v>
      </c>
    </row>
    <row r="15" ht="15.75" customHeight="1">
      <c r="A15" s="49" t="str">
        <f>MID('0003'!K15, LEN('0003'!K15)-6, 3)</f>
        <v>014</v>
      </c>
      <c r="B15" s="60" t="s">
        <v>285</v>
      </c>
      <c r="C15" s="61" t="s">
        <v>77</v>
      </c>
      <c r="D15" s="72">
        <v>38550.0</v>
      </c>
      <c r="E15" s="63" t="s">
        <v>79</v>
      </c>
      <c r="F15" s="54" t="s">
        <v>80</v>
      </c>
      <c r="G15" s="64" t="s">
        <v>81</v>
      </c>
      <c r="H15" s="56" t="s">
        <v>82</v>
      </c>
      <c r="I15" s="50" t="s">
        <v>83</v>
      </c>
      <c r="J15" s="56" t="s">
        <v>154</v>
      </c>
      <c r="K15" s="57" t="str">
        <f>TEXTJOIN("", TRUE, Geral!B96:U96)</f>
        <v>BR-SPGPDVE_ARCOENGE-DEMOLICAO-CSDTCARANDIRU_ICO-FOT-DGZ-MB0_0004-014.JPG</v>
      </c>
      <c r="L15"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5" s="60" t="s">
        <v>286</v>
      </c>
      <c r="N15"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5" s="50" t="s">
        <v>88</v>
      </c>
      <c r="P15" s="54" t="s">
        <v>89</v>
      </c>
      <c r="Q15" s="54" t="s">
        <v>90</v>
      </c>
      <c r="R15" s="66" t="str">
        <f>"Figura n – ["&amp;'0003'!B15&amp;"]"&amp;CHAR(10)&amp;"Fonte: Arquivo do Estado de São Paulo, "&amp;TEXT('0003'!D15,"yyyy")&amp;"."</f>
        <v>Figura n – [Muro de divisa com proteção superior e vala de fundação.]
Fonte: Arquivo do Estado de São Paulo, 2003.</v>
      </c>
      <c r="S15" s="66" t="str">
        <f>"ARQUIVO PÚBLICO DO ESTADO DE SÃO PAULO (Brasil). ["&amp;'0003'!B15&amp;"]. "&amp;'0003'!G15&amp;". "&amp;TEXT('0003'!D15,"dd")&amp;" "&amp;LOWER(TEXT('0003'!D15,"mmm"))&amp;" "&amp;TEXT('0003'!D15,"yyyy")&amp;". "&amp;'0003'!F15&amp;". Disponível em: &lt;link do dataverse&gt;. Acesso em: 28 out. 2025."</f>
        <v>ARQUIVO PÚBLICO DO ESTADO DE SÃO PAULO (Brasil). [Muro de divisa com proteção superior e vala de fundação.]. São Paulo, Brasil. 10 mar. 2003. Fotografia digitalizada; colorida; suporte em papel fotográfico. Disponível em: &lt;link do dataverse&gt;. Acesso em: 28 out. 2025.</v>
      </c>
      <c r="T15" s="59" t="s">
        <v>260</v>
      </c>
    </row>
    <row r="16" ht="15.75" customHeight="1">
      <c r="A16" s="49" t="str">
        <f>MID('0003'!K16, LEN('0003'!K16)-6, 3)</f>
        <v>015</v>
      </c>
      <c r="B16" s="60" t="s">
        <v>287</v>
      </c>
      <c r="C16" s="61" t="s">
        <v>77</v>
      </c>
      <c r="D16" s="72">
        <v>38550.0</v>
      </c>
      <c r="E16" s="63" t="s">
        <v>79</v>
      </c>
      <c r="F16" s="54" t="s">
        <v>80</v>
      </c>
      <c r="G16" s="64" t="s">
        <v>81</v>
      </c>
      <c r="H16" s="56" t="s">
        <v>82</v>
      </c>
      <c r="I16" s="50" t="s">
        <v>83</v>
      </c>
      <c r="J16" s="56" t="s">
        <v>154</v>
      </c>
      <c r="K16" s="57" t="str">
        <f>TEXTJOIN("", TRUE, Geral!B97:U97)</f>
        <v>BR-SPGPDVE_ARCOENGE-DEMOLICAO-CSDTCARANDIRU_ICO-FOT-DGZ-MB0_0004-015.JPG</v>
      </c>
      <c r="L16"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6" s="60" t="s">
        <v>288</v>
      </c>
      <c r="N16"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6" s="50" t="s">
        <v>88</v>
      </c>
      <c r="P16" s="54" t="s">
        <v>89</v>
      </c>
      <c r="Q16" s="54" t="s">
        <v>90</v>
      </c>
      <c r="R16" s="66" t="str">
        <f>"Figura n – ["&amp;'0003'!B16&amp;"]"&amp;CHAR(10)&amp;"Fonte: Arquivo do Estado de São Paulo, "&amp;TEXT('0003'!D16,"yyyy")&amp;"."</f>
        <v>Figura n – [Amplo muro divisório degradado e ferragens dispersas no solo.]
Fonte: Arquivo do Estado de São Paulo, 2003.</v>
      </c>
      <c r="S16" s="66" t="str">
        <f>"ARQUIVO PÚBLICO DO ESTADO DE SÃO PAULO (Brasil). ["&amp;'0003'!B16&amp;"]. "&amp;'0003'!G16&amp;". "&amp;TEXT('0003'!D16,"dd")&amp;" "&amp;LOWER(TEXT('0003'!D16,"mmm"))&amp;" "&amp;TEXT('0003'!D16,"yyyy")&amp;". "&amp;'0003'!F16&amp;". Disponível em: &lt;link do dataverse&gt;. Acesso em: 28 out. 2025."</f>
        <v>ARQUIVO PÚBLICO DO ESTADO DE SÃO PAULO (Brasil). [Amplo muro divisório degradado e ferragens dispersas no solo.]. São Paulo, Brasil. 10 mar. 2003. Fotografia digitalizada; colorida; suporte em papel fotográfico. Disponível em: &lt;link do dataverse&gt;. Acesso em: 28 out. 2025.</v>
      </c>
      <c r="T16" s="59" t="s">
        <v>260</v>
      </c>
    </row>
    <row r="17" ht="15.75" customHeight="1">
      <c r="A17" s="49" t="str">
        <f>MID('0003'!K17, LEN('0003'!K17)-6, 3)</f>
        <v>016</v>
      </c>
      <c r="B17" s="60" t="s">
        <v>289</v>
      </c>
      <c r="C17" s="61" t="s">
        <v>77</v>
      </c>
      <c r="D17" s="72">
        <v>38550.0</v>
      </c>
      <c r="E17" s="63" t="s">
        <v>79</v>
      </c>
      <c r="F17" s="54" t="s">
        <v>80</v>
      </c>
      <c r="G17" s="55" t="s">
        <v>81</v>
      </c>
      <c r="H17" s="56" t="s">
        <v>82</v>
      </c>
      <c r="I17" s="50" t="s">
        <v>83</v>
      </c>
      <c r="J17" s="56" t="s">
        <v>154</v>
      </c>
      <c r="K17" s="57" t="str">
        <f>TEXTJOIN("", TRUE, Geral!B98:U98)</f>
        <v>BR-SPGPDVE_ARCOENGE-DEMOLICAO-CSDTCARANDIRU_ICO-FOT-DGZ-MB0_0004-016.JPG</v>
      </c>
      <c r="L17"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7" s="60" t="s">
        <v>290</v>
      </c>
      <c r="N17"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7" s="50" t="s">
        <v>88</v>
      </c>
      <c r="P17" s="54" t="s">
        <v>89</v>
      </c>
      <c r="Q17" s="54" t="s">
        <v>90</v>
      </c>
      <c r="R17" s="66" t="str">
        <f>"Figura n – ["&amp;'0003'!B17&amp;"]"&amp;CHAR(10)&amp;"Fonte: Arquivo do Estado de São Paulo, "&amp;TEXT('0003'!D17,"yyyy")&amp;"."</f>
        <v>Figura n – [Ruptura de revestimento em muro revelando blocos de concreto.]
Fonte: Arquivo do Estado de São Paulo, 2003.</v>
      </c>
      <c r="S17" s="66" t="str">
        <f>"ARQUIVO PÚBLICO DO ESTADO DE SÃO PAULO (Brasil). ["&amp;'0003'!B17&amp;"]. "&amp;'0003'!G17&amp;". "&amp;TEXT('0003'!D17,"dd")&amp;" "&amp;LOWER(TEXT('0003'!D17,"mmm"))&amp;" "&amp;TEXT('0003'!D17,"yyyy")&amp;". "&amp;'0003'!F17&amp;". Disponível em: &lt;link do dataverse&gt;. Acesso em: 28 out. 2025."</f>
        <v>ARQUIVO PÚBLICO DO ESTADO DE SÃO PAULO (Brasil). [Ruptura de revestimento em muro revelando blocos de concreto.]. São Paulo, Brasil. 10 mar. 2003. Fotografia digitalizada; colorida; suporte em papel fotográfico. Disponível em: &lt;link do dataverse&gt;. Acesso em: 28 out. 2025.</v>
      </c>
      <c r="T17" s="59" t="s">
        <v>260</v>
      </c>
    </row>
    <row r="18" ht="15.75" customHeight="1">
      <c r="A18" s="49" t="str">
        <f>MID('0003'!K18, LEN('0003'!K18)-6, 3)</f>
        <v>017</v>
      </c>
      <c r="B18" s="60" t="s">
        <v>291</v>
      </c>
      <c r="C18" s="61" t="s">
        <v>77</v>
      </c>
      <c r="D18" s="72">
        <v>38550.0</v>
      </c>
      <c r="E18" s="63" t="s">
        <v>79</v>
      </c>
      <c r="F18" s="54" t="s">
        <v>80</v>
      </c>
      <c r="G18" s="64" t="s">
        <v>81</v>
      </c>
      <c r="H18" s="56" t="s">
        <v>82</v>
      </c>
      <c r="I18" s="50" t="s">
        <v>83</v>
      </c>
      <c r="J18" s="56" t="s">
        <v>154</v>
      </c>
      <c r="K18" s="57" t="str">
        <f>TEXTJOIN("", TRUE, Geral!B99:U99)</f>
        <v>BR-SPGPDVE_ARCOENGE-DEMOLICAO-CSDTCARANDIRU_ICO-FOT-DGZ-MB0_0004-017.JPG</v>
      </c>
      <c r="L18"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8" s="60" t="s">
        <v>292</v>
      </c>
      <c r="N18"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8" s="50" t="s">
        <v>88</v>
      </c>
      <c r="P18" s="54" t="s">
        <v>89</v>
      </c>
      <c r="Q18" s="54" t="s">
        <v>90</v>
      </c>
      <c r="R18" s="66" t="str">
        <f>"Figura n – ["&amp;'0003'!B18&amp;"]"&amp;CHAR(10)&amp;"Fonte: Arquivo do Estado de São Paulo, "&amp;TEXT('0003'!D18,"yyyy")&amp;"."</f>
        <v>Figura n – [Exposição de alvenaria estrutural e tubulações em muro divisório.]
Fonte: Arquivo do Estado de São Paulo, 2003.</v>
      </c>
      <c r="S18" s="66" t="str">
        <f>"ARQUIVO PÚBLICO DO ESTADO DE SÃO PAULO (Brasil). ["&amp;'0003'!B18&amp;"]. "&amp;'0003'!G18&amp;". "&amp;TEXT('0003'!D18,"dd")&amp;" "&amp;LOWER(TEXT('0003'!D18,"mmm"))&amp;" "&amp;TEXT('0003'!D18,"yyyy")&amp;". "&amp;'0003'!F18&amp;". Disponível em: &lt;link do dataverse&gt;. Acesso em: 28 out. 2025."</f>
        <v>ARQUIVO PÚBLICO DO ESTADO DE SÃO PAULO (Brasil). [Exposição de alvenaria estrutural e tubulações em muro divisório.]. São Paulo, Brasil. 10 mar. 2003. Fotografia digitalizada; colorida; suporte em papel fotográfico. Disponível em: &lt;link do dataverse&gt;. Acesso em: 28 out. 2025.</v>
      </c>
      <c r="T18" s="59" t="s">
        <v>260</v>
      </c>
    </row>
    <row r="19" ht="15.75" customHeight="1">
      <c r="A19" s="49" t="str">
        <f>MID('0003'!K19, LEN('0003'!K19)-6, 3)</f>
        <v>018</v>
      </c>
      <c r="B19" s="60" t="s">
        <v>293</v>
      </c>
      <c r="C19" s="61" t="s">
        <v>77</v>
      </c>
      <c r="D19" s="72">
        <v>38550.0</v>
      </c>
      <c r="E19" s="63" t="s">
        <v>79</v>
      </c>
      <c r="F19" s="54" t="s">
        <v>80</v>
      </c>
      <c r="G19" s="64" t="s">
        <v>81</v>
      </c>
      <c r="H19" s="56" t="s">
        <v>82</v>
      </c>
      <c r="I19" s="50" t="s">
        <v>83</v>
      </c>
      <c r="J19" s="56" t="s">
        <v>154</v>
      </c>
      <c r="K19" s="57" t="str">
        <f>TEXTJOIN("", TRUE, Geral!B100:U100)</f>
        <v>BR-SPGPDVE_ARCOENGE-DEMOLICAO-CSDTCARANDIRU_ICO-FOT-DGZ-MB0_0004-018.JPG</v>
      </c>
      <c r="L19"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9" s="60" t="s">
        <v>294</v>
      </c>
      <c r="N19"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9" s="50" t="s">
        <v>88</v>
      </c>
      <c r="P19" s="54" t="s">
        <v>89</v>
      </c>
      <c r="Q19" s="54" t="s">
        <v>90</v>
      </c>
      <c r="R19" s="66" t="str">
        <f>"Figura n – ["&amp;'0003'!B19&amp;"]"&amp;CHAR(10)&amp;"Fonte: Arquivo do Estado de São Paulo, "&amp;TEXT('0003'!D19,"yyyy")&amp;"."</f>
        <v>Figura n – [Operários trabalhando em escavação junto a muros de divisa.]
Fonte: Arquivo do Estado de São Paulo, 2003.</v>
      </c>
      <c r="S19" s="66" t="str">
        <f>"ARQUIVO PÚBLICO DO ESTADO DE SÃO PAULO (Brasil). ["&amp;'0003'!B19&amp;"]. "&amp;'0003'!G19&amp;". "&amp;TEXT('0003'!D19,"dd")&amp;" "&amp;LOWER(TEXT('0003'!D19,"mmm"))&amp;" "&amp;TEXT('0003'!D19,"yyyy")&amp;". "&amp;'0003'!F19&amp;". Disponível em: &lt;link do dataverse&gt;. Acesso em: 28 out. 2025."</f>
        <v>ARQUIVO PÚBLICO DO ESTADO DE SÃO PAULO (Brasil). [Operários trabalhando em escavação junto a muros de divisa.]. São Paulo, Brasil. 10 mar. 2003. Fotografia digitalizada; colorida; suporte em papel fotográfico. Disponível em: &lt;link do dataverse&gt;. Acesso em: 28 out. 2025.</v>
      </c>
      <c r="T19" s="59" t="s">
        <v>260</v>
      </c>
    </row>
    <row r="20" ht="15.75" customHeight="1">
      <c r="A20" s="49" t="str">
        <f>MID('0003'!K20, LEN('0003'!K20)-6, 3)</f>
        <v>019</v>
      </c>
      <c r="B20" s="60" t="s">
        <v>295</v>
      </c>
      <c r="C20" s="61" t="s">
        <v>77</v>
      </c>
      <c r="D20" s="72">
        <v>38550.0</v>
      </c>
      <c r="E20" s="63" t="s">
        <v>79</v>
      </c>
      <c r="F20" s="54" t="s">
        <v>80</v>
      </c>
      <c r="G20" s="55" t="s">
        <v>81</v>
      </c>
      <c r="H20" s="56" t="s">
        <v>82</v>
      </c>
      <c r="I20" s="50" t="s">
        <v>83</v>
      </c>
      <c r="J20" s="56" t="s">
        <v>154</v>
      </c>
      <c r="K20" s="57" t="str">
        <f>TEXTJOIN("", TRUE, Geral!B101:U101)</f>
        <v>BR-SPGPDVE_ARCOENGE-DEMOLICAO-CSDTCARANDIRU_ICO-FOT-DGZ-MB0_0004-019.JPG</v>
      </c>
      <c r="L20"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0" s="60" t="s">
        <v>296</v>
      </c>
      <c r="N20"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0" s="50" t="s">
        <v>88</v>
      </c>
      <c r="P20" s="54" t="s">
        <v>89</v>
      </c>
      <c r="Q20" s="54" t="s">
        <v>90</v>
      </c>
      <c r="R20" s="66" t="str">
        <f>"Figura n – ["&amp;'0003'!B20&amp;"]"&amp;CHAR(10)&amp;"Fonte: Arquivo do Estado de São Paulo, "&amp;TEXT('0003'!D20,"yyyy")&amp;"."</f>
        <v>Figura n – [Fachada de imóvel residencial com placa de venda na via pública.]
Fonte: Arquivo do Estado de São Paulo, 2003.</v>
      </c>
      <c r="S20" s="66" t="str">
        <f>"ARQUIVO PÚBLICO DO ESTADO DE SÃO PAULO (Brasil). ["&amp;'0003'!B20&amp;"]. "&amp;'0003'!G20&amp;". "&amp;TEXT('0003'!D20,"dd")&amp;" "&amp;LOWER(TEXT('0003'!D20,"mmm"))&amp;" "&amp;TEXT('0003'!D20,"yyyy")&amp;". "&amp;'0003'!F20&amp;". Disponível em: &lt;link do dataverse&gt;. Acesso em: 28 out. 2025."</f>
        <v>ARQUIVO PÚBLICO DO ESTADO DE SÃO PAULO (Brasil). [Fachada de imóvel residencial com placa de venda na via pública.]. São Paulo, Brasil. 10 mar. 2003. Fotografia digitalizada; colorida; suporte em papel fotográfico. Disponível em: &lt;link do dataverse&gt;. Acesso em: 28 out. 2025.</v>
      </c>
      <c r="T20" s="59" t="s">
        <v>260</v>
      </c>
    </row>
    <row r="21" ht="15.75" customHeight="1">
      <c r="A21" s="49" t="str">
        <f>MID('0003'!K21, LEN('0003'!K21)-6, 3)</f>
        <v>020</v>
      </c>
      <c r="B21" s="60" t="s">
        <v>297</v>
      </c>
      <c r="C21" s="61" t="s">
        <v>77</v>
      </c>
      <c r="D21" s="72">
        <v>38550.0</v>
      </c>
      <c r="E21" s="63" t="s">
        <v>79</v>
      </c>
      <c r="F21" s="54" t="s">
        <v>80</v>
      </c>
      <c r="G21" s="64" t="s">
        <v>81</v>
      </c>
      <c r="H21" s="56" t="s">
        <v>82</v>
      </c>
      <c r="I21" s="50" t="s">
        <v>83</v>
      </c>
      <c r="J21" s="56" t="s">
        <v>154</v>
      </c>
      <c r="K21" s="57" t="str">
        <f>TEXTJOIN("", TRUE, Geral!B102:U102)</f>
        <v>BR-SPGPDVE_ARCOENGE-DEMOLICAO-CSDTCARANDIRU_ICO-FOT-DGZ-MB0_0004-020.JPG</v>
      </c>
      <c r="L21"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1" s="60" t="s">
        <v>298</v>
      </c>
      <c r="N21"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1" s="50" t="s">
        <v>88</v>
      </c>
      <c r="P21" s="54" t="s">
        <v>89</v>
      </c>
      <c r="Q21" s="54" t="s">
        <v>90</v>
      </c>
      <c r="R21" s="66" t="str">
        <f>"Figura n – ["&amp;'0003'!B21&amp;"]"&amp;CHAR(10)&amp;"Fonte: Arquivo do Estado de São Paulo, "&amp;TEXT('0003'!D21,"yyyy")&amp;"."</f>
        <v>Figura n – [Residência em reforma com escoramento de laje e caçamba de entulho.]
Fonte: Arquivo do Estado de São Paulo, 2003.</v>
      </c>
      <c r="S21" s="66" t="str">
        <f>"ARQUIVO PÚBLICO DO ESTADO DE SÃO PAULO (Brasil). ["&amp;'0003'!B21&amp;"]. "&amp;'0003'!G21&amp;". "&amp;TEXT('0003'!D21,"dd")&amp;" "&amp;LOWER(TEXT('0003'!D21,"mmm"))&amp;" "&amp;TEXT('0003'!D21,"yyyy")&amp;". "&amp;'0003'!F21&amp;". Disponível em: &lt;link do dataverse&gt;. Acesso em: 28 out. 2025."</f>
        <v>ARQUIVO PÚBLICO DO ESTADO DE SÃO PAULO (Brasil). [Residência em reforma com escoramento de laje e caçamba de entulho.]. São Paulo, Brasil. 10 mar. 2003. Fotografia digitalizada; colorida; suporte em papel fotográfico. Disponível em: &lt;link do dataverse&gt;. Acesso em: 28 out. 2025.</v>
      </c>
      <c r="T21" s="59" t="s">
        <v>260</v>
      </c>
    </row>
    <row r="22" ht="15.75" customHeight="1">
      <c r="A22" s="49" t="str">
        <f>MID('0003'!K22, LEN('0003'!K22)-6, 3)</f>
        <v>021</v>
      </c>
      <c r="B22" s="60" t="s">
        <v>299</v>
      </c>
      <c r="C22" s="61" t="s">
        <v>77</v>
      </c>
      <c r="D22" s="72">
        <v>38550.0</v>
      </c>
      <c r="E22" s="63" t="s">
        <v>79</v>
      </c>
      <c r="F22" s="54" t="s">
        <v>80</v>
      </c>
      <c r="G22" s="64" t="s">
        <v>81</v>
      </c>
      <c r="H22" s="56" t="s">
        <v>82</v>
      </c>
      <c r="I22" s="50" t="s">
        <v>83</v>
      </c>
      <c r="J22" s="56" t="s">
        <v>154</v>
      </c>
      <c r="K22" s="57" t="str">
        <f>TEXTJOIN("", TRUE, Geral!B103:U103)</f>
        <v>BR-SPGPDVE_ARCOENGE-DEMOLICAO-CSDTCARANDIRU_ICO-FOT-DGZ-MB0_0004-021.JPG</v>
      </c>
      <c r="L22"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2" s="60" t="s">
        <v>300</v>
      </c>
      <c r="N22"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2" s="50" t="s">
        <v>88</v>
      </c>
      <c r="P22" s="54" t="s">
        <v>89</v>
      </c>
      <c r="Q22" s="54" t="s">
        <v>90</v>
      </c>
      <c r="R22" s="66" t="str">
        <f t="shared" ref="R22:R25" si="1">"Figura n – ["&amp;B22&amp;"]"&amp;CHAR(10)&amp;"Fonte: Arquivo do Estado de São Paulo, "&amp;TEXT(D22,"yyyy")&amp;"."</f>
        <v>Figura n – [Demolição de edificação secundária com operário próximo à máquina.]
Fonte: Arquivo do Estado de São Paulo, 2005.</v>
      </c>
      <c r="S22" s="66" t="str">
        <f t="shared" ref="S22:S25" si="2">"ARQUIVO PÚBLICO DO ESTADO DE SÃO PAULO (Brasil). ["&amp;B22&amp;"]. "&amp;G22&amp;". "&amp;TEXT(D22,"dd")&amp;" "&amp;LOWER(TEXT(D22,"mmm"))&amp;" "&amp;TEXT(D22,"yyyy")&amp;". "&amp;F22&amp;". Disponível em: &lt;link do dataverse&gt;. Acesso em: 28 out. 2025."</f>
        <v>ARQUIVO PÚBLICO DO ESTADO DE SÃO PAULO (Brasil). [Demolição de edificação secundária com operário próximo à máquina.]. São Paulo, Brasil. 17 jul. 2005. Fotografia digitalizada; colorida; suporte em papel fotográfico. Disponível em: &lt;link do dataverse&gt;. Acesso em: 28 out. 2025.</v>
      </c>
      <c r="T22" s="59" t="s">
        <v>260</v>
      </c>
    </row>
    <row r="23" ht="15.75" customHeight="1">
      <c r="A23" s="49" t="str">
        <f>MID('0003'!K23, LEN('0003'!K23)-6, 3)</f>
        <v>022</v>
      </c>
      <c r="B23" s="60" t="s">
        <v>301</v>
      </c>
      <c r="C23" s="61" t="s">
        <v>77</v>
      </c>
      <c r="D23" s="72">
        <v>38550.0</v>
      </c>
      <c r="E23" s="63" t="s">
        <v>79</v>
      </c>
      <c r="F23" s="54" t="s">
        <v>80</v>
      </c>
      <c r="G23" s="55" t="s">
        <v>81</v>
      </c>
      <c r="H23" s="56" t="s">
        <v>82</v>
      </c>
      <c r="I23" s="50" t="s">
        <v>83</v>
      </c>
      <c r="J23" s="56" t="s">
        <v>154</v>
      </c>
      <c r="K23" s="57" t="str">
        <f>TEXTJOIN("", TRUE, Geral!B104:U104)</f>
        <v>BR-SPGPDVE_ARCOENGE-DEMOLICAO-CSDTCARANDIRU_ICO-FOT-DGZ-MB0_0004-022.JPG</v>
      </c>
      <c r="L23"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3" s="60" t="s">
        <v>302</v>
      </c>
      <c r="N23"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3" s="50" t="s">
        <v>88</v>
      </c>
      <c r="P23" s="54" t="s">
        <v>89</v>
      </c>
      <c r="Q23" s="54" t="s">
        <v>90</v>
      </c>
      <c r="R23" s="66" t="str">
        <f t="shared" si="1"/>
        <v>Figura n – [Pavilhões remanescentes refletidos em poças d'água no canteiro.]
Fonte: Arquivo do Estado de São Paulo, 2005.</v>
      </c>
      <c r="S23" s="66" t="str">
        <f t="shared" si="2"/>
        <v>ARQUIVO PÚBLICO DO ESTADO DE SÃO PAULO (Brasil). [Pavilhões remanescentes refletidos em poças d'água no canteiro.]. São Paulo, Brasil. 17 jul. 2005. Fotografia digitalizada; colorida; suporte em papel fotográfico. Disponível em: &lt;link do dataverse&gt;. Acesso em: 28 out. 2025.</v>
      </c>
      <c r="T23" s="59" t="s">
        <v>260</v>
      </c>
    </row>
    <row r="24" ht="15.75" customHeight="1">
      <c r="A24" s="49" t="str">
        <f>MID('0003'!K24, LEN('0003'!K24)-6, 3)</f>
        <v>023</v>
      </c>
      <c r="B24" s="60" t="s">
        <v>303</v>
      </c>
      <c r="C24" s="61" t="s">
        <v>77</v>
      </c>
      <c r="D24" s="72">
        <v>38550.0</v>
      </c>
      <c r="E24" s="63" t="s">
        <v>79</v>
      </c>
      <c r="F24" s="54" t="s">
        <v>80</v>
      </c>
      <c r="G24" s="64" t="s">
        <v>81</v>
      </c>
      <c r="H24" s="56" t="s">
        <v>82</v>
      </c>
      <c r="I24" s="50" t="s">
        <v>83</v>
      </c>
      <c r="J24" s="56" t="s">
        <v>154</v>
      </c>
      <c r="K24" s="57" t="str">
        <f>TEXTJOIN("", TRUE, Geral!B105:U105)</f>
        <v>BR-SPGPDVE_ARCOENGE-DEMOLICAO-CSDTCARANDIRU_ICO-FOT-DGZ-MB0_0004-023.JPG</v>
      </c>
      <c r="L24"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4" s="60" t="s">
        <v>304</v>
      </c>
      <c r="N24"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4" s="50" t="s">
        <v>88</v>
      </c>
      <c r="P24" s="54" t="s">
        <v>89</v>
      </c>
      <c r="Q24" s="54" t="s">
        <v>90</v>
      </c>
      <c r="R24" s="66" t="str">
        <f t="shared" si="1"/>
        <v>Figura n – [Fachada principal de pavilhão prisional com avarias e escombros na base.]
Fonte: Arquivo do Estado de São Paulo, 2005.</v>
      </c>
      <c r="S24" s="66" t="str">
        <f t="shared" si="2"/>
        <v>ARQUIVO PÚBLICO DO ESTADO DE SÃO PAULO (Brasil). [Fachada principal de pavilhão prisional com avarias e escombros na base.]. São Paulo, Brasil. 17 jul. 2005. Fotografia digitalizada; colorida; suporte em papel fotográfico. Disponível em: &lt;link do dataverse&gt;. Acesso em: 28 out. 2025.</v>
      </c>
      <c r="T24" s="59" t="s">
        <v>260</v>
      </c>
    </row>
    <row r="25" ht="15.75" customHeight="1">
      <c r="A25" s="49" t="str">
        <f>MID('0003'!K25, LEN('0003'!K25)-6, 3)</f>
        <v>024</v>
      </c>
      <c r="B25" s="60" t="s">
        <v>305</v>
      </c>
      <c r="C25" s="61" t="s">
        <v>77</v>
      </c>
      <c r="D25" s="72">
        <v>38550.0</v>
      </c>
      <c r="E25" s="63" t="s">
        <v>79</v>
      </c>
      <c r="F25" s="54" t="s">
        <v>80</v>
      </c>
      <c r="G25" s="64" t="s">
        <v>81</v>
      </c>
      <c r="H25" s="56" t="s">
        <v>82</v>
      </c>
      <c r="I25" s="50" t="s">
        <v>83</v>
      </c>
      <c r="J25" s="56" t="s">
        <v>154</v>
      </c>
      <c r="K25" s="57" t="str">
        <f>TEXTJOIN("", TRUE, Geral!B106:U106)</f>
        <v>BR-SPGPDVE_ARCOENGE-DEMOLICAO-CSDTCARANDIRU_ICO-FOT-DGZ-MB0_0004-024.JPG</v>
      </c>
      <c r="L25" s="55"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5" s="60" t="s">
        <v>306</v>
      </c>
      <c r="N25" s="55"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5" s="50" t="s">
        <v>88</v>
      </c>
      <c r="P25" s="54" t="s">
        <v>89</v>
      </c>
      <c r="Q25" s="54" t="s">
        <v>90</v>
      </c>
      <c r="R25" s="66" t="str">
        <f t="shared" si="1"/>
        <v>Figura n – [Miniescavadeira operando no interior de pavilhão em demolição.]
Fonte: Arquivo do Estado de São Paulo, 2005.</v>
      </c>
      <c r="S25" s="66" t="str">
        <f t="shared" si="2"/>
        <v>ARQUIVO PÚBLICO DO ESTADO DE SÃO PAULO (Brasil). [Miniescavadeira operando no interior de pavilhão em demolição.]. São Paulo, Brasil. 17 jul. 2005. Fotografia digitalizada; colorida; suporte em papel fotográfico. Disponível em: &lt;link do dataverse&gt;. Acesso em: 28 out. 2025.</v>
      </c>
      <c r="T25" s="59" t="s">
        <v>260</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1">
    <cfRule type="notContainsBlanks" dxfId="0" priority="1">
      <formula>LEN(TRIM(A1))&gt;0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5"/>
    <col customWidth="1" min="2" max="2" width="27.13"/>
    <col customWidth="1" min="3" max="4" width="12.63"/>
    <col customWidth="1" min="5" max="5" width="19.0"/>
    <col customWidth="1" min="6" max="6" width="34.0"/>
    <col customWidth="1" min="7" max="7" width="15.25"/>
    <col customWidth="1" min="8" max="8" width="15.38"/>
    <col customWidth="1" min="9" max="9" width="14.88"/>
    <col customWidth="1" min="10" max="10" width="17.0"/>
    <col customWidth="1" min="11" max="11" width="25.5"/>
    <col customWidth="1" min="12" max="12" width="16.5"/>
    <col customWidth="1" min="13" max="13" width="16.13"/>
    <col customWidth="1" min="14" max="14" width="16.25"/>
  </cols>
  <sheetData>
    <row r="1" ht="44.25" customHeight="1">
      <c r="A1" s="74"/>
      <c r="B1" s="75" t="s">
        <v>0</v>
      </c>
      <c r="C1" s="76" t="s">
        <v>1</v>
      </c>
      <c r="D1" s="76" t="s">
        <v>2</v>
      </c>
      <c r="E1" s="76" t="s">
        <v>307</v>
      </c>
      <c r="F1" s="76" t="s">
        <v>4</v>
      </c>
      <c r="G1" s="76" t="s">
        <v>5</v>
      </c>
      <c r="H1" s="76" t="s">
        <v>6</v>
      </c>
      <c r="I1" s="76" t="s">
        <v>7</v>
      </c>
      <c r="J1" s="76" t="s">
        <v>8</v>
      </c>
      <c r="K1" s="77" t="s">
        <v>9</v>
      </c>
      <c r="L1" s="78"/>
      <c r="M1" s="78"/>
      <c r="N1" s="78"/>
      <c r="O1" s="78"/>
    </row>
    <row r="2" ht="15.75" customHeight="1">
      <c r="A2" s="79" t="s">
        <v>308</v>
      </c>
      <c r="B2" s="80" t="s">
        <v>309</v>
      </c>
      <c r="C2" s="79" t="s">
        <v>309</v>
      </c>
      <c r="D2" s="79" t="s">
        <v>309</v>
      </c>
      <c r="E2" s="79" t="s">
        <v>309</v>
      </c>
      <c r="F2" s="79" t="s">
        <v>310</v>
      </c>
      <c r="G2" s="79" t="s">
        <v>310</v>
      </c>
      <c r="H2" s="79" t="s">
        <v>310</v>
      </c>
      <c r="I2" s="79" t="s">
        <v>310</v>
      </c>
      <c r="J2" s="79" t="s">
        <v>310</v>
      </c>
      <c r="K2" s="81" t="s">
        <v>309</v>
      </c>
      <c r="L2" s="78"/>
      <c r="M2" s="78"/>
      <c r="N2" s="78"/>
      <c r="O2" s="78"/>
    </row>
    <row r="3" ht="15.75" customHeight="1">
      <c r="A3" s="82" t="s">
        <v>311</v>
      </c>
      <c r="B3" s="80" t="s">
        <v>312</v>
      </c>
      <c r="C3" s="79" t="s">
        <v>313</v>
      </c>
      <c r="D3" s="79" t="s">
        <v>82</v>
      </c>
      <c r="E3" s="79" t="s">
        <v>15</v>
      </c>
      <c r="F3" s="79" t="s">
        <v>314</v>
      </c>
      <c r="G3" s="79" t="s">
        <v>315</v>
      </c>
      <c r="H3" s="79" t="s">
        <v>316</v>
      </c>
      <c r="I3" s="79" t="s">
        <v>317</v>
      </c>
      <c r="J3" s="79" t="s">
        <v>318</v>
      </c>
      <c r="K3" s="81" t="s">
        <v>319</v>
      </c>
      <c r="L3" s="78"/>
      <c r="M3" s="78"/>
      <c r="N3" s="78"/>
      <c r="O3" s="78"/>
    </row>
    <row r="4" ht="15.75" customHeight="1">
      <c r="A4" s="83"/>
      <c r="B4" s="84" t="s">
        <v>10</v>
      </c>
      <c r="C4" s="85" t="s">
        <v>12</v>
      </c>
      <c r="D4" s="85" t="s">
        <v>13</v>
      </c>
      <c r="E4" s="85" t="s">
        <v>15</v>
      </c>
      <c r="F4" s="85" t="s">
        <v>16</v>
      </c>
      <c r="G4" s="85" t="s">
        <v>17</v>
      </c>
      <c r="H4" s="85" t="s">
        <v>18</v>
      </c>
      <c r="I4" s="85" t="s">
        <v>19</v>
      </c>
      <c r="J4" s="85" t="s">
        <v>320</v>
      </c>
      <c r="K4" s="86" t="s">
        <v>321</v>
      </c>
      <c r="L4" s="78"/>
      <c r="M4" s="78"/>
      <c r="N4" s="78"/>
      <c r="O4" s="78"/>
    </row>
    <row r="5" ht="15.75" customHeight="1">
      <c r="A5" s="82" t="s">
        <v>322</v>
      </c>
      <c r="B5" s="80" t="s">
        <v>312</v>
      </c>
      <c r="C5" s="79" t="s">
        <v>313</v>
      </c>
      <c r="D5" s="79" t="s">
        <v>82</v>
      </c>
      <c r="E5" s="79" t="s">
        <v>15</v>
      </c>
      <c r="F5" s="79" t="s">
        <v>314</v>
      </c>
      <c r="G5" s="87" t="s">
        <v>315</v>
      </c>
      <c r="H5" s="87" t="s">
        <v>316</v>
      </c>
      <c r="I5" s="87" t="s">
        <v>317</v>
      </c>
      <c r="J5" s="79" t="s">
        <v>318</v>
      </c>
      <c r="K5" s="81" t="s">
        <v>319</v>
      </c>
      <c r="L5" s="78"/>
      <c r="M5" s="78"/>
      <c r="N5" s="78"/>
      <c r="O5" s="78"/>
    </row>
    <row r="6" ht="15.75" customHeight="1">
      <c r="A6" s="83"/>
      <c r="B6" s="84" t="s">
        <v>10</v>
      </c>
      <c r="C6" s="85" t="s">
        <v>12</v>
      </c>
      <c r="D6" s="85" t="s">
        <v>13</v>
      </c>
      <c r="E6" s="85" t="s">
        <v>15</v>
      </c>
      <c r="F6" s="85" t="s">
        <v>16</v>
      </c>
      <c r="G6" s="88" t="s">
        <v>17</v>
      </c>
      <c r="H6" s="88" t="s">
        <v>18</v>
      </c>
      <c r="I6" s="88" t="s">
        <v>19</v>
      </c>
      <c r="J6" s="85" t="s">
        <v>320</v>
      </c>
      <c r="K6" s="86" t="s">
        <v>323</v>
      </c>
      <c r="L6" s="78"/>
      <c r="M6" s="78"/>
      <c r="N6" s="78"/>
      <c r="O6" s="78"/>
    </row>
    <row r="7" ht="15.75" customHeight="1">
      <c r="A7" s="89"/>
      <c r="B7" s="89"/>
      <c r="C7" s="90"/>
      <c r="D7" s="90"/>
      <c r="E7" s="89"/>
      <c r="F7" s="89"/>
      <c r="G7" s="89"/>
      <c r="H7" s="89"/>
      <c r="I7" s="89"/>
      <c r="J7" s="89"/>
      <c r="K7" s="89"/>
      <c r="L7" s="89"/>
      <c r="M7" s="89"/>
      <c r="N7" s="89"/>
    </row>
    <row r="8" ht="15.75" customHeight="1">
      <c r="A8" s="89"/>
      <c r="B8" s="89"/>
      <c r="C8" s="90"/>
      <c r="D8" s="90"/>
      <c r="E8" s="89"/>
      <c r="F8" s="89"/>
      <c r="G8" s="89"/>
      <c r="H8" s="89"/>
      <c r="I8" s="89"/>
      <c r="J8" s="89"/>
      <c r="K8" s="89"/>
      <c r="L8" s="89"/>
      <c r="M8" s="89"/>
      <c r="N8" s="89"/>
    </row>
    <row r="9" ht="15.75" customHeight="1">
      <c r="A9" s="89"/>
      <c r="B9" s="89"/>
      <c r="C9" s="90"/>
      <c r="D9" s="90"/>
      <c r="E9" s="89"/>
      <c r="F9" s="89"/>
      <c r="G9" s="89"/>
      <c r="H9" s="89"/>
      <c r="I9" s="89"/>
      <c r="J9" s="89"/>
      <c r="K9" s="89"/>
      <c r="L9" s="89"/>
      <c r="M9" s="89"/>
      <c r="N9" s="89"/>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3:A4"/>
    <mergeCell ref="A5:A6"/>
  </mergeCells>
  <dataValidations>
    <dataValidation type="list" allowBlank="1" showErrorMessage="1" sqref="B2:K2">
      <formula1>"Obrigatório,Opcional"</formula1>
    </dataValidation>
  </dataValidations>
  <drawing r:id="rId1"/>
</worksheet>
</file>