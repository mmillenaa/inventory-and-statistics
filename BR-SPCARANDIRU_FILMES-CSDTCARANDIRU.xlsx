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PenitEstado1928" sheetId="2" r:id="rId5"/>
    <sheet state="visible" name="FlmsHectorBabenco" sheetId="3" r:id="rId6"/>
    <sheet state="visible" name="BastidFilmeCarandiru" sheetId="4" r:id="rId7"/>
    <sheet state="visible" name="SlideShowCharge" sheetId="5" r:id="rId8"/>
    <sheet state="visible" name="DirArteCarandiru" sheetId="6" r:id="rId9"/>
    <sheet state="visible" name="OriginalDVD" sheetId="7" r:id="rId10"/>
    <sheet state="visible" name="Classificação" sheetId="8" r:id="rId11"/>
  </sheets>
  <definedNames/>
  <calcPr/>
  <extLst>
    <ext uri="GoogleSheetsCustomDataVersion2">
      <go:sheetsCustomData xmlns:go="http://customooxmlschemas.google.com/" r:id="rId12" roundtripDataChecksum="PTEkakD59dYoy2MYzBYEHXoq/pZbRhdWSYBj0K7mNAk="/>
    </ext>
  </extLst>
</workbook>
</file>

<file path=xl/sharedStrings.xml><?xml version="1.0" encoding="utf-8"?>
<sst xmlns="http://schemas.openxmlformats.org/spreadsheetml/2006/main" count="1037" uniqueCount="135">
  <si>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</si>
  <si>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</si>
  <si>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</si>
  <si>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</si>
  <si>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</si>
  <si>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</si>
  <si>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</si>
  <si>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</si>
  <si>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</si>
  <si>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</si>
  <si>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</si>
  <si>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</si>
  <si>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</si>
  <si>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CARANDIRU</t>
  </si>
  <si>
    <t>_</t>
  </si>
  <si>
    <t>FILMES</t>
  </si>
  <si>
    <t>PENITESTADO1928-CSDTCARANDIRU</t>
  </si>
  <si>
    <t>FLG</t>
  </si>
  <si>
    <t>FME</t>
  </si>
  <si>
    <t>NDT</t>
  </si>
  <si>
    <t>DT1</t>
  </si>
  <si>
    <t>0001-001</t>
  </si>
  <si>
    <t>.mp4</t>
  </si>
  <si>
    <t>DIRARTECARANDIRU-CSDTCARANDIRU</t>
  </si>
  <si>
    <t>SLIDESHOWCHARGE-CSDTCARANDIRU</t>
  </si>
  <si>
    <t>BASTIDFLMCARANDIRU-CSDTCARANDIRU</t>
  </si>
  <si>
    <t>FLMSHECTORBABENCO-CSDTCARANDIRU</t>
  </si>
  <si>
    <t>ORIGINALDVD-CSDTCARANDIRU</t>
  </si>
  <si>
    <t>DTX</t>
  </si>
  <si>
    <t>001</t>
  </si>
  <si>
    <t>BUP</t>
  </si>
  <si>
    <t>002</t>
  </si>
  <si>
    <t>IFO</t>
  </si>
  <si>
    <t>003</t>
  </si>
  <si>
    <t>004</t>
  </si>
  <si>
    <t>005</t>
  </si>
  <si>
    <t>VOB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</si>
  <si>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</si>
  <si>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</si>
  <si>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</si>
  <si>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</si>
  <si>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</si>
  <si>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</si>
  <si>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</si>
  <si>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</si>
  <si>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</si>
  <si>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</si>
  <si>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</si>
  <si>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</si>
  <si>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</si>
  <si>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</si>
  <si>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</si>
  <si>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</si>
  <si>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Cód.</t>
  </si>
  <si>
    <t>022</t>
  </si>
  <si>
    <t>Título descritivo (atribuído)</t>
  </si>
  <si>
    <t>023</t>
  </si>
  <si>
    <t>Nível de descrição</t>
  </si>
  <si>
    <t>Data</t>
  </si>
  <si>
    <t>Duração</t>
  </si>
  <si>
    <t>024</t>
  </si>
  <si>
    <t>Suporte</t>
  </si>
  <si>
    <t>Local</t>
  </si>
  <si>
    <t xml:space="preserve">Autor/Responsável </t>
  </si>
  <si>
    <t>Denominação do catálogo temático (GPDVE ARCOENGE)</t>
  </si>
  <si>
    <t>Localização</t>
  </si>
  <si>
    <t xml:space="preserve">Código de referência </t>
  </si>
  <si>
    <t>História arquivística</t>
  </si>
  <si>
    <t>Conteúdo/Assunto</t>
  </si>
  <si>
    <t>025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</si>
  <si>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</si>
  <si>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</si>
  <si>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</si>
  <si>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</si>
  <si>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</si>
  <si>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>Notas</t>
  </si>
  <si>
    <t>026</t>
  </si>
  <si>
    <t>027</t>
  </si>
  <si>
    <t>028</t>
  </si>
  <si>
    <t>029</t>
  </si>
  <si>
    <t>Filmografia de Hector Babenco</t>
  </si>
  <si>
    <t>030</t>
  </si>
  <si>
    <t>Item</t>
  </si>
  <si>
    <t>Sem data</t>
  </si>
  <si>
    <t>Documentário "Penitenciária do Estado - 1928"</t>
  </si>
  <si>
    <t>Os bastidores do filme "Carandiru: um filme de Hector Bebenco" (por Globo Filmes)</t>
  </si>
  <si>
    <t>031</t>
  </si>
  <si>
    <t>Originalmente DVD (suporte físico óptico). Com tratamento, tornou-se arquivo eletrônico (MP4) em suporte digital/nato-digital</t>
  </si>
  <si>
    <t>São Paulo, Brasil</t>
  </si>
  <si>
    <t>032</t>
  </si>
  <si>
    <t>Grupo de Pesquisa em Direito e Violência de Estado</t>
  </si>
  <si>
    <t>033</t>
  </si>
  <si>
    <t>GPDVE - Filmes - Casa de Detenção do Carandiru</t>
  </si>
  <si>
    <t>Pasta: 0001</t>
  </si>
  <si>
    <t>034</t>
  </si>
  <si>
    <t>Verificar com a professora Maíra</t>
  </si>
  <si>
    <t xml:space="preserve">O trecho trata de todos os filmes dos quais Hector Bebenco (diretor do Filme Carandiru) foi diretor, dentre os quais: Lúcio Flávio, Pixote e Coração Iluminado. </t>
  </si>
  <si>
    <t xml:space="preserve">O documentário-mudo trata da rotina dos presos na Penitenciária do Estado em 1928. Cenas em preto e branco com atividades internas e telas com texto explicativo. A trasncrição completa das telas pode ser encontrada na seção "Notas". </t>
  </si>
  <si>
    <r>
      <rPr>
        <rFont val="Roboto"/>
        <color theme="1"/>
        <sz val="12.0"/>
      </rPr>
      <t xml:space="preserve">O acesso aos documentos deste acervo está condicionado ao compromisso de não repassá-los a terceiros, à obrigatoriedade de mencionar que os originais pertencem ao </t>
    </r>
    <r>
      <rPr>
        <rFont val="Roboto"/>
        <color rgb="FFFF0000"/>
        <sz val="12.0"/>
      </rPr>
      <t>GPDVE (?)</t>
    </r>
    <r>
      <rPr>
        <rFont val="Roboto"/>
        <color theme="1"/>
        <sz val="12.0"/>
      </rPr>
      <t xml:space="preserve">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</t>
    </r>
    <r>
      <rPr>
        <rFont val="Roboto"/>
        <color rgb="FFFF0000"/>
        <sz val="12.0"/>
      </rPr>
      <t>GPDVE</t>
    </r>
    <r>
      <rPr>
        <rFont val="Roboto"/>
        <color theme="1"/>
        <sz val="12.0"/>
      </rPr>
      <t xml:space="preserve"> de qualquer responsabilidade.</t>
    </r>
  </si>
  <si>
    <t>Casa de Detenção de São Paulo; Carandiru; Filme; 1928; Penitenciária do Estado</t>
  </si>
  <si>
    <t>Filmográfico</t>
  </si>
  <si>
    <t xml:space="preserve">O documentário intitulado "Carandiru: um filme de Hector Bebenco" apresenta relatos de Drazio Varella, atores e produtores. Focado em mostrar o processo autoral e divergências quanto ao livro em que é inspirado (Estação Carandiru de Drauzio Varella). Atores contam das inseguranças e desafios na representação de seus personagens. </t>
  </si>
  <si>
    <t>Possivelmente, filmagem digital ou vídeo digital. Optou-se por "não determinado" por incerteza quanto ao processo da técnica.</t>
  </si>
  <si>
    <r>
      <rPr>
        <rFont val="Roboto"/>
        <color theme="1"/>
        <sz val="12.0"/>
      </rPr>
      <t xml:space="preserve">O acesso aos documentos deste acervo está condicionado ao compromisso de não repassá-los a terceiros, à obrigatoriedade de mencionar que os originais pertencem ao </t>
    </r>
    <r>
      <rPr>
        <rFont val="Roboto"/>
        <color rgb="FFFF0000"/>
        <sz val="12.0"/>
      </rPr>
      <t>GPDVE (?)</t>
    </r>
    <r>
      <rPr>
        <rFont val="Roboto"/>
        <color theme="1"/>
        <sz val="12.0"/>
      </rPr>
      <t xml:space="preserve">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</t>
    </r>
    <r>
      <rPr>
        <rFont val="Roboto"/>
        <color rgb="FFFF0000"/>
        <sz val="12.0"/>
      </rPr>
      <t>GPDVE</t>
    </r>
    <r>
      <rPr>
        <rFont val="Roboto"/>
        <color theme="1"/>
        <sz val="12.0"/>
      </rPr>
      <t xml:space="preserve"> de qualquer responsabilidade.</t>
    </r>
  </si>
  <si>
    <r>
      <rPr>
        <rFont val="Roboto"/>
        <color theme="1"/>
        <sz val="12.0"/>
      </rPr>
      <t xml:space="preserve">O acesso aos documentos deste acervo está condicionado ao compromisso de não repassá-los a terceiros, à obrigatoriedade de mencionar que os originais pertencem ao </t>
    </r>
    <r>
      <rPr>
        <rFont val="Roboto"/>
        <color rgb="FFFF0000"/>
        <sz val="12.0"/>
      </rPr>
      <t>GPDVE (?)</t>
    </r>
    <r>
      <rPr>
        <rFont val="Roboto"/>
        <color theme="1"/>
        <sz val="12.0"/>
      </rPr>
      <t xml:space="preserve">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</t>
    </r>
    <r>
      <rPr>
        <rFont val="Roboto"/>
        <color rgb="FFFF0000"/>
        <sz val="12.0"/>
      </rPr>
      <t>GPDVE</t>
    </r>
    <r>
      <rPr>
        <rFont val="Roboto"/>
        <color theme="1"/>
        <sz val="12.0"/>
      </rPr>
      <t xml:space="preserve"> de qualquer responsabilidade.</t>
    </r>
  </si>
  <si>
    <t>Este item pertencia à pasta intitulada "Carandiru - disco 2".</t>
  </si>
  <si>
    <t>Este item pertencia à pasta intitulada "Carandiru - disco 2".
Trasncrição das telas do documentário-mudo: Transcrição das relas de texto do filme entre aspas, na sequência em que aparecem:  
"Depois, o barbeiro rapal-lho bigode e corta-lhe o cabelo à escovinha". 
"Fornece-lhe uma escova para os dents dá-lhe conselhos praticos sobre hygiene buccal". 
"Os que trabalham no campo, fazem sua refeição ao ar livre". 
"Às 11:30 voltam os presidiários às officinas até às 16:30, hora do jantar, e às 18 horas entram no regimem de instrucção que é obrigatória". 
"Tambem recebem a visita de suas familias, aquelles que merecem essa concessão pelo bom comportamento".
"O regimem de instrucção é composto de 6 classes de alphabetização, de 50 alumnos cada uma; 
1 classe de desenho industrial e architecctonico, com 60 alumnos; 
e 1 classe de theoria e pratica de Musica e Cantos coraes, com 200 alumnos". 
"A escola primaria. Lição de dictado". 
"Aula de desenho industrial e figurado". 
"A titulo, ainda, de recompensa, têm horas de recreio nos pateos, lembrando a vida collegial". 
"De resto, a penitenciaria de São Paulo não é mais do que uma grande casa de reeducação do delinquente até a sua completa regeneração". 
"O livramento condicional que constitue o 4º. periodo da pena é concedido pela Justiça Criminal, em virtude de solicitação do Conselho Penitenciário, composto de juristas e medicos....". 
"...notáveis, àquelles sentenciados que, pela sua excelente conducta, applicação em trabalh oe aproveitamento nos estudos por mais de 2/3 de sua pena, haja adquirido esse direito". 
"Pelo livramento condicional pode o sentenciado residir em sua casa com sua família e trabalhar onde queira, vivendo como homem livre, apenas sob fiscalização discreta do poder público". 
"Na Penitenciaria de São Paulo existe uma biliotheca de 7.000 volumes de livros moraes, educativos e instructivos para uso dos sentenciados". 
"Funcciona no estabelecimento uma escola de educação physica, dirigida por um official graduado da Força Pública e na qual estão matriculados todos os sentenciados, divididos em 5 series de accordo com a robustez physica de cada um, classificado pelo corpo clínico da Penitenciária". 
"Os exercicios physicos às quintas-feitas e domingos". 
"Gymnastica Succa". 
"Gymnastica Brasil conjugada". 
"Bailados gymnasticos". 
"... no extenso parque são tratados, com esmero, o pomar e a horta, cujos productos constituem parte da alimentação dos presidiários".</t>
  </si>
  <si>
    <t>Slideshow de fotos da produção do filme Carandiru, com trilha sonora</t>
  </si>
  <si>
    <t xml:space="preserve">Slideshow de fotos da produção do filme Carandiru (por Hector Bebenco), com trilha sonora. Inclui também uma charge intitulada "Recado da Produção" sobre a importância do uso de camisinha em relações sexuais, possivelmente ligada à campanha de prevenção contra a HIV/AIDS que era uma política muito forte à época. </t>
  </si>
  <si>
    <r>
      <rPr>
        <rFont val="Roboto"/>
        <color theme="1"/>
        <sz val="12.0"/>
      </rPr>
      <t xml:space="preserve">O acesso aos documentos deste acervo está condicionado ao compromisso de não repassá-los a terceiros, à obrigatoriedade de mencionar que os originais pertencem ao </t>
    </r>
    <r>
      <rPr>
        <rFont val="Roboto"/>
        <color rgb="FFFF0000"/>
        <sz val="12.0"/>
      </rPr>
      <t>GPDVE (?)</t>
    </r>
    <r>
      <rPr>
        <rFont val="Roboto"/>
        <color theme="1"/>
        <sz val="12.0"/>
      </rPr>
      <t xml:space="preserve">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</t>
    </r>
    <r>
      <rPr>
        <rFont val="Roboto"/>
        <color rgb="FFFF0000"/>
        <sz val="12.0"/>
      </rPr>
      <t>GPDVE</t>
    </r>
    <r>
      <rPr>
        <rFont val="Roboto"/>
        <color theme="1"/>
        <sz val="12.0"/>
      </rPr>
      <t xml:space="preserve"> de qualquer responsabilidade.</t>
    </r>
  </si>
  <si>
    <t>Coletânea audiovisual sobre o complexo do Carandiru (documentários)</t>
  </si>
  <si>
    <t>Conjunto</t>
  </si>
  <si>
    <t>Designação do conjunto documental (FUNDO)</t>
  </si>
  <si>
    <t>--</t>
  </si>
  <si>
    <t>A direção de arte do filme Carandiru por Monica Delfino</t>
  </si>
  <si>
    <t>Originalmente DVD (suporte físico óptico).</t>
  </si>
  <si>
    <t>Conteúdo</t>
  </si>
  <si>
    <t>Obrigatório</t>
  </si>
  <si>
    <t>DVD contendo uma miscelânea de registros audiovisuais e iconográficos. Inclui: 1. Documentários sobre a produção e os bastidores (making of) do longa-metragem "Carandiru"; 2. Apresentação de slides contendo fotografias históricas e charges; 3. Registro documental histórico sobre a Penitenciária do Estado de São Paulo, datado de 1928.</t>
  </si>
  <si>
    <r>
      <rPr>
        <rFont val="Roboto"/>
        <color theme="1"/>
        <sz val="12.0"/>
      </rPr>
      <t xml:space="preserve">O acesso aos documentos deste acervo está condicionado ao compromisso de não repassá-los a terceiros, à obrigatoriedade de mencionar que os originais pertencem ao </t>
    </r>
    <r>
      <rPr>
        <rFont val="Roboto"/>
        <color rgb="FFFF0000"/>
        <sz val="12.0"/>
      </rPr>
      <t>GPDVE (?)</t>
    </r>
    <r>
      <rPr>
        <rFont val="Roboto"/>
        <color theme="1"/>
        <sz val="12.0"/>
      </rPr>
      <t xml:space="preserve">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</t>
    </r>
    <r>
      <rPr>
        <rFont val="Roboto"/>
        <color rgb="FFFF0000"/>
        <sz val="12.0"/>
      </rPr>
      <t>GPDVE</t>
    </r>
    <r>
      <rPr>
        <rFont val="Roboto"/>
        <color theme="1"/>
        <sz val="12.0"/>
      </rPr>
      <t xml:space="preserve"> de qualquer responsabilidade.</t>
    </r>
  </si>
  <si>
    <t>Opcional</t>
  </si>
  <si>
    <t xml:space="preserve">Este conteúdo é parte do tratamento que consistiu na junção de clipes do DVD que introduziam o primeiro vídeo. O tema central é o processo de produção do filme Carandiru (dirigido por Hector Bebenco). Ele inclui o menu do DVD, seguido por longa tela preta com trilha sonora de fundo, vinheta da Columbia Tristar e advertência sobre direitos autorais. Em seguida, pode-se notar um trailer com cenas pontuais finalizadas. Depois, processo de composição da trilha sonora. Preparação do elenco: ensaios e estudos. E então iniciam-se os relatos dos atores, do Drauzio Varella e dos diretores de produção. </t>
  </si>
  <si>
    <r>
      <rPr>
        <rFont val="Roboto"/>
        <color theme="1"/>
        <sz val="12.0"/>
      </rPr>
      <t xml:space="preserve">O acesso aos documentos deste acervo está condicionado ao compromisso de não repassá-los a terceiros, à obrigatoriedade de mencionar que os originais pertencem ao </t>
    </r>
    <r>
      <rPr>
        <rFont val="Roboto"/>
        <color rgb="FFFF0000"/>
        <sz val="12.0"/>
      </rPr>
      <t>GPDVE (?)</t>
    </r>
    <r>
      <rPr>
        <rFont val="Roboto"/>
        <color theme="1"/>
        <sz val="12.0"/>
      </rPr>
      <t xml:space="preserve">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</t>
    </r>
    <r>
      <rPr>
        <rFont val="Roboto"/>
        <color rgb="FFFF0000"/>
        <sz val="12.0"/>
      </rPr>
      <t>GPDVE</t>
    </r>
    <r>
      <rPr>
        <rFont val="Roboto"/>
        <color theme="1"/>
        <sz val="12.0"/>
      </rPr>
      <t xml:space="preserve"> de qualquer responsabilidade.</t>
    </r>
  </si>
  <si>
    <t>Filmes</t>
  </si>
  <si>
    <t>Brasil</t>
  </si>
  <si>
    <t>São Paulo</t>
  </si>
  <si>
    <t>Penitenciária do Estado em 1928 - Casa de Detenção Carandiru
Direção de Arte do filme Carandiru - Casa de Detenção Carandiru
Slideshow e charge - Casa de Detenção Carandiru
Bastidores do filme Carandiru - Casa de Detenção Carandiru
Filmes de Hector Bebenco - Casa de Detenção Carandiru
Original DVD - Casa de Detenção Carandiru</t>
  </si>
  <si>
    <t>Filme</t>
  </si>
  <si>
    <t>Não determinado</t>
  </si>
  <si>
    <t>Derivada tratada (tratamento conhecido) 
Derivada tratada (tratamento desconhecido)</t>
  </si>
  <si>
    <t>Pasta</t>
  </si>
  <si>
    <t>GPDVE</t>
  </si>
  <si>
    <t>PENITESTADO1928-CSDTCARANDIRU
DIRARTECARANDIRU-CSDTCARANDIRU
SLIDESHOWCHARGE-CSDTCARANDIRU
BASTIDFLMCARANDIRU-CSDTCARANDIRU
FLMSHECTORBABENCO-CSDTCARANDIRU
ORIGINALDVD-CSDTCARANDIRU</t>
  </si>
  <si>
    <t>DT1
DTX</t>
  </si>
  <si>
    <t>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</si>
</sst>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d/MM/yyyy"/>
  </numFmts>
  <fonts count="3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/>
    <font>
      <color rgb="FF0000FF"/>
      <name val="Arial"/>
    </font>
    <font>
      <color theme="4"/>
      <name val="Roboto Mono"/>
    </font>
    <font>
      <color rgb="FF000000"/>
      <name val="Roboto Mono"/>
    </font>
    <font>
      <color rgb="FF990000"/>
      <name val="Roboto Mono"/>
    </font>
    <font>
      <color rgb="FF351C75"/>
      <name val="Roboto Mono"/>
    </font>
    <font>
      <color rgb="FF34A853"/>
      <name val="Roboto Mono"/>
    </font>
    <font>
      <color rgb="FFEA4335"/>
      <name val="Roboto Mono"/>
    </font>
    <font>
      <color rgb="FF073763"/>
      <name val="Roboto Mono"/>
    </font>
    <font>
      <color rgb="FF0000FF"/>
      <name val="Roboto Mono"/>
    </font>
    <font>
      <color rgb="FF9900FF"/>
      <name val="Roboto Mono"/>
    </font>
    <font>
      <color rgb="FF38761D"/>
      <name val="Roboto Mono"/>
    </font>
    <font>
      <color rgb="FF980000"/>
      <name val="Roboto Mono"/>
    </font>
    <font>
      <color rgb="FFFF00FF"/>
      <name val="Roboto Mono"/>
    </font>
    <font>
      <color rgb="FFFF0000"/>
      <name val="Roboto Mono"/>
    </font>
    <font>
      <color rgb="FFFF9900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sz val="12.0"/>
      <color rgb="FF000000"/>
      <name val="Roboto"/>
    </font>
    <font>
      <sz val="12.0"/>
      <color theme="1"/>
      <name val="Roboto"/>
    </font>
    <font>
      <sz val="12.0"/>
      <color rgb="FFFF9900"/>
      <name val="Roboto"/>
    </font>
    <font>
      <sz val="12.0"/>
      <color rgb="FF028BCD"/>
      <name val="Roboto"/>
    </font>
    <font>
      <sz val="12.0"/>
      <color rgb="FFFF0000"/>
      <name val="Roboto"/>
    </font>
    <font>
      <sz val="11.0"/>
      <color theme="1"/>
      <name val="Cardo"/>
    </font>
    <font>
      <sz val="10.0"/>
      <color theme="1"/>
      <name val="Cardo"/>
    </font>
    <font>
      <sz val="11.0"/>
      <color rgb="FF000000"/>
      <name val="Cardo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</fills>
  <borders count="12">
    <border/>
    <border>
      <bottom style="thick">
        <color rgb="FF999999"/>
      </bottom>
    </border>
    <border>
      <right style="thin">
        <color rgb="FF999999"/>
      </right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</border>
    <border>
      <bottom style="thin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right style="thick">
        <color rgb="FF999999"/>
      </right>
    </border>
    <border>
      <left style="thick">
        <color rgb="FF999999"/>
      </left>
      <right style="thick">
        <color rgb="FF999999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2" fontId="5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12" numFmtId="49" xfId="0" applyAlignment="1" applyFont="1" applyNumberFormat="1">
      <alignment horizontal="center" readingOrder="0"/>
    </xf>
    <xf borderId="2" fillId="0" fontId="13" numFmtId="49" xfId="0" applyAlignment="1" applyBorder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49" xfId="0" applyAlignment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0" fontId="16" numFmtId="49" xfId="0" applyAlignment="1" applyFont="1" applyNumberFormat="1">
      <alignment horizontal="center" readingOrder="0"/>
    </xf>
    <xf borderId="0" fillId="0" fontId="17" numFmtId="0" xfId="0" applyAlignment="1" applyFont="1">
      <alignment horizontal="center"/>
    </xf>
    <xf borderId="0" fillId="0" fontId="13" numFmtId="49" xfId="0" applyAlignment="1" applyFont="1" applyNumberFormat="1">
      <alignment horizontal="center" readingOrder="0"/>
    </xf>
    <xf borderId="0" fillId="0" fontId="18" numFmtId="0" xfId="0" applyAlignment="1" applyFont="1">
      <alignment horizontal="center"/>
    </xf>
    <xf borderId="0" fillId="0" fontId="19" numFmtId="49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3" fillId="0" fontId="20" numFmtId="0" xfId="0" applyAlignment="1" applyBorder="1" applyFont="1">
      <alignment horizontal="center" vertical="center"/>
    </xf>
    <xf borderId="0" fillId="3" fontId="21" numFmtId="0" xfId="0" applyAlignment="1" applyFill="1" applyFont="1">
      <alignment horizontal="center" shrinkToFit="0" vertical="center" wrapText="1"/>
    </xf>
    <xf borderId="0" fillId="4" fontId="21" numFmtId="0" xfId="0" applyAlignment="1" applyFill="1" applyFont="1">
      <alignment horizontal="center" vertical="center"/>
    </xf>
    <xf borderId="0" fillId="4" fontId="21" numFmtId="0" xfId="0" applyAlignment="1" applyFill="1" applyFont="1">
      <alignment horizontal="center" readingOrder="0" shrinkToFit="0" vertical="center" wrapText="1"/>
    </xf>
    <xf borderId="0" fillId="4" fontId="21" numFmtId="0" xfId="0" applyAlignment="1" applyFill="1" applyFont="1">
      <alignment horizontal="center" readingOrder="0" vertical="center"/>
    </xf>
    <xf borderId="0" fillId="4" fontId="21" numFmtId="0" xfId="0" applyAlignment="1" applyFill="1" applyFont="1">
      <alignment horizontal="center" shrinkToFit="0" vertical="center" wrapText="1"/>
    </xf>
    <xf borderId="0" fillId="3" fontId="21" numFmtId="0" xfId="0" applyAlignment="1" applyFill="1" applyFont="1">
      <alignment horizontal="center" vertical="center"/>
    </xf>
    <xf borderId="0" fillId="5" fontId="21" numFmtId="0" xfId="0" applyAlignment="1" applyFill="1" applyFont="1">
      <alignment horizontal="center" shrinkToFit="0" vertical="center" wrapText="1"/>
    </xf>
    <xf borderId="0" fillId="3" fontId="22" numFmtId="0" xfId="0" applyAlignment="1" applyFill="1" applyFont="1">
      <alignment horizontal="center" vertical="center"/>
    </xf>
    <xf borderId="4" fillId="2" fontId="20" numFmtId="0" xfId="0" applyAlignment="1" applyBorder="1" applyFill="1" applyFont="1">
      <alignment horizontal="center" vertical="center"/>
    </xf>
    <xf borderId="5" fillId="0" fontId="23" numFmtId="0" xfId="0" applyAlignment="1" applyBorder="1" applyFont="1">
      <alignment readingOrder="0" shrinkToFit="0" vertical="center" wrapText="1"/>
    </xf>
    <xf borderId="5" fillId="0" fontId="24" numFmtId="0" xfId="0" applyAlignment="1" applyBorder="1" applyFont="1">
      <alignment horizontal="center" vertical="center"/>
    </xf>
    <xf borderId="5" fillId="0" fontId="25" numFmtId="0" xfId="0" applyAlignment="1" applyBorder="1" applyFont="1">
      <alignment horizontal="center" vertical="center"/>
    </xf>
    <xf borderId="5" fillId="0" fontId="23" numFmtId="164" xfId="0" applyAlignment="1" applyBorder="1" applyFont="1" applyNumberFormat="1">
      <alignment horizontal="center" readingOrder="0" shrinkToFit="0" vertical="center" wrapText="1"/>
    </xf>
    <xf borderId="5" fillId="0" fontId="26" numFmtId="165" xfId="0" applyAlignment="1" applyBorder="1" applyFont="1" applyNumberFormat="1">
      <alignment horizontal="center" readingOrder="0" vertical="center"/>
    </xf>
    <xf borderId="5" fillId="0" fontId="24" numFmtId="0" xfId="0" applyAlignment="1" applyBorder="1" applyFont="1">
      <alignment horizontal="left" readingOrder="0" shrinkToFit="0" vertical="center" wrapText="1"/>
    </xf>
    <xf borderId="5" fillId="0" fontId="26" numFmtId="164" xfId="0" applyAlignment="1" applyBorder="1" applyFont="1" applyNumberFormat="1">
      <alignment horizontal="center" readingOrder="0" shrinkToFit="0" vertical="center" wrapText="1"/>
    </xf>
    <xf borderId="5" fillId="0" fontId="24" numFmtId="0" xfId="0" applyAlignment="1" applyBorder="1" applyFont="1">
      <alignment horizontal="center" readingOrder="0" shrinkToFit="0" vertical="center" wrapText="1"/>
    </xf>
    <xf borderId="5" fillId="0" fontId="24" numFmtId="0" xfId="0" applyAlignment="1" applyBorder="1" applyFont="1">
      <alignment shrinkToFit="0" vertical="center" wrapText="1"/>
    </xf>
    <xf borderId="5" fillId="0" fontId="23" numFmtId="0" xfId="0" applyAlignment="1" applyBorder="1" applyFont="1">
      <alignment horizontal="center" shrinkToFit="0" vertical="center" wrapText="1"/>
    </xf>
    <xf borderId="5" fillId="0" fontId="23" numFmtId="0" xfId="0" applyAlignment="1" applyBorder="1" applyFont="1">
      <alignment horizontal="center" readingOrder="0" shrinkToFit="0" vertical="center" wrapText="1"/>
    </xf>
    <xf borderId="5" fillId="6" fontId="20" numFmtId="0" xfId="0" applyAlignment="1" applyBorder="1" applyFill="1" applyFont="1">
      <alignment horizontal="center" shrinkToFit="0" vertical="center" wrapText="1"/>
    </xf>
    <xf borderId="5" fillId="0" fontId="27" numFmtId="0" xfId="0" applyAlignment="1" applyBorder="1" applyFont="1">
      <alignment horizontal="center" readingOrder="0" shrinkToFit="0" vertical="center" wrapText="1"/>
    </xf>
    <xf borderId="5" fillId="0" fontId="24" numFmtId="0" xfId="0" applyAlignment="1" applyBorder="1" applyFont="1">
      <alignment readingOrder="0" shrinkToFit="0" vertical="center" wrapText="1"/>
    </xf>
    <xf borderId="5" fillId="6" fontId="24" numFmtId="0" xfId="0" applyAlignment="1" applyBorder="1" applyFill="1" applyFont="1">
      <alignment horizontal="left" shrinkToFit="0" vertical="center" wrapText="1"/>
    </xf>
    <xf borderId="5" fillId="6" fontId="24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vertical="center"/>
    </xf>
    <xf borderId="6" fillId="2" fontId="28" numFmtId="0" xfId="0" applyAlignment="1" applyBorder="1" applyFill="1" applyFont="1">
      <alignment horizontal="center" shrinkToFit="0" vertical="center" wrapText="1"/>
    </xf>
    <xf borderId="7" fillId="2" fontId="28" numFmtId="0" xfId="0" applyAlignment="1" applyBorder="1" applyFill="1" applyFont="1">
      <alignment horizontal="center" shrinkToFit="0" vertical="center" wrapText="1"/>
    </xf>
    <xf borderId="5" fillId="0" fontId="24" numFmtId="0" xfId="0" applyAlignment="1" applyBorder="1" applyFont="1">
      <alignment horizontal="center" readingOrder="0" vertical="center"/>
    </xf>
    <xf borderId="5" fillId="0" fontId="26" numFmtId="0" xfId="0" applyAlignment="1" applyBorder="1" applyFont="1">
      <alignment horizontal="center" readingOrder="0" shrinkToFit="0" vertical="center" wrapText="1"/>
    </xf>
    <xf borderId="8" fillId="2" fontId="28" numFmtId="0" xfId="0" applyAlignment="1" applyBorder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9" fillId="0" fontId="28" numFmtId="0" xfId="0" applyAlignment="1" applyBorder="1" applyFont="1">
      <alignment horizontal="center" shrinkToFit="0" vertical="center" wrapText="1"/>
    </xf>
    <xf borderId="3" fillId="2" fontId="28" numFmtId="0" xfId="0" applyAlignment="1" applyBorder="1" applyFill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10" fillId="0" fontId="4" numFmtId="0" xfId="0" applyBorder="1" applyFont="1"/>
    <xf borderId="1" fillId="7" fontId="28" numFmtId="0" xfId="0" applyAlignment="1" applyBorder="1" applyFill="1" applyFont="1">
      <alignment horizontal="center" shrinkToFit="0" vertical="center" wrapText="1"/>
    </xf>
    <xf borderId="1" fillId="7" fontId="28" numFmtId="0" xfId="0" applyAlignment="1" applyBorder="1" applyFill="1" applyFont="1">
      <alignment horizontal="center" readingOrder="0" shrinkToFit="0" vertical="center" wrapText="1"/>
    </xf>
    <xf borderId="1" fillId="7" fontId="30" numFmtId="0" xfId="0" applyAlignment="1" applyBorder="1" applyFill="1" applyFont="1">
      <alignment horizontal="center" readingOrder="0" shrinkToFit="0" vertical="center" wrapText="1"/>
    </xf>
    <xf borderId="11" fillId="7" fontId="28" numFmtId="49" xfId="0" applyAlignment="1" applyBorder="1" applyFill="1" applyFont="1" applyNumberFormat="1">
      <alignment horizontal="center" readingOrder="0" shrinkToFit="0" vertical="center" wrapText="1"/>
    </xf>
    <xf borderId="0" fillId="0" fontId="29" numFmtId="0" xfId="0" applyFont="1"/>
    <xf borderId="0" fillId="0" fontId="29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63"/>
    <col customWidth="1" min="3" max="3" width="1.75"/>
    <col customWidth="1" min="4" max="4" width="8.63"/>
    <col customWidth="1" min="6" max="6" width="2.38"/>
    <col customWidth="1" min="8" max="8" width="2.63"/>
    <col customWidth="1" min="9" max="9" width="33.5"/>
    <col customWidth="1" min="10" max="10" width="1.88"/>
    <col customWidth="1" min="12" max="12" width="1.88"/>
    <col customWidth="1" min="14" max="14" width="1.88"/>
    <col customWidth="1" min="15" max="15" width="11.63"/>
    <col customWidth="1" min="16" max="16" width="1.88"/>
    <col customWidth="1" min="17" max="17" width="11.88"/>
    <col customWidth="1" min="18" max="18" width="1.88"/>
    <col customWidth="1" min="19" max="19" width="14.63"/>
    <col customWidth="1" min="20" max="20" width="8.75"/>
    <col customWidth="1" min="21" max="21" width="7.38"/>
  </cols>
  <sheetData>
    <row r="1" ht="50.25" customHeight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3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5"/>
      <c r="W1" s="6"/>
    </row>
    <row r="2" ht="15.75" customHeight="1">
      <c r="A2" s="7">
        <v>1.0</v>
      </c>
      <c r="B2" s="8" t="s">
        <v>10</v>
      </c>
      <c r="C2" s="9" t="s">
        <v>11</v>
      </c>
      <c r="D2" s="8" t="s">
        <v>12</v>
      </c>
      <c r="E2" s="10" t="s">
        <v>13</v>
      </c>
      <c r="F2" s="9" t="s">
        <v>14</v>
      </c>
      <c r="G2" s="11" t="s">
        <v>15</v>
      </c>
      <c r="H2" s="9" t="s">
        <v>11</v>
      </c>
      <c r="I2" s="12" t="s">
        <v>16</v>
      </c>
      <c r="J2" s="9" t="s">
        <v>14</v>
      </c>
      <c r="K2" s="13" t="s">
        <v>17</v>
      </c>
      <c r="L2" s="14" t="s">
        <v>11</v>
      </c>
      <c r="M2" s="13" t="s">
        <v>18</v>
      </c>
      <c r="N2" s="14" t="s">
        <v>11</v>
      </c>
      <c r="O2" s="13" t="s">
        <v>19</v>
      </c>
      <c r="P2" s="14" t="s">
        <v>11</v>
      </c>
      <c r="Q2" s="13" t="s">
        <v>20</v>
      </c>
      <c r="R2" s="9" t="s">
        <v>14</v>
      </c>
      <c r="S2" s="15" t="s">
        <v>21</v>
      </c>
      <c r="T2" s="15"/>
      <c r="U2" s="16" t="s">
        <v>22</v>
      </c>
    </row>
    <row r="3" ht="15.75" customHeight="1">
      <c r="A3" s="17">
        <v>2.0</v>
      </c>
      <c r="B3" s="8" t="s">
        <v>10</v>
      </c>
      <c r="C3" s="9" t="s">
        <v>11</v>
      </c>
      <c r="D3" s="8" t="s">
        <v>12</v>
      </c>
      <c r="E3" s="10" t="s">
        <v>13</v>
      </c>
      <c r="F3" s="9" t="s">
        <v>14</v>
      </c>
      <c r="G3" s="11" t="s">
        <v>15</v>
      </c>
      <c r="H3" s="9" t="s">
        <v>11</v>
      </c>
      <c r="I3" s="18" t="s">
        <v>23</v>
      </c>
      <c r="J3" s="9" t="s">
        <v>14</v>
      </c>
      <c r="K3" s="13" t="s">
        <v>17</v>
      </c>
      <c r="L3" s="14" t="s">
        <v>11</v>
      </c>
      <c r="M3" s="13" t="s">
        <v>18</v>
      </c>
      <c r="N3" s="14" t="s">
        <v>11</v>
      </c>
      <c r="O3" s="13" t="s">
        <v>19</v>
      </c>
      <c r="P3" s="14" t="s">
        <v>11</v>
      </c>
      <c r="Q3" s="13" t="s">
        <v>20</v>
      </c>
      <c r="R3" s="9" t="s">
        <v>14</v>
      </c>
      <c r="S3" s="19" t="s">
        <v>21</v>
      </c>
      <c r="T3" s="19"/>
      <c r="U3" s="16" t="s">
        <v>22</v>
      </c>
    </row>
    <row r="4" ht="15.75" customHeight="1">
      <c r="A4" s="7">
        <v>3.0</v>
      </c>
      <c r="B4" s="8" t="s">
        <v>10</v>
      </c>
      <c r="C4" s="9" t="s">
        <v>11</v>
      </c>
      <c r="D4" s="8" t="s">
        <v>12</v>
      </c>
      <c r="E4" s="10" t="s">
        <v>13</v>
      </c>
      <c r="F4" s="9" t="s">
        <v>14</v>
      </c>
      <c r="G4" s="11" t="s">
        <v>15</v>
      </c>
      <c r="H4" s="9" t="s">
        <v>11</v>
      </c>
      <c r="I4" s="20" t="s">
        <v>24</v>
      </c>
      <c r="J4" s="9" t="s">
        <v>14</v>
      </c>
      <c r="K4" s="13" t="s">
        <v>17</v>
      </c>
      <c r="L4" s="14" t="s">
        <v>11</v>
      </c>
      <c r="M4" s="13" t="s">
        <v>18</v>
      </c>
      <c r="N4" s="14" t="s">
        <v>11</v>
      </c>
      <c r="O4" s="13" t="s">
        <v>19</v>
      </c>
      <c r="P4" s="14" t="s">
        <v>11</v>
      </c>
      <c r="Q4" s="13" t="s">
        <v>20</v>
      </c>
      <c r="R4" s="9" t="s">
        <v>14</v>
      </c>
      <c r="S4" s="21" t="s">
        <v>21</v>
      </c>
      <c r="T4" s="21"/>
      <c r="U4" s="16" t="s">
        <v>22</v>
      </c>
    </row>
    <row r="5" ht="15.75" customHeight="1">
      <c r="A5" s="17">
        <v>4.0</v>
      </c>
      <c r="B5" s="8" t="s">
        <v>10</v>
      </c>
      <c r="C5" s="9" t="s">
        <v>11</v>
      </c>
      <c r="D5" s="8" t="s">
        <v>12</v>
      </c>
      <c r="E5" s="10" t="s">
        <v>13</v>
      </c>
      <c r="F5" s="9" t="s">
        <v>14</v>
      </c>
      <c r="G5" s="11" t="s">
        <v>15</v>
      </c>
      <c r="H5" s="9" t="s">
        <v>11</v>
      </c>
      <c r="I5" s="22" t="s">
        <v>25</v>
      </c>
      <c r="J5" s="9" t="s">
        <v>14</v>
      </c>
      <c r="K5" s="13" t="s">
        <v>17</v>
      </c>
      <c r="L5" s="14" t="s">
        <v>11</v>
      </c>
      <c r="M5" s="13" t="s">
        <v>18</v>
      </c>
      <c r="N5" s="14" t="s">
        <v>11</v>
      </c>
      <c r="O5" s="13" t="s">
        <v>19</v>
      </c>
      <c r="P5" s="14" t="s">
        <v>11</v>
      </c>
      <c r="Q5" s="13" t="s">
        <v>20</v>
      </c>
      <c r="R5" s="9" t="s">
        <v>14</v>
      </c>
      <c r="S5" s="23" t="s">
        <v>21</v>
      </c>
      <c r="T5" s="23"/>
      <c r="U5" s="16" t="s">
        <v>22</v>
      </c>
    </row>
    <row r="6" ht="15.75" customHeight="1">
      <c r="A6" s="7">
        <v>5.0</v>
      </c>
      <c r="B6" s="8" t="s">
        <v>10</v>
      </c>
      <c r="C6" s="9" t="s">
        <v>11</v>
      </c>
      <c r="D6" s="8" t="s">
        <v>12</v>
      </c>
      <c r="E6" s="10" t="s">
        <v>13</v>
      </c>
      <c r="F6" s="24" t="s">
        <v>14</v>
      </c>
      <c r="G6" s="11" t="s">
        <v>15</v>
      </c>
      <c r="H6" s="9" t="s">
        <v>11</v>
      </c>
      <c r="I6" s="12" t="s">
        <v>26</v>
      </c>
      <c r="J6" s="9" t="s">
        <v>14</v>
      </c>
      <c r="K6" s="13" t="s">
        <v>17</v>
      </c>
      <c r="L6" s="14" t="s">
        <v>11</v>
      </c>
      <c r="M6" s="13" t="s">
        <v>18</v>
      </c>
      <c r="N6" s="14" t="s">
        <v>11</v>
      </c>
      <c r="O6" s="13" t="s">
        <v>19</v>
      </c>
      <c r="P6" s="14" t="s">
        <v>11</v>
      </c>
      <c r="Q6" s="13" t="s">
        <v>20</v>
      </c>
      <c r="R6" s="9" t="s">
        <v>14</v>
      </c>
      <c r="S6" s="25" t="s">
        <v>21</v>
      </c>
      <c r="T6" s="25"/>
      <c r="U6" s="16" t="s">
        <v>22</v>
      </c>
    </row>
    <row r="7" ht="15.75" customHeight="1">
      <c r="A7" s="17">
        <v>6.0</v>
      </c>
      <c r="B7" s="8" t="s">
        <v>10</v>
      </c>
      <c r="C7" s="9" t="s">
        <v>11</v>
      </c>
      <c r="D7" s="8" t="s">
        <v>12</v>
      </c>
      <c r="E7" s="10" t="s">
        <v>13</v>
      </c>
      <c r="F7" s="9" t="s">
        <v>14</v>
      </c>
      <c r="G7" s="11" t="s">
        <v>15</v>
      </c>
      <c r="H7" s="9" t="s">
        <v>11</v>
      </c>
      <c r="I7" s="26" t="s">
        <v>27</v>
      </c>
      <c r="J7" s="9" t="s">
        <v>14</v>
      </c>
      <c r="K7" s="13" t="s">
        <v>17</v>
      </c>
      <c r="L7" s="14" t="s">
        <v>11</v>
      </c>
      <c r="M7" s="13" t="s">
        <v>18</v>
      </c>
      <c r="N7" s="14" t="s">
        <v>11</v>
      </c>
      <c r="O7" s="13" t="s">
        <v>19</v>
      </c>
      <c r="P7" s="14" t="s">
        <v>11</v>
      </c>
      <c r="Q7" s="13" t="s">
        <v>28</v>
      </c>
      <c r="R7" s="9" t="s">
        <v>14</v>
      </c>
      <c r="S7" s="15" t="s">
        <v>21</v>
      </c>
      <c r="T7" s="15" t="s">
        <v>29</v>
      </c>
      <c r="U7" s="16" t="s">
        <v>30</v>
      </c>
    </row>
    <row r="8" ht="15.75" customHeight="1">
      <c r="A8" s="7">
        <v>7.0</v>
      </c>
      <c r="B8" s="8" t="s">
        <v>10</v>
      </c>
      <c r="C8" s="9" t="s">
        <v>11</v>
      </c>
      <c r="D8" s="8" t="s">
        <v>12</v>
      </c>
      <c r="E8" s="10" t="s">
        <v>13</v>
      </c>
      <c r="F8" s="9" t="s">
        <v>14</v>
      </c>
      <c r="G8" s="11" t="s">
        <v>15</v>
      </c>
      <c r="H8" s="9" t="s">
        <v>11</v>
      </c>
      <c r="I8" s="26" t="s">
        <v>27</v>
      </c>
      <c r="J8" s="9" t="s">
        <v>14</v>
      </c>
      <c r="K8" s="13" t="s">
        <v>17</v>
      </c>
      <c r="L8" s="14" t="s">
        <v>11</v>
      </c>
      <c r="M8" s="13" t="s">
        <v>18</v>
      </c>
      <c r="N8" s="14" t="s">
        <v>11</v>
      </c>
      <c r="O8" s="13" t="s">
        <v>19</v>
      </c>
      <c r="P8" s="14" t="s">
        <v>11</v>
      </c>
      <c r="Q8" s="13" t="s">
        <v>28</v>
      </c>
      <c r="R8" s="9" t="s">
        <v>14</v>
      </c>
      <c r="S8" s="15" t="s">
        <v>21</v>
      </c>
      <c r="T8" s="15" t="s">
        <v>31</v>
      </c>
      <c r="U8" s="16" t="s">
        <v>32</v>
      </c>
    </row>
    <row r="9" ht="15.75" customHeight="1">
      <c r="A9" s="17">
        <v>8.0</v>
      </c>
      <c r="B9" s="8" t="s">
        <v>10</v>
      </c>
      <c r="C9" s="9" t="s">
        <v>11</v>
      </c>
      <c r="D9" s="8" t="s">
        <v>12</v>
      </c>
      <c r="E9" s="10" t="s">
        <v>13</v>
      </c>
      <c r="F9" s="9" t="s">
        <v>14</v>
      </c>
      <c r="G9" s="11" t="s">
        <v>15</v>
      </c>
      <c r="H9" s="9" t="s">
        <v>11</v>
      </c>
      <c r="I9" s="26" t="s">
        <v>27</v>
      </c>
      <c r="J9" s="9" t="s">
        <v>14</v>
      </c>
      <c r="K9" s="13" t="s">
        <v>17</v>
      </c>
      <c r="L9" s="14" t="s">
        <v>11</v>
      </c>
      <c r="M9" s="13" t="s">
        <v>18</v>
      </c>
      <c r="N9" s="14" t="s">
        <v>11</v>
      </c>
      <c r="O9" s="13" t="s">
        <v>19</v>
      </c>
      <c r="P9" s="14" t="s">
        <v>11</v>
      </c>
      <c r="Q9" s="13" t="s">
        <v>28</v>
      </c>
      <c r="R9" s="9" t="s">
        <v>14</v>
      </c>
      <c r="S9" s="15" t="s">
        <v>21</v>
      </c>
      <c r="T9" s="15" t="s">
        <v>33</v>
      </c>
      <c r="U9" s="16" t="s">
        <v>30</v>
      </c>
    </row>
    <row r="10" ht="15.75" customHeight="1">
      <c r="A10" s="7">
        <v>9.0</v>
      </c>
      <c r="B10" s="8" t="s">
        <v>10</v>
      </c>
      <c r="C10" s="9" t="s">
        <v>11</v>
      </c>
      <c r="D10" s="8" t="s">
        <v>12</v>
      </c>
      <c r="E10" s="10" t="s">
        <v>13</v>
      </c>
      <c r="F10" s="9" t="s">
        <v>14</v>
      </c>
      <c r="G10" s="11" t="s">
        <v>15</v>
      </c>
      <c r="H10" s="9" t="s">
        <v>11</v>
      </c>
      <c r="I10" s="26" t="s">
        <v>27</v>
      </c>
      <c r="J10" s="9" t="s">
        <v>14</v>
      </c>
      <c r="K10" s="13" t="s">
        <v>17</v>
      </c>
      <c r="L10" s="14" t="s">
        <v>11</v>
      </c>
      <c r="M10" s="13" t="s">
        <v>18</v>
      </c>
      <c r="N10" s="14" t="s">
        <v>11</v>
      </c>
      <c r="O10" s="13" t="s">
        <v>19</v>
      </c>
      <c r="P10" s="14" t="s">
        <v>11</v>
      </c>
      <c r="Q10" s="13" t="s">
        <v>28</v>
      </c>
      <c r="R10" s="9" t="s">
        <v>14</v>
      </c>
      <c r="S10" s="15" t="s">
        <v>21</v>
      </c>
      <c r="T10" s="15" t="s">
        <v>34</v>
      </c>
      <c r="U10" s="16" t="s">
        <v>32</v>
      </c>
    </row>
    <row r="11" ht="15.75" customHeight="1">
      <c r="A11" s="17">
        <v>10.0</v>
      </c>
      <c r="B11" s="8" t="s">
        <v>10</v>
      </c>
      <c r="C11" s="9" t="s">
        <v>11</v>
      </c>
      <c r="D11" s="8" t="s">
        <v>12</v>
      </c>
      <c r="E11" s="10" t="s">
        <v>13</v>
      </c>
      <c r="F11" s="9" t="s">
        <v>14</v>
      </c>
      <c r="G11" s="11" t="s">
        <v>15</v>
      </c>
      <c r="H11" s="9" t="s">
        <v>11</v>
      </c>
      <c r="I11" s="26" t="s">
        <v>27</v>
      </c>
      <c r="J11" s="9" t="s">
        <v>14</v>
      </c>
      <c r="K11" s="13" t="s">
        <v>17</v>
      </c>
      <c r="L11" s="14" t="s">
        <v>11</v>
      </c>
      <c r="M11" s="13" t="s">
        <v>18</v>
      </c>
      <c r="N11" s="14" t="s">
        <v>11</v>
      </c>
      <c r="O11" s="13" t="s">
        <v>19</v>
      </c>
      <c r="P11" s="14" t="s">
        <v>11</v>
      </c>
      <c r="Q11" s="13" t="s">
        <v>28</v>
      </c>
      <c r="R11" s="9" t="s">
        <v>14</v>
      </c>
      <c r="S11" s="15" t="s">
        <v>21</v>
      </c>
      <c r="T11" s="15" t="s">
        <v>35</v>
      </c>
      <c r="U11" s="16" t="s">
        <v>36</v>
      </c>
    </row>
    <row r="12" ht="15.75" customHeight="1">
      <c r="A12" s="7">
        <v>11.0</v>
      </c>
      <c r="B12" s="8" t="s">
        <v>10</v>
      </c>
      <c r="C12" s="9" t="s">
        <v>11</v>
      </c>
      <c r="D12" s="8" t="s">
        <v>12</v>
      </c>
      <c r="E12" s="10" t="s">
        <v>13</v>
      </c>
      <c r="F12" s="9" t="s">
        <v>14</v>
      </c>
      <c r="G12" s="11" t="s">
        <v>15</v>
      </c>
      <c r="H12" s="9" t="s">
        <v>11</v>
      </c>
      <c r="I12" s="26" t="s">
        <v>27</v>
      </c>
      <c r="J12" s="9" t="s">
        <v>14</v>
      </c>
      <c r="K12" s="13" t="s">
        <v>17</v>
      </c>
      <c r="L12" s="14" t="s">
        <v>11</v>
      </c>
      <c r="M12" s="13" t="s">
        <v>18</v>
      </c>
      <c r="N12" s="14" t="s">
        <v>11</v>
      </c>
      <c r="O12" s="13" t="s">
        <v>19</v>
      </c>
      <c r="P12" s="14" t="s">
        <v>11</v>
      </c>
      <c r="Q12" s="13" t="s">
        <v>28</v>
      </c>
      <c r="R12" s="9" t="s">
        <v>14</v>
      </c>
      <c r="S12" s="15" t="s">
        <v>21</v>
      </c>
      <c r="T12" s="15" t="s">
        <v>37</v>
      </c>
      <c r="U12" s="16" t="s">
        <v>36</v>
      </c>
    </row>
    <row r="13" ht="15.75" customHeight="1">
      <c r="A13" s="17">
        <v>12.0</v>
      </c>
      <c r="B13" s="8" t="s">
        <v>10</v>
      </c>
      <c r="C13" s="9" t="s">
        <v>11</v>
      </c>
      <c r="D13" s="8" t="s">
        <v>12</v>
      </c>
      <c r="E13" s="10" t="s">
        <v>13</v>
      </c>
      <c r="F13" s="9" t="s">
        <v>14</v>
      </c>
      <c r="G13" s="11" t="s">
        <v>15</v>
      </c>
      <c r="H13" s="9" t="s">
        <v>11</v>
      </c>
      <c r="I13" s="26" t="s">
        <v>27</v>
      </c>
      <c r="J13" s="9" t="s">
        <v>14</v>
      </c>
      <c r="K13" s="13" t="s">
        <v>17</v>
      </c>
      <c r="L13" s="14" t="s">
        <v>11</v>
      </c>
      <c r="M13" s="13" t="s">
        <v>18</v>
      </c>
      <c r="N13" s="14" t="s">
        <v>11</v>
      </c>
      <c r="O13" s="13" t="s">
        <v>19</v>
      </c>
      <c r="P13" s="14" t="s">
        <v>11</v>
      </c>
      <c r="Q13" s="13" t="s">
        <v>28</v>
      </c>
      <c r="R13" s="9" t="s">
        <v>14</v>
      </c>
      <c r="S13" s="15" t="s">
        <v>21</v>
      </c>
      <c r="T13" s="15" t="s">
        <v>38</v>
      </c>
      <c r="U13" s="16" t="s">
        <v>30</v>
      </c>
    </row>
    <row r="14" ht="15.75" customHeight="1">
      <c r="A14" s="7">
        <v>13.0</v>
      </c>
      <c r="B14" s="8" t="s">
        <v>10</v>
      </c>
      <c r="C14" s="9" t="s">
        <v>11</v>
      </c>
      <c r="D14" s="8" t="s">
        <v>12</v>
      </c>
      <c r="E14" s="10" t="s">
        <v>13</v>
      </c>
      <c r="F14" s="9" t="s">
        <v>14</v>
      </c>
      <c r="G14" s="11" t="s">
        <v>15</v>
      </c>
      <c r="H14" s="9" t="s">
        <v>11</v>
      </c>
      <c r="I14" s="26" t="s">
        <v>27</v>
      </c>
      <c r="J14" s="9" t="s">
        <v>14</v>
      </c>
      <c r="K14" s="13" t="s">
        <v>17</v>
      </c>
      <c r="L14" s="14" t="s">
        <v>11</v>
      </c>
      <c r="M14" s="13" t="s">
        <v>18</v>
      </c>
      <c r="N14" s="14" t="s">
        <v>11</v>
      </c>
      <c r="O14" s="13" t="s">
        <v>19</v>
      </c>
      <c r="P14" s="14" t="s">
        <v>11</v>
      </c>
      <c r="Q14" s="13" t="s">
        <v>28</v>
      </c>
      <c r="R14" s="9" t="s">
        <v>14</v>
      </c>
      <c r="S14" s="15" t="s">
        <v>21</v>
      </c>
      <c r="T14" s="15" t="s">
        <v>39</v>
      </c>
      <c r="U14" s="16" t="s">
        <v>32</v>
      </c>
    </row>
    <row r="15" ht="15.75" customHeight="1">
      <c r="A15" s="17">
        <v>14.0</v>
      </c>
      <c r="B15" s="8" t="s">
        <v>10</v>
      </c>
      <c r="C15" s="9" t="s">
        <v>11</v>
      </c>
      <c r="D15" s="8" t="s">
        <v>12</v>
      </c>
      <c r="E15" s="10" t="s">
        <v>13</v>
      </c>
      <c r="F15" s="9" t="s">
        <v>14</v>
      </c>
      <c r="G15" s="11" t="s">
        <v>15</v>
      </c>
      <c r="H15" s="9" t="s">
        <v>11</v>
      </c>
      <c r="I15" s="26" t="s">
        <v>27</v>
      </c>
      <c r="J15" s="9" t="s">
        <v>14</v>
      </c>
      <c r="K15" s="13" t="s">
        <v>17</v>
      </c>
      <c r="L15" s="14" t="s">
        <v>11</v>
      </c>
      <c r="M15" s="13" t="s">
        <v>18</v>
      </c>
      <c r="N15" s="14" t="s">
        <v>11</v>
      </c>
      <c r="O15" s="13" t="s">
        <v>19</v>
      </c>
      <c r="P15" s="14" t="s">
        <v>11</v>
      </c>
      <c r="Q15" s="13" t="s">
        <v>28</v>
      </c>
      <c r="R15" s="9" t="s">
        <v>14</v>
      </c>
      <c r="S15" s="15" t="s">
        <v>21</v>
      </c>
      <c r="T15" s="15" t="s">
        <v>40</v>
      </c>
      <c r="U15" s="16" t="s">
        <v>36</v>
      </c>
    </row>
    <row r="16" ht="15.75" customHeight="1">
      <c r="A16" s="7">
        <v>15.0</v>
      </c>
      <c r="B16" s="8" t="s">
        <v>10</v>
      </c>
      <c r="C16" s="9" t="s">
        <v>11</v>
      </c>
      <c r="D16" s="8" t="s">
        <v>12</v>
      </c>
      <c r="E16" s="10" t="s">
        <v>13</v>
      </c>
      <c r="F16" s="9" t="s">
        <v>14</v>
      </c>
      <c r="G16" s="11" t="s">
        <v>15</v>
      </c>
      <c r="H16" s="9" t="s">
        <v>11</v>
      </c>
      <c r="I16" s="26" t="s">
        <v>27</v>
      </c>
      <c r="J16" s="9" t="s">
        <v>14</v>
      </c>
      <c r="K16" s="13" t="s">
        <v>17</v>
      </c>
      <c r="L16" s="14" t="s">
        <v>11</v>
      </c>
      <c r="M16" s="13" t="s">
        <v>18</v>
      </c>
      <c r="N16" s="14" t="s">
        <v>11</v>
      </c>
      <c r="O16" s="13" t="s">
        <v>19</v>
      </c>
      <c r="P16" s="14" t="s">
        <v>11</v>
      </c>
      <c r="Q16" s="13" t="s">
        <v>28</v>
      </c>
      <c r="R16" s="9" t="s">
        <v>14</v>
      </c>
      <c r="S16" s="15" t="s">
        <v>21</v>
      </c>
      <c r="T16" s="15" t="s">
        <v>41</v>
      </c>
      <c r="U16" s="16" t="s">
        <v>30</v>
      </c>
    </row>
    <row r="17" ht="15.75" customHeight="1">
      <c r="A17" s="17">
        <v>16.0</v>
      </c>
      <c r="B17" s="8" t="s">
        <v>10</v>
      </c>
      <c r="C17" s="9" t="s">
        <v>11</v>
      </c>
      <c r="D17" s="8" t="s">
        <v>12</v>
      </c>
      <c r="E17" s="10" t="s">
        <v>13</v>
      </c>
      <c r="F17" s="9" t="s">
        <v>14</v>
      </c>
      <c r="G17" s="11" t="s">
        <v>15</v>
      </c>
      <c r="H17" s="9" t="s">
        <v>11</v>
      </c>
      <c r="I17" s="26" t="s">
        <v>27</v>
      </c>
      <c r="J17" s="9" t="s">
        <v>14</v>
      </c>
      <c r="K17" s="13" t="s">
        <v>17</v>
      </c>
      <c r="L17" s="14" t="s">
        <v>11</v>
      </c>
      <c r="M17" s="13" t="s">
        <v>18</v>
      </c>
      <c r="N17" s="14" t="s">
        <v>11</v>
      </c>
      <c r="O17" s="13" t="s">
        <v>19</v>
      </c>
      <c r="P17" s="14" t="s">
        <v>11</v>
      </c>
      <c r="Q17" s="13" t="s">
        <v>28</v>
      </c>
      <c r="R17" s="9" t="s">
        <v>14</v>
      </c>
      <c r="S17" s="15" t="s">
        <v>21</v>
      </c>
      <c r="T17" s="15" t="s">
        <v>42</v>
      </c>
      <c r="U17" s="16" t="s">
        <v>32</v>
      </c>
    </row>
    <row r="18" ht="15.75" customHeight="1">
      <c r="A18" s="7">
        <v>17.0</v>
      </c>
      <c r="B18" s="8" t="s">
        <v>10</v>
      </c>
      <c r="C18" s="9" t="s">
        <v>11</v>
      </c>
      <c r="D18" s="8" t="s">
        <v>12</v>
      </c>
      <c r="E18" s="10" t="s">
        <v>13</v>
      </c>
      <c r="F18" s="9" t="s">
        <v>14</v>
      </c>
      <c r="G18" s="11" t="s">
        <v>15</v>
      </c>
      <c r="H18" s="9" t="s">
        <v>11</v>
      </c>
      <c r="I18" s="26" t="s">
        <v>27</v>
      </c>
      <c r="J18" s="9" t="s">
        <v>14</v>
      </c>
      <c r="K18" s="13" t="s">
        <v>17</v>
      </c>
      <c r="L18" s="14" t="s">
        <v>11</v>
      </c>
      <c r="M18" s="13" t="s">
        <v>18</v>
      </c>
      <c r="N18" s="14" t="s">
        <v>11</v>
      </c>
      <c r="O18" s="13" t="s">
        <v>19</v>
      </c>
      <c r="P18" s="14" t="s">
        <v>11</v>
      </c>
      <c r="Q18" s="13" t="s">
        <v>28</v>
      </c>
      <c r="R18" s="9" t="s">
        <v>14</v>
      </c>
      <c r="S18" s="15" t="s">
        <v>21</v>
      </c>
      <c r="T18" s="15" t="s">
        <v>43</v>
      </c>
      <c r="U18" s="16" t="s">
        <v>36</v>
      </c>
    </row>
    <row r="19" ht="15.75" customHeight="1">
      <c r="A19" s="17">
        <v>18.0</v>
      </c>
      <c r="B19" s="8" t="s">
        <v>10</v>
      </c>
      <c r="C19" s="9" t="s">
        <v>11</v>
      </c>
      <c r="D19" s="8" t="s">
        <v>12</v>
      </c>
      <c r="E19" s="10" t="s">
        <v>13</v>
      </c>
      <c r="F19" s="9" t="s">
        <v>14</v>
      </c>
      <c r="G19" s="11" t="s">
        <v>15</v>
      </c>
      <c r="H19" s="9" t="s">
        <v>11</v>
      </c>
      <c r="I19" s="26" t="s">
        <v>27</v>
      </c>
      <c r="J19" s="9" t="s">
        <v>14</v>
      </c>
      <c r="K19" s="13" t="s">
        <v>17</v>
      </c>
      <c r="L19" s="14" t="s">
        <v>11</v>
      </c>
      <c r="M19" s="13" t="s">
        <v>18</v>
      </c>
      <c r="N19" s="14" t="s">
        <v>11</v>
      </c>
      <c r="O19" s="13" t="s">
        <v>19</v>
      </c>
      <c r="P19" s="14" t="s">
        <v>11</v>
      </c>
      <c r="Q19" s="13" t="s">
        <v>28</v>
      </c>
      <c r="R19" s="9" t="s">
        <v>14</v>
      </c>
      <c r="S19" s="15" t="s">
        <v>21</v>
      </c>
      <c r="T19" s="15" t="s">
        <v>44</v>
      </c>
      <c r="U19" s="16" t="s">
        <v>30</v>
      </c>
    </row>
    <row r="20" ht="15.75" customHeight="1">
      <c r="A20" s="7">
        <v>19.0</v>
      </c>
      <c r="B20" s="8" t="s">
        <v>10</v>
      </c>
      <c r="C20" s="9" t="s">
        <v>11</v>
      </c>
      <c r="D20" s="8" t="s">
        <v>12</v>
      </c>
      <c r="E20" s="10" t="s">
        <v>13</v>
      </c>
      <c r="F20" s="9" t="s">
        <v>14</v>
      </c>
      <c r="G20" s="11" t="s">
        <v>15</v>
      </c>
      <c r="H20" s="9" t="s">
        <v>11</v>
      </c>
      <c r="I20" s="26" t="s">
        <v>27</v>
      </c>
      <c r="J20" s="9" t="s">
        <v>14</v>
      </c>
      <c r="K20" s="13" t="s">
        <v>17</v>
      </c>
      <c r="L20" s="14" t="s">
        <v>11</v>
      </c>
      <c r="M20" s="13" t="s">
        <v>18</v>
      </c>
      <c r="N20" s="14" t="s">
        <v>11</v>
      </c>
      <c r="O20" s="13" t="s">
        <v>19</v>
      </c>
      <c r="P20" s="14" t="s">
        <v>11</v>
      </c>
      <c r="Q20" s="13" t="s">
        <v>28</v>
      </c>
      <c r="R20" s="9" t="s">
        <v>14</v>
      </c>
      <c r="S20" s="15" t="s">
        <v>21</v>
      </c>
      <c r="T20" s="15" t="s">
        <v>45</v>
      </c>
      <c r="U20" s="16" t="s">
        <v>32</v>
      </c>
    </row>
    <row r="21" ht="15.75" customHeight="1">
      <c r="A21" s="17">
        <v>20.0</v>
      </c>
      <c r="B21" s="8" t="s">
        <v>10</v>
      </c>
      <c r="C21" s="9" t="s">
        <v>11</v>
      </c>
      <c r="D21" s="8" t="s">
        <v>12</v>
      </c>
      <c r="E21" s="10" t="s">
        <v>13</v>
      </c>
      <c r="F21" s="9" t="s">
        <v>14</v>
      </c>
      <c r="G21" s="11" t="s">
        <v>15</v>
      </c>
      <c r="H21" s="9" t="s">
        <v>11</v>
      </c>
      <c r="I21" s="26" t="s">
        <v>27</v>
      </c>
      <c r="J21" s="9" t="s">
        <v>14</v>
      </c>
      <c r="K21" s="13" t="s">
        <v>17</v>
      </c>
      <c r="L21" s="14" t="s">
        <v>11</v>
      </c>
      <c r="M21" s="13" t="s">
        <v>18</v>
      </c>
      <c r="N21" s="14" t="s">
        <v>11</v>
      </c>
      <c r="O21" s="13" t="s">
        <v>19</v>
      </c>
      <c r="P21" s="14" t="s">
        <v>11</v>
      </c>
      <c r="Q21" s="13" t="s">
        <v>28</v>
      </c>
      <c r="R21" s="9" t="s">
        <v>14</v>
      </c>
      <c r="S21" s="15" t="s">
        <v>21</v>
      </c>
      <c r="T21" s="15" t="s">
        <v>46</v>
      </c>
      <c r="U21" s="16" t="s">
        <v>36</v>
      </c>
    </row>
    <row r="22" ht="15.75" customHeight="1">
      <c r="A22" s="7">
        <v>21.0</v>
      </c>
      <c r="B22" s="8" t="s">
        <v>10</v>
      </c>
      <c r="C22" s="9" t="s">
        <v>11</v>
      </c>
      <c r="D22" s="8" t="s">
        <v>12</v>
      </c>
      <c r="E22" s="10" t="s">
        <v>13</v>
      </c>
      <c r="F22" s="9" t="s">
        <v>14</v>
      </c>
      <c r="G22" s="11" t="s">
        <v>15</v>
      </c>
      <c r="H22" s="9" t="s">
        <v>11</v>
      </c>
      <c r="I22" s="26" t="s">
        <v>27</v>
      </c>
      <c r="J22" s="9" t="s">
        <v>14</v>
      </c>
      <c r="K22" s="13" t="s">
        <v>17</v>
      </c>
      <c r="L22" s="14" t="s">
        <v>11</v>
      </c>
      <c r="M22" s="13" t="s">
        <v>18</v>
      </c>
      <c r="N22" s="14" t="s">
        <v>11</v>
      </c>
      <c r="O22" s="13" t="s">
        <v>19</v>
      </c>
      <c r="P22" s="14" t="s">
        <v>11</v>
      </c>
      <c r="Q22" s="13" t="s">
        <v>28</v>
      </c>
      <c r="R22" s="9" t="s">
        <v>14</v>
      </c>
      <c r="S22" s="15" t="s">
        <v>21</v>
      </c>
      <c r="T22" s="15" t="s">
        <v>47</v>
      </c>
      <c r="U22" s="16" t="s">
        <v>30</v>
      </c>
    </row>
    <row r="23" ht="15.75" customHeight="1">
      <c r="A23" s="17">
        <v>22.0</v>
      </c>
      <c r="B23" s="8" t="s">
        <v>10</v>
      </c>
      <c r="C23" s="9" t="s">
        <v>11</v>
      </c>
      <c r="D23" s="8" t="s">
        <v>12</v>
      </c>
      <c r="E23" s="10" t="s">
        <v>13</v>
      </c>
      <c r="F23" s="9" t="s">
        <v>14</v>
      </c>
      <c r="G23" s="11" t="s">
        <v>15</v>
      </c>
      <c r="H23" s="9" t="s">
        <v>11</v>
      </c>
      <c r="I23" s="26" t="s">
        <v>27</v>
      </c>
      <c r="J23" s="9" t="s">
        <v>14</v>
      </c>
      <c r="K23" s="13" t="s">
        <v>17</v>
      </c>
      <c r="L23" s="14" t="s">
        <v>11</v>
      </c>
      <c r="M23" s="13" t="s">
        <v>18</v>
      </c>
      <c r="N23" s="14" t="s">
        <v>11</v>
      </c>
      <c r="O23" s="13" t="s">
        <v>19</v>
      </c>
      <c r="P23" s="14" t="s">
        <v>11</v>
      </c>
      <c r="Q23" s="13" t="s">
        <v>28</v>
      </c>
      <c r="R23" s="9" t="s">
        <v>14</v>
      </c>
      <c r="S23" s="15" t="s">
        <v>21</v>
      </c>
      <c r="T23" s="15" t="s">
        <v>48</v>
      </c>
      <c r="U23" s="16" t="s">
        <v>32</v>
      </c>
    </row>
    <row r="24" ht="15.75" customHeight="1">
      <c r="A24" s="7">
        <v>23.0</v>
      </c>
      <c r="B24" s="8" t="s">
        <v>10</v>
      </c>
      <c r="C24" s="9" t="s">
        <v>11</v>
      </c>
      <c r="D24" s="8" t="s">
        <v>12</v>
      </c>
      <c r="E24" s="10" t="s">
        <v>13</v>
      </c>
      <c r="F24" s="9" t="s">
        <v>14</v>
      </c>
      <c r="G24" s="11" t="s">
        <v>15</v>
      </c>
      <c r="H24" s="9" t="s">
        <v>11</v>
      </c>
      <c r="I24" s="26" t="s">
        <v>27</v>
      </c>
      <c r="J24" s="9" t="s">
        <v>14</v>
      </c>
      <c r="K24" s="13" t="s">
        <v>17</v>
      </c>
      <c r="L24" s="14" t="s">
        <v>11</v>
      </c>
      <c r="M24" s="13" t="s">
        <v>18</v>
      </c>
      <c r="N24" s="14" t="s">
        <v>11</v>
      </c>
      <c r="O24" s="13" t="s">
        <v>19</v>
      </c>
      <c r="P24" s="14" t="s">
        <v>11</v>
      </c>
      <c r="Q24" s="13" t="s">
        <v>28</v>
      </c>
      <c r="R24" s="9" t="s">
        <v>14</v>
      </c>
      <c r="S24" s="15" t="s">
        <v>21</v>
      </c>
      <c r="T24" s="15" t="s">
        <v>49</v>
      </c>
      <c r="U24" s="16" t="s">
        <v>36</v>
      </c>
    </row>
    <row r="25" ht="15.75" customHeight="1">
      <c r="A25" s="17">
        <v>24.0</v>
      </c>
      <c r="B25" s="8" t="s">
        <v>10</v>
      </c>
      <c r="C25" s="9" t="s">
        <v>11</v>
      </c>
      <c r="D25" s="8" t="s">
        <v>12</v>
      </c>
      <c r="E25" s="10" t="s">
        <v>13</v>
      </c>
      <c r="F25" s="9" t="s">
        <v>14</v>
      </c>
      <c r="G25" s="11" t="s">
        <v>15</v>
      </c>
      <c r="H25" s="9" t="s">
        <v>11</v>
      </c>
      <c r="I25" s="26" t="s">
        <v>27</v>
      </c>
      <c r="J25" s="9" t="s">
        <v>14</v>
      </c>
      <c r="K25" s="13" t="s">
        <v>17</v>
      </c>
      <c r="L25" s="14" t="s">
        <v>11</v>
      </c>
      <c r="M25" s="13" t="s">
        <v>18</v>
      </c>
      <c r="N25" s="14" t="s">
        <v>11</v>
      </c>
      <c r="O25" s="13" t="s">
        <v>19</v>
      </c>
      <c r="P25" s="14" t="s">
        <v>11</v>
      </c>
      <c r="Q25" s="13" t="s">
        <v>28</v>
      </c>
      <c r="R25" s="9" t="s">
        <v>14</v>
      </c>
      <c r="S25" s="15" t="s">
        <v>21</v>
      </c>
      <c r="T25" s="15" t="s">
        <v>50</v>
      </c>
      <c r="U25" s="16" t="s">
        <v>36</v>
      </c>
    </row>
    <row r="26" ht="15.75" customHeight="1">
      <c r="A26" s="7">
        <v>25.0</v>
      </c>
      <c r="B26" s="8" t="s">
        <v>10</v>
      </c>
      <c r="C26" s="9" t="s">
        <v>11</v>
      </c>
      <c r="D26" s="8" t="s">
        <v>12</v>
      </c>
      <c r="E26" s="10" t="s">
        <v>13</v>
      </c>
      <c r="F26" s="9" t="s">
        <v>14</v>
      </c>
      <c r="G26" s="11" t="s">
        <v>15</v>
      </c>
      <c r="H26" s="9" t="s">
        <v>11</v>
      </c>
      <c r="I26" s="26" t="s">
        <v>27</v>
      </c>
      <c r="J26" s="9" t="s">
        <v>14</v>
      </c>
      <c r="K26" s="13" t="s">
        <v>17</v>
      </c>
      <c r="L26" s="14" t="s">
        <v>11</v>
      </c>
      <c r="M26" s="13" t="s">
        <v>18</v>
      </c>
      <c r="N26" s="14" t="s">
        <v>11</v>
      </c>
      <c r="O26" s="13" t="s">
        <v>19</v>
      </c>
      <c r="P26" s="14" t="s">
        <v>11</v>
      </c>
      <c r="Q26" s="13" t="s">
        <v>28</v>
      </c>
      <c r="R26" s="9" t="s">
        <v>14</v>
      </c>
      <c r="S26" s="15" t="s">
        <v>21</v>
      </c>
      <c r="T26" s="15" t="s">
        <v>51</v>
      </c>
      <c r="U26" s="16" t="s">
        <v>36</v>
      </c>
    </row>
    <row r="27" ht="15.75" customHeight="1">
      <c r="A27" s="17">
        <v>26.0</v>
      </c>
      <c r="B27" s="8" t="s">
        <v>10</v>
      </c>
      <c r="C27" s="9" t="s">
        <v>11</v>
      </c>
      <c r="D27" s="8" t="s">
        <v>12</v>
      </c>
      <c r="E27" s="10" t="s">
        <v>13</v>
      </c>
      <c r="F27" s="9" t="s">
        <v>14</v>
      </c>
      <c r="G27" s="11" t="s">
        <v>15</v>
      </c>
      <c r="H27" s="9" t="s">
        <v>11</v>
      </c>
      <c r="I27" s="26" t="s">
        <v>27</v>
      </c>
      <c r="J27" s="9" t="s">
        <v>14</v>
      </c>
      <c r="K27" s="13" t="s">
        <v>17</v>
      </c>
      <c r="L27" s="14" t="s">
        <v>11</v>
      </c>
      <c r="M27" s="13" t="s">
        <v>18</v>
      </c>
      <c r="N27" s="14" t="s">
        <v>11</v>
      </c>
      <c r="O27" s="13" t="s">
        <v>19</v>
      </c>
      <c r="P27" s="14" t="s">
        <v>11</v>
      </c>
      <c r="Q27" s="13" t="s">
        <v>28</v>
      </c>
      <c r="R27" s="9" t="s">
        <v>14</v>
      </c>
      <c r="S27" s="15" t="s">
        <v>21</v>
      </c>
      <c r="T27" s="15" t="s">
        <v>52</v>
      </c>
      <c r="U27" s="16" t="s">
        <v>30</v>
      </c>
    </row>
    <row r="28" ht="15.75" customHeight="1">
      <c r="A28" s="7">
        <v>27.0</v>
      </c>
      <c r="B28" s="8" t="s">
        <v>10</v>
      </c>
      <c r="C28" s="9" t="s">
        <v>11</v>
      </c>
      <c r="D28" s="8" t="s">
        <v>12</v>
      </c>
      <c r="E28" s="10" t="s">
        <v>13</v>
      </c>
      <c r="F28" s="9" t="s">
        <v>14</v>
      </c>
      <c r="G28" s="11" t="s">
        <v>15</v>
      </c>
      <c r="H28" s="9" t="s">
        <v>11</v>
      </c>
      <c r="I28" s="26" t="s">
        <v>27</v>
      </c>
      <c r="J28" s="9" t="s">
        <v>14</v>
      </c>
      <c r="K28" s="13" t="s">
        <v>17</v>
      </c>
      <c r="L28" s="14" t="s">
        <v>11</v>
      </c>
      <c r="M28" s="13" t="s">
        <v>18</v>
      </c>
      <c r="N28" s="14" t="s">
        <v>11</v>
      </c>
      <c r="O28" s="13" t="s">
        <v>19</v>
      </c>
      <c r="P28" s="14" t="s">
        <v>11</v>
      </c>
      <c r="Q28" s="13" t="s">
        <v>28</v>
      </c>
      <c r="R28" s="9" t="s">
        <v>14</v>
      </c>
      <c r="S28" s="15" t="s">
        <v>21</v>
      </c>
      <c r="T28" s="15" t="s">
        <v>54</v>
      </c>
      <c r="U28" s="16" t="s">
        <v>32</v>
      </c>
    </row>
    <row r="29" ht="15.75" customHeight="1">
      <c r="A29" s="17">
        <v>28.0</v>
      </c>
      <c r="B29" s="8" t="s">
        <v>10</v>
      </c>
      <c r="C29" s="9" t="s">
        <v>11</v>
      </c>
      <c r="D29" s="8" t="s">
        <v>12</v>
      </c>
      <c r="E29" s="10" t="s">
        <v>13</v>
      </c>
      <c r="F29" s="9" t="s">
        <v>14</v>
      </c>
      <c r="G29" s="11" t="s">
        <v>15</v>
      </c>
      <c r="H29" s="9" t="s">
        <v>11</v>
      </c>
      <c r="I29" s="26" t="s">
        <v>27</v>
      </c>
      <c r="J29" s="9" t="s">
        <v>14</v>
      </c>
      <c r="K29" s="13" t="s">
        <v>17</v>
      </c>
      <c r="L29" s="14" t="s">
        <v>11</v>
      </c>
      <c r="M29" s="13" t="s">
        <v>18</v>
      </c>
      <c r="N29" s="14" t="s">
        <v>11</v>
      </c>
      <c r="O29" s="13" t="s">
        <v>19</v>
      </c>
      <c r="P29" s="14" t="s">
        <v>11</v>
      </c>
      <c r="Q29" s="13" t="s">
        <v>28</v>
      </c>
      <c r="R29" s="9" t="s">
        <v>14</v>
      </c>
      <c r="S29" s="15" t="s">
        <v>21</v>
      </c>
      <c r="T29" s="15" t="s">
        <v>56</v>
      </c>
      <c r="U29" s="16" t="s">
        <v>36</v>
      </c>
    </row>
    <row r="30" ht="15.75" customHeight="1">
      <c r="A30" s="7">
        <v>29.0</v>
      </c>
      <c r="B30" s="8" t="s">
        <v>10</v>
      </c>
      <c r="C30" s="9" t="s">
        <v>11</v>
      </c>
      <c r="D30" s="8" t="s">
        <v>12</v>
      </c>
      <c r="E30" s="10" t="s">
        <v>13</v>
      </c>
      <c r="F30" s="9" t="s">
        <v>14</v>
      </c>
      <c r="G30" s="11" t="s">
        <v>15</v>
      </c>
      <c r="H30" s="9" t="s">
        <v>11</v>
      </c>
      <c r="I30" s="26" t="s">
        <v>27</v>
      </c>
      <c r="J30" s="9" t="s">
        <v>14</v>
      </c>
      <c r="K30" s="13" t="s">
        <v>17</v>
      </c>
      <c r="L30" s="14" t="s">
        <v>11</v>
      </c>
      <c r="M30" s="13" t="s">
        <v>18</v>
      </c>
      <c r="N30" s="14" t="s">
        <v>11</v>
      </c>
      <c r="O30" s="13" t="s">
        <v>19</v>
      </c>
      <c r="P30" s="14" t="s">
        <v>11</v>
      </c>
      <c r="Q30" s="13" t="s">
        <v>28</v>
      </c>
      <c r="R30" s="9" t="s">
        <v>14</v>
      </c>
      <c r="S30" s="15" t="s">
        <v>21</v>
      </c>
      <c r="T30" s="15" t="s">
        <v>60</v>
      </c>
      <c r="U30" s="16" t="s">
        <v>30</v>
      </c>
    </row>
    <row r="31" ht="15.75" customHeight="1">
      <c r="A31" s="17">
        <v>30.0</v>
      </c>
      <c r="B31" s="8" t="s">
        <v>10</v>
      </c>
      <c r="C31" s="9" t="s">
        <v>11</v>
      </c>
      <c r="D31" s="8" t="s">
        <v>12</v>
      </c>
      <c r="E31" s="10" t="s">
        <v>13</v>
      </c>
      <c r="F31" s="9" t="s">
        <v>14</v>
      </c>
      <c r="G31" s="11" t="s">
        <v>15</v>
      </c>
      <c r="H31" s="9" t="s">
        <v>11</v>
      </c>
      <c r="I31" s="26" t="s">
        <v>27</v>
      </c>
      <c r="J31" s="9" t="s">
        <v>14</v>
      </c>
      <c r="K31" s="13" t="s">
        <v>17</v>
      </c>
      <c r="L31" s="14" t="s">
        <v>11</v>
      </c>
      <c r="M31" s="13" t="s">
        <v>18</v>
      </c>
      <c r="N31" s="14" t="s">
        <v>11</v>
      </c>
      <c r="O31" s="13" t="s">
        <v>19</v>
      </c>
      <c r="P31" s="14" t="s">
        <v>11</v>
      </c>
      <c r="Q31" s="13" t="s">
        <v>28</v>
      </c>
      <c r="R31" s="9" t="s">
        <v>14</v>
      </c>
      <c r="S31" s="15" t="s">
        <v>21</v>
      </c>
      <c r="T31" s="15" t="s">
        <v>69</v>
      </c>
      <c r="U31" s="16" t="s">
        <v>32</v>
      </c>
    </row>
    <row r="32" ht="15.75" customHeight="1">
      <c r="A32" s="7">
        <v>31.0</v>
      </c>
      <c r="B32" s="8" t="s">
        <v>10</v>
      </c>
      <c r="C32" s="9" t="s">
        <v>11</v>
      </c>
      <c r="D32" s="8" t="s">
        <v>12</v>
      </c>
      <c r="E32" s="10" t="s">
        <v>13</v>
      </c>
      <c r="F32" s="9" t="s">
        <v>14</v>
      </c>
      <c r="G32" s="11" t="s">
        <v>15</v>
      </c>
      <c r="H32" s="9" t="s">
        <v>11</v>
      </c>
      <c r="I32" s="26" t="s">
        <v>27</v>
      </c>
      <c r="J32" s="9" t="s">
        <v>14</v>
      </c>
      <c r="K32" s="13" t="s">
        <v>17</v>
      </c>
      <c r="L32" s="14" t="s">
        <v>11</v>
      </c>
      <c r="M32" s="13" t="s">
        <v>18</v>
      </c>
      <c r="N32" s="14" t="s">
        <v>11</v>
      </c>
      <c r="O32" s="13" t="s">
        <v>19</v>
      </c>
      <c r="P32" s="14" t="s">
        <v>11</v>
      </c>
      <c r="Q32" s="13" t="s">
        <v>28</v>
      </c>
      <c r="R32" s="9" t="s">
        <v>14</v>
      </c>
      <c r="S32" s="15" t="s">
        <v>21</v>
      </c>
      <c r="T32" s="15" t="s">
        <v>76</v>
      </c>
      <c r="U32" s="16" t="s">
        <v>36</v>
      </c>
    </row>
    <row r="33" ht="15.75" customHeight="1">
      <c r="A33" s="17">
        <v>32.0</v>
      </c>
      <c r="B33" s="8" t="s">
        <v>10</v>
      </c>
      <c r="C33" s="9" t="s">
        <v>11</v>
      </c>
      <c r="D33" s="8" t="s">
        <v>12</v>
      </c>
      <c r="E33" s="10" t="s">
        <v>13</v>
      </c>
      <c r="F33" s="9" t="s">
        <v>14</v>
      </c>
      <c r="G33" s="11" t="s">
        <v>15</v>
      </c>
      <c r="H33" s="9" t="s">
        <v>11</v>
      </c>
      <c r="I33" s="26" t="s">
        <v>27</v>
      </c>
      <c r="J33" s="9" t="s">
        <v>14</v>
      </c>
      <c r="K33" s="13" t="s">
        <v>17</v>
      </c>
      <c r="L33" s="14" t="s">
        <v>11</v>
      </c>
      <c r="M33" s="13" t="s">
        <v>18</v>
      </c>
      <c r="N33" s="14" t="s">
        <v>11</v>
      </c>
      <c r="O33" s="13" t="s">
        <v>19</v>
      </c>
      <c r="P33" s="14" t="s">
        <v>11</v>
      </c>
      <c r="Q33" s="13" t="s">
        <v>28</v>
      </c>
      <c r="R33" s="9" t="s">
        <v>14</v>
      </c>
      <c r="S33" s="15" t="s">
        <v>21</v>
      </c>
      <c r="T33" s="15" t="s">
        <v>77</v>
      </c>
      <c r="U33" s="16" t="s">
        <v>30</v>
      </c>
    </row>
    <row r="34" ht="15.75" customHeight="1">
      <c r="A34" s="7">
        <v>33.0</v>
      </c>
      <c r="B34" s="8" t="s">
        <v>10</v>
      </c>
      <c r="C34" s="9" t="s">
        <v>11</v>
      </c>
      <c r="D34" s="8" t="s">
        <v>12</v>
      </c>
      <c r="E34" s="10" t="s">
        <v>13</v>
      </c>
      <c r="F34" s="9" t="s">
        <v>14</v>
      </c>
      <c r="G34" s="11" t="s">
        <v>15</v>
      </c>
      <c r="H34" s="9" t="s">
        <v>11</v>
      </c>
      <c r="I34" s="26" t="s">
        <v>27</v>
      </c>
      <c r="J34" s="9" t="s">
        <v>14</v>
      </c>
      <c r="K34" s="13" t="s">
        <v>17</v>
      </c>
      <c r="L34" s="14" t="s">
        <v>11</v>
      </c>
      <c r="M34" s="13" t="s">
        <v>18</v>
      </c>
      <c r="N34" s="14" t="s">
        <v>11</v>
      </c>
      <c r="O34" s="13" t="s">
        <v>19</v>
      </c>
      <c r="P34" s="14" t="s">
        <v>11</v>
      </c>
      <c r="Q34" s="13" t="s">
        <v>28</v>
      </c>
      <c r="R34" s="9" t="s">
        <v>14</v>
      </c>
      <c r="S34" s="15" t="s">
        <v>21</v>
      </c>
      <c r="T34" s="15" t="s">
        <v>78</v>
      </c>
      <c r="U34" s="16" t="s">
        <v>32</v>
      </c>
    </row>
    <row r="35" ht="15.75" customHeight="1">
      <c r="A35" s="17">
        <v>34.0</v>
      </c>
      <c r="B35" s="8" t="s">
        <v>10</v>
      </c>
      <c r="C35" s="9" t="s">
        <v>11</v>
      </c>
      <c r="D35" s="8" t="s">
        <v>12</v>
      </c>
      <c r="E35" s="10" t="s">
        <v>13</v>
      </c>
      <c r="F35" s="9" t="s">
        <v>14</v>
      </c>
      <c r="G35" s="11" t="s">
        <v>15</v>
      </c>
      <c r="H35" s="9" t="s">
        <v>11</v>
      </c>
      <c r="I35" s="26" t="s">
        <v>27</v>
      </c>
      <c r="J35" s="9" t="s">
        <v>14</v>
      </c>
      <c r="K35" s="13" t="s">
        <v>17</v>
      </c>
      <c r="L35" s="14" t="s">
        <v>11</v>
      </c>
      <c r="M35" s="13" t="s">
        <v>18</v>
      </c>
      <c r="N35" s="14" t="s">
        <v>11</v>
      </c>
      <c r="O35" s="13" t="s">
        <v>19</v>
      </c>
      <c r="P35" s="14" t="s">
        <v>11</v>
      </c>
      <c r="Q35" s="13" t="s">
        <v>28</v>
      </c>
      <c r="R35" s="9" t="s">
        <v>14</v>
      </c>
      <c r="S35" s="15" t="s">
        <v>21</v>
      </c>
      <c r="T35" s="15" t="s">
        <v>79</v>
      </c>
      <c r="U35" s="16" t="s">
        <v>36</v>
      </c>
    </row>
    <row r="36" ht="15.75" customHeight="1">
      <c r="A36" s="7">
        <v>35.0</v>
      </c>
      <c r="B36" s="8" t="s">
        <v>10</v>
      </c>
      <c r="C36" s="9" t="s">
        <v>11</v>
      </c>
      <c r="D36" s="8" t="s">
        <v>12</v>
      </c>
      <c r="E36" s="10" t="s">
        <v>13</v>
      </c>
      <c r="F36" s="9" t="s">
        <v>14</v>
      </c>
      <c r="G36" s="11" t="s">
        <v>15</v>
      </c>
      <c r="H36" s="9" t="s">
        <v>11</v>
      </c>
      <c r="I36" s="26" t="s">
        <v>27</v>
      </c>
      <c r="J36" s="9" t="s">
        <v>14</v>
      </c>
      <c r="K36" s="13" t="s">
        <v>17</v>
      </c>
      <c r="L36" s="14" t="s">
        <v>11</v>
      </c>
      <c r="M36" s="13" t="s">
        <v>18</v>
      </c>
      <c r="N36" s="14" t="s">
        <v>11</v>
      </c>
      <c r="O36" s="13" t="s">
        <v>19</v>
      </c>
      <c r="P36" s="14" t="s">
        <v>11</v>
      </c>
      <c r="Q36" s="13" t="s">
        <v>28</v>
      </c>
      <c r="R36" s="9" t="s">
        <v>14</v>
      </c>
      <c r="S36" s="15" t="s">
        <v>21</v>
      </c>
      <c r="T36" s="15" t="s">
        <v>81</v>
      </c>
      <c r="U36" s="16" t="s">
        <v>30</v>
      </c>
    </row>
    <row r="37" ht="15.75" customHeight="1">
      <c r="A37" s="17">
        <v>36.0</v>
      </c>
      <c r="B37" s="8" t="s">
        <v>10</v>
      </c>
      <c r="C37" s="9" t="s">
        <v>11</v>
      </c>
      <c r="D37" s="8" t="s">
        <v>12</v>
      </c>
      <c r="E37" s="10" t="s">
        <v>13</v>
      </c>
      <c r="F37" s="9" t="s">
        <v>14</v>
      </c>
      <c r="G37" s="11" t="s">
        <v>15</v>
      </c>
      <c r="H37" s="9" t="s">
        <v>11</v>
      </c>
      <c r="I37" s="26" t="s">
        <v>27</v>
      </c>
      <c r="J37" s="9" t="s">
        <v>14</v>
      </c>
      <c r="K37" s="13" t="s">
        <v>17</v>
      </c>
      <c r="L37" s="14" t="s">
        <v>11</v>
      </c>
      <c r="M37" s="13" t="s">
        <v>18</v>
      </c>
      <c r="N37" s="14" t="s">
        <v>11</v>
      </c>
      <c r="O37" s="13" t="s">
        <v>19</v>
      </c>
      <c r="P37" s="14" t="s">
        <v>11</v>
      </c>
      <c r="Q37" s="13" t="s">
        <v>28</v>
      </c>
      <c r="R37" s="9" t="s">
        <v>14</v>
      </c>
      <c r="S37" s="15" t="s">
        <v>21</v>
      </c>
      <c r="T37" s="15" t="s">
        <v>86</v>
      </c>
      <c r="U37" s="16" t="s">
        <v>32</v>
      </c>
    </row>
    <row r="38" ht="15.75" customHeight="1">
      <c r="A38" s="7">
        <v>37.0</v>
      </c>
      <c r="B38" s="8" t="s">
        <v>10</v>
      </c>
      <c r="C38" s="9" t="s">
        <v>11</v>
      </c>
      <c r="D38" s="8" t="s">
        <v>12</v>
      </c>
      <c r="E38" s="10" t="s">
        <v>13</v>
      </c>
      <c r="F38" s="9" t="s">
        <v>14</v>
      </c>
      <c r="G38" s="11" t="s">
        <v>15</v>
      </c>
      <c r="H38" s="9" t="s">
        <v>11</v>
      </c>
      <c r="I38" s="26" t="s">
        <v>27</v>
      </c>
      <c r="J38" s="9" t="s">
        <v>14</v>
      </c>
      <c r="K38" s="13" t="s">
        <v>17</v>
      </c>
      <c r="L38" s="14" t="s">
        <v>11</v>
      </c>
      <c r="M38" s="13" t="s">
        <v>18</v>
      </c>
      <c r="N38" s="14" t="s">
        <v>11</v>
      </c>
      <c r="O38" s="13" t="s">
        <v>19</v>
      </c>
      <c r="P38" s="14" t="s">
        <v>11</v>
      </c>
      <c r="Q38" s="13" t="s">
        <v>28</v>
      </c>
      <c r="R38" s="9" t="s">
        <v>14</v>
      </c>
      <c r="S38" s="15" t="s">
        <v>21</v>
      </c>
      <c r="T38" s="15" t="s">
        <v>89</v>
      </c>
      <c r="U38" s="16" t="s">
        <v>36</v>
      </c>
    </row>
    <row r="39" ht="15.75" customHeight="1">
      <c r="A39" s="17">
        <v>38.0</v>
      </c>
      <c r="B39" s="8" t="s">
        <v>10</v>
      </c>
      <c r="C39" s="9" t="s">
        <v>11</v>
      </c>
      <c r="D39" s="8" t="s">
        <v>12</v>
      </c>
      <c r="E39" s="10" t="s">
        <v>13</v>
      </c>
      <c r="F39" s="9" t="s">
        <v>14</v>
      </c>
      <c r="G39" s="11" t="s">
        <v>15</v>
      </c>
      <c r="H39" s="9" t="s">
        <v>11</v>
      </c>
      <c r="I39" s="26" t="s">
        <v>27</v>
      </c>
      <c r="J39" s="9" t="s">
        <v>14</v>
      </c>
      <c r="K39" s="13" t="s">
        <v>17</v>
      </c>
      <c r="L39" s="14" t="s">
        <v>11</v>
      </c>
      <c r="M39" s="13" t="s">
        <v>18</v>
      </c>
      <c r="N39" s="14" t="s">
        <v>11</v>
      </c>
      <c r="O39" s="13" t="s">
        <v>19</v>
      </c>
      <c r="P39" s="14" t="s">
        <v>11</v>
      </c>
      <c r="Q39" s="13" t="s">
        <v>28</v>
      </c>
      <c r="R39" s="9" t="s">
        <v>14</v>
      </c>
      <c r="S39" s="15" t="s">
        <v>21</v>
      </c>
      <c r="T39" s="15" t="s">
        <v>91</v>
      </c>
      <c r="U39" s="16" t="s">
        <v>30</v>
      </c>
    </row>
    <row r="40" ht="15.75" customHeight="1">
      <c r="A40" s="7">
        <v>39.0</v>
      </c>
      <c r="B40" s="8" t="s">
        <v>10</v>
      </c>
      <c r="C40" s="9" t="s">
        <v>11</v>
      </c>
      <c r="D40" s="8" t="s">
        <v>12</v>
      </c>
      <c r="E40" s="10" t="s">
        <v>13</v>
      </c>
      <c r="F40" s="9" t="s">
        <v>14</v>
      </c>
      <c r="G40" s="11" t="s">
        <v>15</v>
      </c>
      <c r="H40" s="9" t="s">
        <v>11</v>
      </c>
      <c r="I40" s="26" t="s">
        <v>27</v>
      </c>
      <c r="J40" s="9" t="s">
        <v>14</v>
      </c>
      <c r="K40" s="13" t="s">
        <v>17</v>
      </c>
      <c r="L40" s="14" t="s">
        <v>11</v>
      </c>
      <c r="M40" s="13" t="s">
        <v>18</v>
      </c>
      <c r="N40" s="14" t="s">
        <v>11</v>
      </c>
      <c r="O40" s="13" t="s">
        <v>19</v>
      </c>
      <c r="P40" s="14" t="s">
        <v>11</v>
      </c>
      <c r="Q40" s="13" t="s">
        <v>28</v>
      </c>
      <c r="R40" s="9" t="s">
        <v>14</v>
      </c>
      <c r="S40" s="15" t="s">
        <v>21</v>
      </c>
      <c r="T40" s="15" t="s">
        <v>94</v>
      </c>
      <c r="U40" s="16" t="s">
        <v>32</v>
      </c>
    </row>
  </sheetData>
  <mergeCells count="1">
    <mergeCell ref="S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61.13"/>
    <col customWidth="1" min="12" max="12" width="82.13"/>
    <col customWidth="1" min="13" max="13" width="80.63"/>
    <col customWidth="1" min="14" max="14" width="88.25"/>
    <col customWidth="1" min="15" max="15" width="42.75"/>
    <col customWidth="1" min="16" max="16" width="23.25"/>
    <col customWidth="1" min="17" max="17" width="42.88"/>
    <col customWidth="1" min="18" max="18" width="45.88"/>
    <col customWidth="1" min="19" max="19" width="55.25"/>
    <col customWidth="1" min="20" max="20" width="94.63"/>
  </cols>
  <sheetData>
    <row r="1" ht="30.75" customHeight="1">
      <c r="A1" s="27" t="s">
        <v>53</v>
      </c>
      <c r="B1" s="28" t="s">
        <v>55</v>
      </c>
      <c r="C1" s="29" t="s">
        <v>57</v>
      </c>
      <c r="D1" s="30" t="s">
        <v>58</v>
      </c>
      <c r="E1" s="31" t="s">
        <v>59</v>
      </c>
      <c r="F1" s="32" t="s">
        <v>61</v>
      </c>
      <c r="G1" s="29" t="s">
        <v>62</v>
      </c>
      <c r="H1" s="33" t="s">
        <v>63</v>
      </c>
      <c r="I1" s="29" t="s">
        <v>64</v>
      </c>
      <c r="J1" s="29" t="s">
        <v>65</v>
      </c>
      <c r="K1" s="32" t="s">
        <v>66</v>
      </c>
      <c r="L1" s="29" t="s">
        <v>67</v>
      </c>
      <c r="M1" s="34" t="s">
        <v>68</v>
      </c>
      <c r="N1" s="29" t="s">
        <v>70</v>
      </c>
      <c r="O1" s="32" t="s">
        <v>71</v>
      </c>
      <c r="P1" s="29" t="s">
        <v>72</v>
      </c>
      <c r="Q1" s="29" t="s">
        <v>7</v>
      </c>
      <c r="R1" s="33" t="s">
        <v>73</v>
      </c>
      <c r="S1" s="35" t="s">
        <v>74</v>
      </c>
      <c r="T1" s="32" t="s">
        <v>75</v>
      </c>
    </row>
    <row r="2" ht="212.25" customHeight="1">
      <c r="A2" s="36" t="str">
        <f>MID(K2, LEN(K2)-6, 3)</f>
        <v>001</v>
      </c>
      <c r="B2" s="37" t="s">
        <v>84</v>
      </c>
      <c r="C2" s="38" t="s">
        <v>82</v>
      </c>
      <c r="D2" s="41">
        <v>10228.0</v>
      </c>
      <c r="E2" s="40">
        <v>0.004976851851851852</v>
      </c>
      <c r="F2" s="44" t="s">
        <v>87</v>
      </c>
      <c r="G2" s="45" t="s">
        <v>88</v>
      </c>
      <c r="H2" s="46" t="s">
        <v>90</v>
      </c>
      <c r="I2" s="47" t="s">
        <v>92</v>
      </c>
      <c r="J2" s="46" t="s">
        <v>93</v>
      </c>
      <c r="K2" s="48" t="str">
        <f>TEXTJOIN("", TRUE, Geral!B2:U2)</f>
        <v>BR-SPCARANDIRU_FILMES-PENITESTADO1928-CSDTCARANDIRU_FLG-FME-NDT-DT1_0001-001.mp4</v>
      </c>
      <c r="L2" s="49" t="s">
        <v>95</v>
      </c>
      <c r="M2" s="50" t="s">
        <v>97</v>
      </c>
      <c r="N2" s="45" t="s">
        <v>103</v>
      </c>
      <c r="O2" s="47" t="s">
        <v>99</v>
      </c>
      <c r="P2" s="44" t="s">
        <v>100</v>
      </c>
      <c r="Q2" s="42" t="s">
        <v>102</v>
      </c>
      <c r="R2" s="51" t="str">
        <f>"Figura n – ["&amp;B2&amp;"]"&amp;CHAR(10)&amp;"Fonte: Sem autor, "&amp;TEXT(D2,"yyyy")&amp;"."</f>
        <v>Figura n – [Documentário "Penitenciária do Estado - 1928"]
Fonte: Sem autor, 1928.</v>
      </c>
      <c r="S2" s="52" t="str">
        <f>"SEM AUTOR. ["&amp;B2&amp;"]. "&amp;G2&amp;". "&amp;TEXT(D2,"dd")&amp;" "&amp;LOWER(TEXT(D2,"mmm"))&amp;" "&amp;TEXT(D2,"yyyy")&amp;". "&amp;F2&amp;". Disponível em: &lt;link do dataverse&gt;. Acesso em: 28 mai. 2026."</f>
        <v>SEM AUTOR. [Documentário "Penitenciária do Estado - 1928"]. São Paulo, Brasil. 01 jan. 1928. Originalmente DVD (suporte físico óptico). Com tratamento, tornou-se arquivo eletrônico (MP4) em suporte digital/nato-digital. Disponível em: &lt;link do dataverse&gt;. Acesso em: 28 mai. 2026.</v>
      </c>
      <c r="T2" s="42" t="s">
        <v>106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61.13"/>
    <col customWidth="1" min="12" max="12" width="82.13"/>
    <col customWidth="1" min="13" max="13" width="80.63"/>
    <col customWidth="1" min="14" max="14" width="88.25"/>
    <col customWidth="1" min="15" max="15" width="42.75"/>
    <col customWidth="1" min="16" max="16" width="23.25"/>
    <col customWidth="1" min="17" max="17" width="42.88"/>
    <col customWidth="1" min="18" max="18" width="45.88"/>
    <col customWidth="1" min="19" max="19" width="55.25"/>
    <col customWidth="1" min="20" max="20" width="94.63"/>
  </cols>
  <sheetData>
    <row r="1" ht="30.75" customHeight="1">
      <c r="A1" s="27" t="s">
        <v>53</v>
      </c>
      <c r="B1" s="28" t="s">
        <v>55</v>
      </c>
      <c r="C1" s="29" t="s">
        <v>57</v>
      </c>
      <c r="D1" s="30" t="s">
        <v>58</v>
      </c>
      <c r="E1" s="31" t="s">
        <v>59</v>
      </c>
      <c r="F1" s="32" t="s">
        <v>61</v>
      </c>
      <c r="G1" s="29" t="s">
        <v>62</v>
      </c>
      <c r="H1" s="33" t="s">
        <v>63</v>
      </c>
      <c r="I1" s="29" t="s">
        <v>64</v>
      </c>
      <c r="J1" s="29" t="s">
        <v>65</v>
      </c>
      <c r="K1" s="32" t="s">
        <v>66</v>
      </c>
      <c r="L1" s="29" t="s">
        <v>67</v>
      </c>
      <c r="M1" s="34" t="s">
        <v>68</v>
      </c>
      <c r="N1" s="29" t="s">
        <v>70</v>
      </c>
      <c r="O1" s="32" t="s">
        <v>71</v>
      </c>
      <c r="P1" s="29" t="s">
        <v>72</v>
      </c>
      <c r="Q1" s="29" t="s">
        <v>7</v>
      </c>
      <c r="R1" s="33" t="s">
        <v>73</v>
      </c>
      <c r="S1" s="35" t="s">
        <v>74</v>
      </c>
      <c r="T1" s="32" t="s">
        <v>75</v>
      </c>
    </row>
    <row r="2" ht="212.25" customHeight="1">
      <c r="A2" s="36" t="str">
        <f>MID(K2, LEN(K2)-6, 3)</f>
        <v>001</v>
      </c>
      <c r="B2" s="37" t="s">
        <v>80</v>
      </c>
      <c r="C2" s="38" t="s">
        <v>82</v>
      </c>
      <c r="D2" s="39" t="s">
        <v>83</v>
      </c>
      <c r="E2" s="40">
        <v>0.003136574074074074</v>
      </c>
      <c r="F2" s="42" t="s">
        <v>87</v>
      </c>
      <c r="G2" s="45" t="s">
        <v>88</v>
      </c>
      <c r="H2" s="46" t="s">
        <v>90</v>
      </c>
      <c r="I2" s="47" t="s">
        <v>92</v>
      </c>
      <c r="J2" s="46" t="s">
        <v>93</v>
      </c>
      <c r="K2" s="48" t="str">
        <f>TEXTJOIN("", TRUE, Geral!B2:U2)</f>
        <v>BR-SPCARANDIRU_FILMES-PENITESTADO1928-CSDTCARANDIRU_FLG-FME-NDT-DT1_0001-001.mp4</v>
      </c>
      <c r="L2" s="49" t="s">
        <v>95</v>
      </c>
      <c r="M2" s="50" t="s">
        <v>96</v>
      </c>
      <c r="N2" s="45" t="s">
        <v>98</v>
      </c>
      <c r="O2" s="47" t="s">
        <v>99</v>
      </c>
      <c r="P2" s="44" t="s">
        <v>100</v>
      </c>
      <c r="Q2" s="42" t="s">
        <v>102</v>
      </c>
      <c r="R2" s="51" t="str">
        <f>"Figura n – ["&amp;B2&amp;"]"&amp;CHAR(10)&amp;"Fonte: SEM AUTOR, "&amp;TEXT(D2,"yyyy")&amp;"."</f>
        <v>Figura n – [Filmografia de Hector Babenco]
Fonte: SEM AUTOR, Sem data.</v>
      </c>
      <c r="S2" s="52" t="str">
        <f>"SEM AUTOR. ["&amp;B2&amp;"]. "&amp;G2&amp;". "&amp;TEXT(D2,"dd")&amp;" "&amp;LOWER(TEXT(D2,"mmm"))&amp;" "&amp;TEXT(D2,"yyyy")&amp;". "&amp;F2&amp;". Disponível em: &lt;link do dataverse&gt;. Acesso em: 28 mai. 2026."</f>
        <v>SEM AUTOR. [Filmografia de Hector Babenco]. São Paulo, Brasil. Sem data sem data Sem data. Originalmente DVD (suporte físico óptico). Com tratamento, tornou-se arquivo eletrônico (MP4) em suporte digital/nato-digital. Disponível em: &lt;link do dataverse&gt;. Acesso em: 28 mai. 2026.</v>
      </c>
      <c r="T2" s="42" t="s">
        <v>105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61.13"/>
    <col customWidth="1" min="12" max="12" width="82.13"/>
    <col customWidth="1" min="13" max="13" width="80.63"/>
    <col customWidth="1" min="14" max="14" width="88.25"/>
    <col customWidth="1" min="15" max="15" width="42.75"/>
    <col customWidth="1" min="16" max="16" width="23.25"/>
    <col customWidth="1" min="17" max="17" width="42.88"/>
    <col customWidth="1" min="18" max="18" width="45.88"/>
    <col customWidth="1" min="19" max="19" width="55.25"/>
    <col customWidth="1" min="20" max="20" width="94.63"/>
  </cols>
  <sheetData>
    <row r="1" ht="30.75" customHeight="1">
      <c r="A1" s="27" t="s">
        <v>53</v>
      </c>
      <c r="B1" s="28" t="s">
        <v>55</v>
      </c>
      <c r="C1" s="29" t="s">
        <v>57</v>
      </c>
      <c r="D1" s="30" t="s">
        <v>58</v>
      </c>
      <c r="E1" s="31" t="s">
        <v>59</v>
      </c>
      <c r="F1" s="32" t="s">
        <v>61</v>
      </c>
      <c r="G1" s="29" t="s">
        <v>62</v>
      </c>
      <c r="H1" s="33" t="s">
        <v>63</v>
      </c>
      <c r="I1" s="29" t="s">
        <v>64</v>
      </c>
      <c r="J1" s="29" t="s">
        <v>65</v>
      </c>
      <c r="K1" s="32" t="s">
        <v>66</v>
      </c>
      <c r="L1" s="29" t="s">
        <v>67</v>
      </c>
      <c r="M1" s="34" t="s">
        <v>68</v>
      </c>
      <c r="N1" s="29" t="s">
        <v>70</v>
      </c>
      <c r="O1" s="32" t="s">
        <v>71</v>
      </c>
      <c r="P1" s="29" t="s">
        <v>72</v>
      </c>
      <c r="Q1" s="29" t="s">
        <v>7</v>
      </c>
      <c r="R1" s="33" t="s">
        <v>73</v>
      </c>
      <c r="S1" s="35" t="s">
        <v>74</v>
      </c>
      <c r="T1" s="32" t="s">
        <v>75</v>
      </c>
    </row>
    <row r="2" ht="212.25" customHeight="1">
      <c r="A2" s="36" t="str">
        <f>MID(K2, LEN(K2)-6, 3)</f>
        <v>001</v>
      </c>
      <c r="B2" s="37" t="s">
        <v>85</v>
      </c>
      <c r="C2" s="38" t="s">
        <v>82</v>
      </c>
      <c r="D2" s="39" t="s">
        <v>83</v>
      </c>
      <c r="E2" s="43">
        <v>0.022141203703703705</v>
      </c>
      <c r="F2" s="42" t="s">
        <v>87</v>
      </c>
      <c r="G2" s="45" t="s">
        <v>88</v>
      </c>
      <c r="H2" s="46" t="s">
        <v>90</v>
      </c>
      <c r="I2" s="47" t="s">
        <v>92</v>
      </c>
      <c r="J2" s="46" t="s">
        <v>93</v>
      </c>
      <c r="K2" s="48" t="str">
        <f>TEXTJOIN("", TRUE, Geral!B2:U2)</f>
        <v>BR-SPCARANDIRU_FILMES-PENITESTADO1928-CSDTCARANDIRU_FLG-FME-NDT-DT1_0001-001.mp4</v>
      </c>
      <c r="L2" s="49" t="s">
        <v>95</v>
      </c>
      <c r="M2" s="50" t="s">
        <v>101</v>
      </c>
      <c r="N2" s="45" t="s">
        <v>104</v>
      </c>
      <c r="O2" s="47" t="s">
        <v>99</v>
      </c>
      <c r="P2" s="44" t="s">
        <v>100</v>
      </c>
      <c r="Q2" s="42" t="s">
        <v>102</v>
      </c>
      <c r="R2" s="51" t="str">
        <f>"Figura n – ["&amp;B2&amp;"]"&amp;CHAR(10)&amp;"Fonte: Globo Filmes, "&amp;TEXT(D2,"yyyy")&amp;"."</f>
        <v>Figura n – [Os bastidores do filme "Carandiru: um filme de Hector Bebenco" (por Globo Filmes)]
Fonte: Globo Filmes, Sem data.</v>
      </c>
      <c r="S2" s="52" t="str">
        <f>"GLOBO FILMES. ["&amp;B2&amp;"]. "&amp;G2&amp;". "&amp;TEXT(D2,"dd")&amp;" "&amp;LOWER(TEXT(D2,"mmm"))&amp;" "&amp;TEXT(D2,"yyyy")&amp;". "&amp;F2&amp;". Disponível em: &lt;link do dataverse&gt;. Acesso em: 28 mai. 2026."</f>
        <v>GLOBO FILMES. [Os bastidores do filme "Carandiru: um filme de Hector Bebenco" (por Globo Filmes)]. São Paulo, Brasil. Sem data sem data Sem data. Originalmente DVD (suporte físico óptico). Com tratamento, tornou-se arquivo eletrônico (MP4) em suporte digital/nato-digital. Disponível em: &lt;link do dataverse&gt;. Acesso em: 28 mai. 2026.</v>
      </c>
      <c r="T2" s="42" t="s">
        <v>105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61.13"/>
    <col customWidth="1" min="12" max="12" width="82.13"/>
    <col customWidth="1" min="13" max="13" width="80.63"/>
    <col customWidth="1" min="14" max="14" width="88.25"/>
    <col customWidth="1" min="15" max="15" width="42.75"/>
    <col customWidth="1" min="16" max="16" width="23.25"/>
    <col customWidth="1" min="17" max="17" width="42.88"/>
    <col customWidth="1" min="18" max="18" width="45.88"/>
    <col customWidth="1" min="19" max="19" width="55.25"/>
    <col customWidth="1" min="20" max="20" width="94.63"/>
  </cols>
  <sheetData>
    <row r="1" ht="30.75" customHeight="1">
      <c r="A1" s="27" t="s">
        <v>53</v>
      </c>
      <c r="B1" s="28" t="s">
        <v>55</v>
      </c>
      <c r="C1" s="29" t="s">
        <v>57</v>
      </c>
      <c r="D1" s="30" t="s">
        <v>58</v>
      </c>
      <c r="E1" s="31" t="s">
        <v>59</v>
      </c>
      <c r="F1" s="32" t="s">
        <v>61</v>
      </c>
      <c r="G1" s="29" t="s">
        <v>62</v>
      </c>
      <c r="H1" s="33" t="s">
        <v>63</v>
      </c>
      <c r="I1" s="29" t="s">
        <v>64</v>
      </c>
      <c r="J1" s="29" t="s">
        <v>65</v>
      </c>
      <c r="K1" s="32" t="s">
        <v>66</v>
      </c>
      <c r="L1" s="29" t="s">
        <v>67</v>
      </c>
      <c r="M1" s="34" t="s">
        <v>68</v>
      </c>
      <c r="N1" s="29" t="s">
        <v>70</v>
      </c>
      <c r="O1" s="32" t="s">
        <v>71</v>
      </c>
      <c r="P1" s="29" t="s">
        <v>72</v>
      </c>
      <c r="Q1" s="29" t="s">
        <v>7</v>
      </c>
      <c r="R1" s="33" t="s">
        <v>73</v>
      </c>
      <c r="S1" s="35" t="s">
        <v>74</v>
      </c>
      <c r="T1" s="32" t="s">
        <v>75</v>
      </c>
    </row>
    <row r="2" ht="212.25" customHeight="1">
      <c r="A2" s="36" t="str">
        <f>MID(K2, LEN(K2)-6, 3)</f>
        <v>001</v>
      </c>
      <c r="B2" s="37" t="s">
        <v>107</v>
      </c>
      <c r="C2" s="38" t="s">
        <v>82</v>
      </c>
      <c r="D2" s="39" t="s">
        <v>83</v>
      </c>
      <c r="E2" s="40">
        <v>0.005023148148148148</v>
      </c>
      <c r="F2" s="42" t="s">
        <v>87</v>
      </c>
      <c r="G2" s="45" t="s">
        <v>88</v>
      </c>
      <c r="H2" s="46" t="s">
        <v>90</v>
      </c>
      <c r="I2" s="47" t="s">
        <v>92</v>
      </c>
      <c r="J2" s="46" t="s">
        <v>93</v>
      </c>
      <c r="K2" s="48" t="str">
        <f>TEXTJOIN("", TRUE, Geral!B2:U2)</f>
        <v>BR-SPCARANDIRU_FILMES-PENITESTADO1928-CSDTCARANDIRU_FLG-FME-NDT-DT1_0001-001.mp4</v>
      </c>
      <c r="L2" s="49" t="s">
        <v>95</v>
      </c>
      <c r="M2" s="50" t="s">
        <v>108</v>
      </c>
      <c r="N2" s="45" t="s">
        <v>109</v>
      </c>
      <c r="O2" s="47" t="s">
        <v>99</v>
      </c>
      <c r="P2" s="44" t="s">
        <v>100</v>
      </c>
      <c r="Q2" s="42" t="s">
        <v>102</v>
      </c>
      <c r="R2" s="51" t="str">
        <f>"Figura n – ["&amp;B2&amp;"]"&amp;CHAR(10)&amp;"Fonte: WALTER CARVALHO, "&amp;TEXT(D2,"yyyy")&amp;"."</f>
        <v>Figura n – [Slideshow de fotos da produção do filme Carandiru, com trilha sonora]
Fonte: WALTER CARVALHO, Sem data.</v>
      </c>
      <c r="S2" s="52" t="str">
        <f>"WALTER CARVALHO. ["&amp;B2&amp;"]. "&amp;G2&amp;". "&amp;TEXT(D2,"dd")&amp;" "&amp;LOWER(TEXT(D2,"mmm"))&amp;" "&amp;TEXT(D2,"yyyy")&amp;". "&amp;F2&amp;". Disponível em: &lt;link do dataverse&gt;. Acesso em: 28 mai. 2026."</f>
        <v>WALTER CARVALHO. [Slideshow de fotos da produção do filme Carandiru, com trilha sonora]. São Paulo, Brasil. Sem data sem data Sem data. Originalmente DVD (suporte físico óptico). Com tratamento, tornou-se arquivo eletrônico (MP4) em suporte digital/nato-digital. Disponível em: &lt;link do dataverse&gt;. Acesso em: 28 mai. 2026.</v>
      </c>
      <c r="T2" s="42" t="s">
        <v>105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61.13"/>
    <col customWidth="1" min="12" max="12" width="82.13"/>
    <col customWidth="1" min="13" max="13" width="80.63"/>
    <col customWidth="1" min="14" max="14" width="88.25"/>
    <col customWidth="1" min="15" max="15" width="42.75"/>
    <col customWidth="1" min="16" max="16" width="23.25"/>
    <col customWidth="1" min="17" max="17" width="42.88"/>
    <col customWidth="1" min="18" max="18" width="45.88"/>
    <col customWidth="1" min="19" max="19" width="55.25"/>
    <col customWidth="1" min="20" max="20" width="94.63"/>
  </cols>
  <sheetData>
    <row r="1" ht="30.75" customHeight="1">
      <c r="A1" s="27" t="s">
        <v>53</v>
      </c>
      <c r="B1" s="28" t="s">
        <v>55</v>
      </c>
      <c r="C1" s="29" t="s">
        <v>57</v>
      </c>
      <c r="D1" s="30" t="s">
        <v>58</v>
      </c>
      <c r="E1" s="31" t="s">
        <v>59</v>
      </c>
      <c r="F1" s="32" t="s">
        <v>61</v>
      </c>
      <c r="G1" s="29" t="s">
        <v>62</v>
      </c>
      <c r="H1" s="33" t="s">
        <v>63</v>
      </c>
      <c r="I1" s="29" t="s">
        <v>64</v>
      </c>
      <c r="J1" s="29" t="s">
        <v>65</v>
      </c>
      <c r="K1" s="32" t="s">
        <v>66</v>
      </c>
      <c r="L1" s="29" t="s">
        <v>67</v>
      </c>
      <c r="M1" s="34" t="s">
        <v>68</v>
      </c>
      <c r="N1" s="29" t="s">
        <v>70</v>
      </c>
      <c r="O1" s="32" t="s">
        <v>71</v>
      </c>
      <c r="P1" s="29" t="s">
        <v>72</v>
      </c>
      <c r="Q1" s="29" t="s">
        <v>7</v>
      </c>
      <c r="R1" s="33" t="s">
        <v>73</v>
      </c>
      <c r="S1" s="35" t="s">
        <v>74</v>
      </c>
      <c r="T1" s="32" t="s">
        <v>75</v>
      </c>
    </row>
    <row r="2" ht="212.25" customHeight="1">
      <c r="A2" s="36" t="str">
        <f>MID(K2, LEN(K2)-6, 3)</f>
        <v>001</v>
      </c>
      <c r="B2" s="37" t="s">
        <v>114</v>
      </c>
      <c r="C2" s="38" t="s">
        <v>82</v>
      </c>
      <c r="D2" s="39" t="s">
        <v>83</v>
      </c>
      <c r="E2" s="40">
        <v>0.06635416666666667</v>
      </c>
      <c r="F2" s="42" t="s">
        <v>87</v>
      </c>
      <c r="G2" s="45" t="s">
        <v>88</v>
      </c>
      <c r="H2" s="46" t="s">
        <v>90</v>
      </c>
      <c r="I2" s="47" t="s">
        <v>92</v>
      </c>
      <c r="J2" s="46" t="s">
        <v>93</v>
      </c>
      <c r="K2" s="48" t="str">
        <f>TEXTJOIN("", TRUE, Geral!B2:U2)</f>
        <v>BR-SPCARANDIRU_FILMES-PENITESTADO1928-CSDTCARANDIRU_FLG-FME-NDT-DT1_0001-001.mp4</v>
      </c>
      <c r="L2" s="49" t="s">
        <v>95</v>
      </c>
      <c r="M2" s="50" t="s">
        <v>121</v>
      </c>
      <c r="N2" s="45" t="s">
        <v>122</v>
      </c>
      <c r="O2" s="47" t="s">
        <v>99</v>
      </c>
      <c r="P2" s="44" t="s">
        <v>100</v>
      </c>
      <c r="Q2" s="42" t="s">
        <v>102</v>
      </c>
      <c r="R2" s="51" t="str">
        <f>"Figura n – ["&amp;B2&amp;"]"&amp;CHAR(10)&amp;"Fonte: MONICA DELFINO, "&amp;TEXT(D2,"yyyy")&amp;"."</f>
        <v>Figura n – [A direção de arte do filme Carandiru por Monica Delfino]
Fonte: MONICA DELFINO, Sem data.</v>
      </c>
      <c r="S2" s="52" t="str">
        <f>"MONICA DELFINO. ["&amp;B2&amp;"]. "&amp;G2&amp;". "&amp;TEXT(D2,"dd")&amp;" "&amp;LOWER(TEXT(D2,"mmm"))&amp;" "&amp;TEXT(D2,"yyyy")&amp;". "&amp;F2&amp;". Disponível em: &lt;link do dataverse&gt;. Acesso em: 28 mai. 2026."</f>
        <v>MONICA DELFINO. [A direção de arte do filme Carandiru por Monica Delfino]. São Paulo, Brasil. Sem data sem data Sem data. Originalmente DVD (suporte físico óptico). Com tratamento, tornou-se arquivo eletrônico (MP4) em suporte digital/nato-digital. Disponível em: &lt;link do dataverse&gt;. Acesso em: 28 mai. 2026.</v>
      </c>
      <c r="T2" s="42" t="s">
        <v>105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61.13"/>
    <col customWidth="1" min="12" max="12" width="82.13"/>
    <col customWidth="1" min="13" max="13" width="80.63"/>
    <col customWidth="1" min="14" max="14" width="88.25"/>
    <col customWidth="1" min="15" max="15" width="42.75"/>
    <col customWidth="1" min="16" max="16" width="23.25"/>
    <col customWidth="1" min="17" max="17" width="42.88"/>
    <col customWidth="1" min="18" max="18" width="45.88"/>
    <col customWidth="1" min="19" max="19" width="55.25"/>
    <col customWidth="1" min="20" max="20" width="94.63"/>
  </cols>
  <sheetData>
    <row r="1" ht="30.75" customHeight="1">
      <c r="A1" s="27" t="s">
        <v>53</v>
      </c>
      <c r="B1" s="28" t="s">
        <v>55</v>
      </c>
      <c r="C1" s="29" t="s">
        <v>57</v>
      </c>
      <c r="D1" s="30" t="s">
        <v>58</v>
      </c>
      <c r="E1" s="31" t="s">
        <v>59</v>
      </c>
      <c r="F1" s="32" t="s">
        <v>61</v>
      </c>
      <c r="G1" s="29" t="s">
        <v>62</v>
      </c>
      <c r="H1" s="33" t="s">
        <v>63</v>
      </c>
      <c r="I1" s="29" t="s">
        <v>64</v>
      </c>
      <c r="J1" s="29" t="s">
        <v>65</v>
      </c>
      <c r="K1" s="32" t="s">
        <v>66</v>
      </c>
      <c r="L1" s="29" t="s">
        <v>67</v>
      </c>
      <c r="M1" s="34" t="s">
        <v>68</v>
      </c>
      <c r="N1" s="29" t="s">
        <v>70</v>
      </c>
      <c r="O1" s="32" t="s">
        <v>71</v>
      </c>
      <c r="P1" s="29" t="s">
        <v>72</v>
      </c>
      <c r="Q1" s="29" t="s">
        <v>7</v>
      </c>
      <c r="R1" s="33" t="s">
        <v>73</v>
      </c>
      <c r="S1" s="35" t="s">
        <v>74</v>
      </c>
      <c r="T1" s="32" t="s">
        <v>75</v>
      </c>
    </row>
    <row r="2" ht="212.25" customHeight="1">
      <c r="A2" s="36" t="str">
        <f>MID(K2, LEN(K2)-6, 3)</f>
        <v>001</v>
      </c>
      <c r="B2" s="37" t="s">
        <v>110</v>
      </c>
      <c r="C2" s="56" t="s">
        <v>111</v>
      </c>
      <c r="D2" s="39" t="s">
        <v>83</v>
      </c>
      <c r="E2" s="57" t="s">
        <v>113</v>
      </c>
      <c r="F2" s="44" t="s">
        <v>115</v>
      </c>
      <c r="G2" s="45" t="s">
        <v>88</v>
      </c>
      <c r="H2" s="46" t="s">
        <v>90</v>
      </c>
      <c r="I2" s="47" t="s">
        <v>92</v>
      </c>
      <c r="J2" s="46" t="s">
        <v>93</v>
      </c>
      <c r="K2" s="48" t="str">
        <f>TEXTJOIN("", TRUE, Geral!B2:U2)</f>
        <v>BR-SPCARANDIRU_FILMES-PENITESTADO1928-CSDTCARANDIRU_FLG-FME-NDT-DT1_0001-001.mp4</v>
      </c>
      <c r="L2" s="49" t="s">
        <v>95</v>
      </c>
      <c r="M2" s="50" t="s">
        <v>118</v>
      </c>
      <c r="N2" s="45" t="s">
        <v>119</v>
      </c>
      <c r="O2" s="47" t="s">
        <v>99</v>
      </c>
      <c r="P2" s="44" t="s">
        <v>100</v>
      </c>
      <c r="Q2" s="42" t="s">
        <v>102</v>
      </c>
      <c r="R2" s="51" t="str">
        <f>"Figura n – ["&amp;B2&amp;"]"&amp;CHAR(10)&amp;"Fonte: Vários Autores. Acervo GPDVE, "&amp;TEXT(D2,"yyyy")&amp;"."</f>
        <v>Figura n – [Coletânea audiovisual sobre o complexo do Carandiru (documentários)]
Fonte: Vários Autores. Acervo GPDVE, Sem data.</v>
      </c>
      <c r="S2" s="52" t="str">
        <f>"VÁRIOS AUTORES. ["&amp;B2&amp;"]. "&amp;G2&amp;". "&amp;TEXT(D2,"dd")&amp;" "&amp;LOWER(TEXT(D2,"mmm"))&amp;" "&amp;TEXT(D2,"yyyy")&amp;". "&amp;F2&amp;". Disponível em: &lt;link do dataverse&gt;. Acesso em: 28 mai. 2026."</f>
        <v>VÁRIOS AUTORES. [Coletânea audiovisual sobre o complexo do Carandiru (documentários)]. São Paulo, Brasil. Sem data sem data Sem data. Originalmente DVD (suporte físico óptico).. Disponível em: &lt;link do dataverse&gt;. Acesso em: 28 mai. 2026.</v>
      </c>
      <c r="T2" s="42" t="s">
        <v>105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7.13"/>
    <col customWidth="1" min="3" max="3" width="15.5"/>
    <col customWidth="1" min="4" max="4" width="19.13"/>
    <col customWidth="1" min="5" max="5" width="20.88"/>
    <col customWidth="1" min="6" max="6" width="54.75"/>
    <col customWidth="1" min="7" max="7" width="15.25"/>
    <col customWidth="1" min="8" max="8" width="15.38"/>
    <col customWidth="1" min="9" max="9" width="14.88"/>
    <col customWidth="1" min="10" max="10" width="35.13"/>
    <col customWidth="1" min="11" max="11" width="25.5"/>
    <col customWidth="1" min="12" max="12" width="16.5"/>
    <col customWidth="1" min="13" max="13" width="16.13"/>
    <col customWidth="1" min="14" max="14" width="16.25"/>
  </cols>
  <sheetData>
    <row r="1" ht="44.25" customHeight="1">
      <c r="A1" s="53"/>
      <c r="B1" s="54" t="s">
        <v>0</v>
      </c>
      <c r="C1" s="55" t="s">
        <v>1</v>
      </c>
      <c r="D1" s="55" t="s">
        <v>2</v>
      </c>
      <c r="E1" s="55" t="s">
        <v>112</v>
      </c>
      <c r="F1" s="55" t="s">
        <v>4</v>
      </c>
      <c r="G1" s="55" t="s">
        <v>5</v>
      </c>
      <c r="H1" s="55" t="s">
        <v>6</v>
      </c>
      <c r="I1" s="55" t="s">
        <v>7</v>
      </c>
      <c r="J1" s="55" t="s">
        <v>8</v>
      </c>
      <c r="K1" s="58" t="s">
        <v>9</v>
      </c>
      <c r="L1" s="59"/>
      <c r="M1" s="59"/>
      <c r="N1" s="59"/>
    </row>
    <row r="2" ht="43.5" customHeight="1">
      <c r="A2" s="60" t="s">
        <v>116</v>
      </c>
      <c r="B2" s="61" t="s">
        <v>117</v>
      </c>
      <c r="C2" s="60" t="s">
        <v>117</v>
      </c>
      <c r="D2" s="60" t="s">
        <v>117</v>
      </c>
      <c r="E2" s="60" t="s">
        <v>117</v>
      </c>
      <c r="F2" s="60" t="s">
        <v>120</v>
      </c>
      <c r="G2" s="60" t="s">
        <v>120</v>
      </c>
      <c r="H2" s="60" t="s">
        <v>120</v>
      </c>
      <c r="I2" s="60" t="s">
        <v>120</v>
      </c>
      <c r="J2" s="60" t="s">
        <v>120</v>
      </c>
      <c r="K2" s="62" t="s">
        <v>117</v>
      </c>
      <c r="L2" s="59"/>
      <c r="M2" s="59"/>
      <c r="N2" s="59"/>
    </row>
    <row r="3" ht="90.0" customHeight="1">
      <c r="A3" s="63" t="s">
        <v>123</v>
      </c>
      <c r="B3" s="60" t="s">
        <v>124</v>
      </c>
      <c r="C3" s="60" t="s">
        <v>125</v>
      </c>
      <c r="D3" s="60" t="s">
        <v>90</v>
      </c>
      <c r="E3" s="64" t="s">
        <v>123</v>
      </c>
      <c r="F3" s="64" t="s">
        <v>126</v>
      </c>
      <c r="G3" s="65" t="s">
        <v>100</v>
      </c>
      <c r="H3" s="65" t="s">
        <v>127</v>
      </c>
      <c r="I3" s="65" t="s">
        <v>128</v>
      </c>
      <c r="J3" s="64" t="s">
        <v>129</v>
      </c>
      <c r="K3" s="62" t="s">
        <v>130</v>
      </c>
      <c r="L3" s="59"/>
      <c r="M3" s="59"/>
      <c r="N3" s="59"/>
    </row>
    <row r="4" ht="103.5" customHeight="1">
      <c r="A4" s="66"/>
      <c r="B4" s="67" t="s">
        <v>10</v>
      </c>
      <c r="C4" s="67" t="s">
        <v>12</v>
      </c>
      <c r="D4" s="67" t="s">
        <v>131</v>
      </c>
      <c r="E4" s="68" t="s">
        <v>15</v>
      </c>
      <c r="F4" s="68" t="s">
        <v>132</v>
      </c>
      <c r="G4" s="69" t="s">
        <v>17</v>
      </c>
      <c r="H4" s="69" t="s">
        <v>18</v>
      </c>
      <c r="I4" s="69" t="s">
        <v>19</v>
      </c>
      <c r="J4" s="68" t="s">
        <v>133</v>
      </c>
      <c r="K4" s="70" t="s">
        <v>134</v>
      </c>
      <c r="L4" s="59"/>
      <c r="M4" s="59"/>
      <c r="N4" s="59"/>
    </row>
    <row r="5" ht="15.75" customHeight="1">
      <c r="A5" s="71"/>
      <c r="B5" s="71"/>
      <c r="C5" s="72"/>
      <c r="D5" s="72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ht="15.75" customHeight="1">
      <c r="A6" s="71"/>
      <c r="B6" s="71"/>
      <c r="C6" s="72"/>
      <c r="D6" s="72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ht="15.75" customHeight="1">
      <c r="A7" s="71"/>
      <c r="B7" s="71"/>
      <c r="C7" s="72"/>
      <c r="D7" s="72"/>
      <c r="E7" s="71"/>
      <c r="F7" s="71"/>
      <c r="G7" s="71"/>
      <c r="H7" s="71"/>
      <c r="I7" s="71"/>
      <c r="J7" s="71"/>
      <c r="K7" s="71"/>
      <c r="L7" s="71"/>
      <c r="M7" s="71"/>
      <c r="N7" s="71"/>
    </row>
  </sheetData>
  <mergeCells count="1">
    <mergeCell ref="A3:A4"/>
  </mergeCells>
  <dataValidations>
    <dataValidation type="list" allowBlank="1" showErrorMessage="1" sqref="B2:K2">
      <formula1>"Obrigatório,Opcional"</formula1>
    </dataValidation>
  </dataValidations>
  <drawing r:id="rId1"/>
</worksheet>
</file>