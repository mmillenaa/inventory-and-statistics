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Demolicao" sheetId="2" r:id="rId5"/>
    <sheet state="visible" name="Massacre" sheetId="3" r:id="rId6"/>
    <sheet state="visible" name="OriginalDVD" sheetId="4" r:id="rId7"/>
    <sheet state="visible" name="OriginalDVD2" sheetId="5" r:id="rId8"/>
    <sheet state="visible" name="Classificação" sheetId="6" r:id="rId9"/>
  </sheets>
  <definedNames/>
  <calcPr/>
  <extLst>
    <ext uri="GoogleSheetsCustomDataVersion2">
      <go:sheetsCustomData xmlns:go="http://customooxmlschemas.google.com/" r:id="rId10" roundtripDataChecksum="JPvSlKU9TSSr8AvtSgYisGd8mr68WiNnhwdt6ROwRr8="/>
    </ext>
  </extLst>
</workbook>
</file>

<file path=xl/sharedStrings.xml><?xml version="1.0" encoding="utf-8"?>
<sst xmlns="http://schemas.openxmlformats.org/spreadsheetml/2006/main" count="1495" uniqueCount="191">
  <si>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</si>
  <si>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</si>
  <si>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</si>
  <si>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</si>
  <si>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</si>
  <si>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</si>
  <si>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</si>
  <si>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</si>
  <si>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</si>
  <si>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</si>
  <si>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</si>
  <si>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</si>
  <si>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</si>
  <si>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GPDVE</t>
  </si>
  <si>
    <t>_</t>
  </si>
  <si>
    <t>NOTICIAS</t>
  </si>
  <si>
    <t>MASSACRE-CSDTCARANDIRU</t>
  </si>
  <si>
    <t>AVS</t>
  </si>
  <si>
    <t>NOT</t>
  </si>
  <si>
    <t>NDT</t>
  </si>
  <si>
    <t>DT1</t>
  </si>
  <si>
    <t>0001-</t>
  </si>
  <si>
    <t>001</t>
  </si>
  <si>
    <t>.mp4</t>
  </si>
  <si>
    <t>002</t>
  </si>
  <si>
    <t>DEMOLICAO-CSDTCARANDIRU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</si>
  <si>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</si>
  <si>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</si>
  <si>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</si>
  <si>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</si>
  <si>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</si>
  <si>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</si>
  <si>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</si>
  <si>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</si>
  <si>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</si>
  <si>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</si>
  <si>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</si>
  <si>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</si>
  <si>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</si>
  <si>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</si>
  <si>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</si>
  <si>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</si>
  <si>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</si>
  <si>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</si>
  <si>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</si>
  <si>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</si>
  <si>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</si>
  <si>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</si>
  <si>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</si>
  <si>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</si>
  <si>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</si>
  <si>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</si>
  <si>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</si>
  <si>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</si>
  <si>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</si>
  <si>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ORIGINALDVD-CSDTCARANDIRU</t>
  </si>
  <si>
    <t>DTX</t>
  </si>
  <si>
    <t>.VOB</t>
  </si>
  <si>
    <t>.IFO</t>
  </si>
  <si>
    <t>.BUP</t>
  </si>
  <si>
    <t>ORIGINALDVD2-CSDTCARANDIRU</t>
  </si>
  <si>
    <t>BUP</t>
  </si>
  <si>
    <t>IFO</t>
  </si>
  <si>
    <t>VOB</t>
  </si>
  <si>
    <t>Cód.</t>
  </si>
  <si>
    <t>Título descritivo (atribuído)</t>
  </si>
  <si>
    <t>Nível de descrição</t>
  </si>
  <si>
    <t>Data</t>
  </si>
  <si>
    <t>Duração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</si>
  <si>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</si>
  <si>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</si>
  <si>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</si>
  <si>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</si>
  <si>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</si>
  <si>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</si>
  <si>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</si>
  <si>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</si>
  <si>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</si>
  <si>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</si>
  <si>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</si>
  <si>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</si>
  <si>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</si>
  <si>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</si>
  <si>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Rede Bandeirantes, veiculada no programa Primeiro Jornal em 2005.</t>
  </si>
  <si>
    <t>Item</t>
  </si>
  <si>
    <t>Originalmente DVD (suporte físico óptico). Com tratamento, tornou-se arquivo eletrônico (MP4) em suporte digital/nato-digital</t>
  </si>
  <si>
    <t>São Paulo, Brasil</t>
  </si>
  <si>
    <t>Grupo de Pesquisa em Direito e Violência de Estado</t>
  </si>
  <si>
    <t>Notícias - Demolição - Casa de Detenção do Carandiru</t>
  </si>
  <si>
    <t>Pasta: 0001</t>
  </si>
  <si>
    <t>Verificar com a professora Maíra</t>
  </si>
  <si>
    <t>Demolição dos pavilhões 2 e 5 da casa de detenção do Carandiru. Trecho de reportagem da Rede Bandeirantes, veiculada no programa Primeiro Jornal em 2005.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</si>
  <si>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</si>
  <si>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</si>
  <si>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</si>
  <si>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</si>
  <si>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"Implosão carandiru - noticiário".</t>
  </si>
  <si>
    <t>Trecho de reportagem da TV Cultura, veiculada sobre o Carandiru em 2005.</t>
  </si>
  <si>
    <t>Demolição dos pavilhões 2 e 5 da casa de detenção do Carandiru. Trecho de reportagem da TV Cultura, veiculada sobre o Carandiru (arquivo mesclado) em 2005.</t>
  </si>
  <si>
    <t>Trecho de reportagem da TV Cultura, veiculada no programa Jornal da Cultura em 2005.</t>
  </si>
  <si>
    <t>Demolição dos pavilhões 2 e 5 da casa de detenção do Carandiru. Trecho de reportagem da TV Cultura, veiculada no programa Jornal da Cultura em 2005.</t>
  </si>
  <si>
    <t>Trecho de reportagem da TV Cultura, veiculada no programa Diário Paulista em 2005.</t>
  </si>
  <si>
    <t>Demolição dos pavilhões 2 e 5 da casa de detenção do Carandiru. Trecho de reportagem da TV Cultura, veiculada no programa Diário Paulista em 2005.</t>
  </si>
  <si>
    <t>Trecho de reportagem da TV Cultura, veiculada no programa Jornal da Cultura (Edição de Sábado) em 2005.</t>
  </si>
  <si>
    <t>Demolição dos pavilhões 2 e 5 da casa de detenção do Carandiru. Trecho de reportagem da TV Cultura, veiculada no programa Jornal da Cultura (Edição de Sábado) em 2005.</t>
  </si>
  <si>
    <t>Trecho de reportagem da TV Gazeta, veiculada no programa Jornal da Gazeta em 2005.</t>
  </si>
  <si>
    <t>Demolição dos pavilhões 2 e 5 da casa de detenção do Carandiru. Trecho de reportagem da TV Gazeta, veiculada no programa Jornal da Gazeta (Completo) em 2005.</t>
  </si>
  <si>
    <t>Demolição dos pavilhões 2 e 5 da casa de detenção do Carandiru. Trecho de reportagem da TV Gazeta, veiculada no programa Jornal da Gazeta em 2005.</t>
  </si>
  <si>
    <t>Trecho de reportagem da Rede Globo, veiculada no programa SPTV em 2005.</t>
  </si>
  <si>
    <t>Demolição dos pavilhões 2 e 5 da casa de detenção do Carandiru. Trecho de reportagem da Rede Globo, veiculada no programa SPTV em 2005.</t>
  </si>
  <si>
    <t>Trecho de reportagem da GloboNews, veiculada no programa Em Cima da Hora em 2005.</t>
  </si>
  <si>
    <t>Demolição dos pavilhões 2 e 5 da casa de detenção do Carandiru. Trecho de reportagem da GloboNews, veiculada no programa Em Cima da Hora em 2005.</t>
  </si>
  <si>
    <t>Trecho de reportagem da Rede Globo, veiculada no programa Fantástico em 2005.</t>
  </si>
  <si>
    <t>Demolição dos pavilhões 2 e 5 da casa de detenção do Carandiru. Trecho de reportagem da Rede Globo, veiculada no programa Fantástico em 2005.</t>
  </si>
  <si>
    <t>Trecho de reportagem da Rede Globo, veiculada no programa Bom Dia São Paulo [Parte 1] em 2005.</t>
  </si>
  <si>
    <t>Demolição dos pavilhões 2 e 5 da casa de detenção do Carandiru. Trecho de reportagem da Rede Globo, veiculada no programa Bom Dia São Paulo [Parte 1] em 2005.</t>
  </si>
  <si>
    <t>Trecho de reportagem da Rede Globo, veiculada no programa Bom Dia São Paulo [Parte 2] em 2005.</t>
  </si>
  <si>
    <t>Demolição dos pavilhões 2 e 5 da casa de detenção do Carandiru. Trecho de reportagem da Rede Globo, veiculada no programa Bom Dia São Paulo [Parte 2] em 2005.</t>
  </si>
  <si>
    <t>Vinheta da Rede Record, veiculada no programa São Paulo no Ar em 2005.</t>
  </si>
  <si>
    <t>Trecho de reportagem da Rede Record, veiculada no programa Fala Brasil [Parte 1] em 2005.</t>
  </si>
  <si>
    <t>Demolição dos pavilhões 2 e 5 da casa de detenção do Carandiru. Trecho de reportagem da Rede Record, veiculada no programa Fala Brasil [Parte 1] em 2005.</t>
  </si>
  <si>
    <t>Trecho de reportagem da Rede Record, veiculada no programa Edição de Notícias em 2005.</t>
  </si>
  <si>
    <t>Demolição dos pavilhões 2 e 5 da casa de detenção do Carandiru. Trecho de reportagem da Rede Record, veiculada no programa Edição de Notícias em 2005.</t>
  </si>
  <si>
    <t>Trecho de reportagem da Rede Record, veiculada no programa Jornal da Record em 2005.</t>
  </si>
  <si>
    <t>Demolição dos pavilhões 2 e 5 da casa de detenção do Carandiru. Trecho de reportagem da Rede Record, veiculada no programa Jornal da Record em 2005.</t>
  </si>
  <si>
    <t>Trecho de reportagem da Rede Record, veiculada no programa Domingo Espetacular em 2005.</t>
  </si>
  <si>
    <t>Demolição dos pavilhões 2 e 5 da casa de detenção do Carandiru. Trecho de reportagem da Rede Record, veiculada no programa Domingo Espetacular em 2005.</t>
  </si>
  <si>
    <t>Trecho de reportagem da Rede Record, veiculada no programa São Paulo no Ar em 2005.</t>
  </si>
  <si>
    <t>Demolição dos pavilhões 2 e 5 da casa de detenção do Carandiru. Trecho de reportagem da Rede Record, veiculada no programa São Paulo no Ar em 2005.</t>
  </si>
  <si>
    <t>Trecho de reportagem da Rede Record, veiculada no programa Fala Brasil [Parte 2] em 2005.</t>
  </si>
  <si>
    <t>Demolição dos pavilhões 2 e 5 da casa de detenção do Carandiru. Trecho de reportagem da Rede Record, veiculada no programa Fala Brasil [Parte 2] em 2005.</t>
  </si>
  <si>
    <t>Trecho de reportagem da RedeTV!, veiculada no programa Esporte Notícias [Parte 1] em 2005.</t>
  </si>
  <si>
    <t>Demolição dos pavilhões 2 e 5 da casa de detenção do Carandiru. Trecho de reportagem da RedeTV!, veiculada no programa Esporte Notícias [Parte 1] em 2005.</t>
  </si>
  <si>
    <t>Trecho de reportagem da RedeTV!, veiculada no programa Jornal da TV em 2005.</t>
  </si>
  <si>
    <t>Demolição dos pavilhões 2 e 5 da casa de detenção do Carandiru. Trecho de reportagem da RedeTV!, veiculada no programa Jornal da TV em 2005.</t>
  </si>
  <si>
    <t>Trecho de reportagem da RedeTV!, veiculada no programa Leitura Dinâmica em 2005.</t>
  </si>
  <si>
    <t>Demolição dos pavilhões 2 e 5 da casa de detenção do Carandiru. Trecho de reportagem da RedeTV!, veiculada no programa Leitura Dinâmica em 2005.</t>
  </si>
  <si>
    <t>Trecho de reportagem da RedeTV!, veiculada no programa Notícias do Brasil em 2005.</t>
  </si>
  <si>
    <t>Demolição dos pavilhões 2 e 5 da casa de detenção do Carandiru. Trecho de reportagem da RedeTV!, veiculada no programa Notícias do Brasil em 2005.</t>
  </si>
  <si>
    <t>Trecho de reportagem da RedeTV!, veiculada no programa Esporte Notícias [Parte 2] em 2005.</t>
  </si>
  <si>
    <t>Demolição dos pavilhões 2 e 5 da casa de detenção do Carandiru. Trecho de reportagem da RedeTV!, veiculada no programa Esporte Notícias [Parte 2] em 2005.</t>
  </si>
  <si>
    <t>Trecho de reportagem do SBT, veiculada no programa Jornal do SBT [Parte 1] em 2005.</t>
  </si>
  <si>
    <t>Demolição dos pavilhões 2 e 5 da casa de detenção do Carandiru. Trecho de reportagem do SBT, veiculada no programa Jornal do SBT [Parte 1] em 2005.</t>
  </si>
  <si>
    <t>Trecho de reportagem do SBT, veiculada no programa Domingo Legal em 2005.</t>
  </si>
  <si>
    <t>Demolição dos pavilhões 2 e 5 da casa de detenção do Carandiru. Trecho de reportagem do SBT, veiculada no programa Domingo Legal em 2005.</t>
  </si>
  <si>
    <t>Trecho de reportagem do SBT, veiculada no programa Jornal do SBT [Parte 2] em 2005.</t>
  </si>
  <si>
    <t>Demolição dos pavilhões 2 e 5 da casa de detenção do Carandiru. Trecho de reportagem do SBT, veiculada no programa Jornal do SBT [Parte 2] em 2005.</t>
  </si>
  <si>
    <t>Trecho de reportagem de emissora Canal 21 (Rede 21 Comunicações S.A.), veiculada no programa Jornal 21 em 2005.</t>
  </si>
  <si>
    <t>Demolição dos pavilhões 2 e 5 da casa de detenção do Carandiru. Trecho de reportagem de emissora Canal 21 (Rede 21 Comunicações S.A.), veiculada no programa Jornal 21 em 2005.</t>
  </si>
  <si>
    <t>Vinheta de advertência do Arquivo de Imagem e Som, datada de 2005.</t>
  </si>
  <si>
    <t>Trecho de reportagem sem identificação de autoria prévia (Clipe 4), datada de 2005.</t>
  </si>
  <si>
    <t>Demolição dos pavilhões 2 e 5 da casa de detenção do Carandiru. Trecho de reportagem sem identificação de autoria prévia (Clipe 4), datada de 2005.</t>
  </si>
  <si>
    <t>Trecho de reportagem com Manoel Jorge Diniz Dias para o programa SPTV na Globo.</t>
  </si>
  <si>
    <t>Sem data</t>
  </si>
  <si>
    <t>Trecho de reportagem com Manoel Jorge Diniz Dias para o programa SPTV na Globo. Manoel foi um dos engenheiros responsáveis pela implosão dos pavilhões do complexo do Carandiru. Conhecido como "Manezinho da Implosão", é um engenheiro de minas formado pela USP e especialista em implosões no país.</t>
  </si>
  <si>
    <t>Este item pertencia à pasta intitulada "Entrevista Manoel".</t>
  </si>
  <si>
    <t xml:space="preserve">Data </t>
  </si>
  <si>
    <t>Tamanho</t>
  </si>
  <si>
    <t>Trecho de reportagem da Globo, veiculada no programa Globo Reporter. Apresentado por Alexandre Garcia.</t>
  </si>
  <si>
    <t>Fotografia digitalizada; colorida; suporte em papel fotográfico</t>
  </si>
  <si>
    <t>Arcoenge - Demolição - Casa de Detenção do Carandiru (Fotografias)</t>
  </si>
  <si>
    <t>Trecho de reportagem tratando sobre o Massacre do Carandiru.</t>
  </si>
  <si>
    <t>Este item pertencia à pasta intitulada "Carandiru - disco 2".</t>
  </si>
  <si>
    <t>Trecho de reportagem da Globo, veiculada no programa Globo Reporter. Apresentado por Celso de Freitas.</t>
  </si>
  <si>
    <t>Entrevista com Manoel</t>
  </si>
  <si>
    <t>Conjunto</t>
  </si>
  <si>
    <t>--</t>
  </si>
  <si>
    <t>DVD (suporte físico óptico)</t>
  </si>
  <si>
    <t>Registro audiovisual contendo trecho de reportagem veiculada pelo programa SPTV (Rede Globo). O vídeo centra-se em uma entrevista com Manoel Jorge Diniz Dias, conhecido como "Manezinho da Implosão", engenheiro de minas formado pela USP e um dos responsáveis técnicos pela implosão dos pavilhões do complexo da Casa de Detenção de São Paulo (Carandiru). O arquivo digital retém, em seus instantes iniciais, a tela de menu original do DVD de origem.</t>
  </si>
  <si>
    <t>Este conjunto pertencia à pasta intitulada "Entrevista Manoel".</t>
  </si>
  <si>
    <t>Cobertura jornalística da implosão dos pavilhões 2 e 5</t>
  </si>
  <si>
    <t>Notícias - Demolição - Casa de Detenção do Carandiru
Notícias - Massacre - Casa de Detenção do Carandiru</t>
  </si>
  <si>
    <t>Compilação audiovisual contendo blocos de notícias e reportagens televisivas referentes ao processo de demolição e implosão dos pavilhões 2 e 5 da Casa de Detenção de São Paulo (Carandiru).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</si>
  <si>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</si>
  <si>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</si>
  <si>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</si>
  <si>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</si>
  <si>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</si>
  <si>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</si>
  <si>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</si>
  <si>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Noticias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</si>
  <si>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</si>
  <si>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</si>
  <si>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</si>
  <si>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</si>
  <si>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</si>
  <si>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Notícias</t>
  </si>
  <si>
    <t>AUD</t>
  </si>
  <si>
    <t>DT1
DTX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</si>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</sst>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0000FF"/>
      <name val="Roboto Mono"/>
    </font>
    <font>
      <color rgb="FF34A853"/>
      <name val="Roboto Mono"/>
    </font>
    <font>
      <color rgb="FFEA4335"/>
      <name val="Roboto Mono"/>
    </font>
    <font>
      <color rgb="FF073763"/>
      <name val="Roboto Mono"/>
    </font>
    <font>
      <color theme="5"/>
      <name val="Roboto Mono"/>
    </font>
    <font>
      <color rgb="FF10786E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FF0000"/>
      <name val="Roboto"/>
    </font>
    <font>
      <sz val="12.0"/>
      <color rgb="FF028BCD"/>
      <name val="Roboto"/>
    </font>
    <font>
      <color theme="1"/>
      <name val="Arial"/>
      <scheme val="minor"/>
    </font>
    <font>
      <sz val="12.0"/>
      <color theme="6"/>
      <name val="Roboto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5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ck">
        <color rgb="FF999999"/>
      </left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/>
    </xf>
    <xf borderId="2" fillId="0" fontId="11" numFmtId="49" xfId="0" applyAlignment="1" applyBorder="1" applyFont="1" applyNumberFormat="1">
      <alignment horizontal="center" readingOrder="0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/>
    </xf>
    <xf borderId="0" fillId="3" fontId="11" numFmtId="49" xfId="0" applyAlignment="1" applyFont="1" applyNumberFormat="1">
      <alignment horizontal="center"/>
    </xf>
    <xf borderId="2" fillId="3" fontId="11" numFmtId="49" xfId="0" applyAlignment="1" applyBorder="1" applyFont="1" applyNumberForma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3" fontId="13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8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49" xfId="0" applyAlignment="1" applyFont="1" applyNumberFormat="1">
      <alignment horizontal="center"/>
    </xf>
    <xf borderId="0" fillId="4" fontId="13" numFmtId="49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shrinkToFit="0" vertical="center" wrapText="1"/>
    </xf>
    <xf borderId="0" fillId="5" fontId="15" numFmtId="0" xfId="0" applyAlignment="1" applyFill="1" applyFont="1">
      <alignment horizontal="center" shrinkToFit="0" vertical="center" wrapText="1"/>
    </xf>
    <xf borderId="0" fillId="6" fontId="15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7" numFmtId="164" xfId="0" applyAlignment="1" applyBorder="1" applyFont="1" applyNumberFormat="1">
      <alignment horizontal="center" readingOrder="0" shrinkToFit="0" vertical="center" wrapText="1"/>
    </xf>
    <xf borderId="5" fillId="0" fontId="17" numFmtId="165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5" fillId="8" fontId="14" numFmtId="0" xfId="0" applyAlignment="1" applyBorder="1" applyFill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" fillId="0" fontId="17" numFmtId="164" xfId="0" applyAlignment="1" applyBorder="1" applyFont="1" applyNumberFormat="1">
      <alignment horizontal="center" readingOrder="0" shrinkToFit="0" vertical="center" wrapText="1"/>
    </xf>
    <xf borderId="6" fillId="0" fontId="17" numFmtId="165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vertical="center"/>
    </xf>
    <xf borderId="0" fillId="6" fontId="15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4" fillId="2" fontId="14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readingOrder="0" vertical="center"/>
    </xf>
    <xf borderId="5" fillId="0" fontId="20" numFmtId="165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shrinkToFit="0" vertical="center" wrapText="1"/>
    </xf>
    <xf borderId="6" fillId="0" fontId="18" numFmtId="0" xfId="0" applyAlignment="1" applyBorder="1" applyFont="1">
      <alignment horizontal="center" vertical="center"/>
    </xf>
    <xf borderId="6" fillId="0" fontId="20" numFmtId="165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/>
    </xf>
    <xf borderId="5" fillId="0" fontId="22" numFmtId="0" xfId="0" applyAlignment="1" applyBorder="1" applyFont="1">
      <alignment horizontal="center" readingOrder="0" shrinkToFit="0" vertical="center" wrapText="1"/>
    </xf>
    <xf borderId="6" fillId="8" fontId="18" numFmtId="0" xfId="0" applyAlignment="1" applyBorder="1" applyFont="1">
      <alignment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2" fontId="23" numFmtId="0" xfId="0" applyAlignment="1" applyBorder="1" applyFont="1">
      <alignment horizontal="center" shrinkToFit="0" vertical="center" wrapText="1"/>
    </xf>
    <xf borderId="9" fillId="2" fontId="23" numFmtId="0" xfId="0" applyAlignment="1" applyBorder="1" applyFont="1">
      <alignment horizontal="center" shrinkToFit="0" vertical="center" wrapText="1"/>
    </xf>
    <xf borderId="10" fillId="2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2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13" fillId="0" fontId="4" numFmtId="0" xfId="0" applyBorder="1" applyFont="1"/>
    <xf borderId="13" fillId="9" fontId="23" numFmtId="0" xfId="0" applyAlignment="1" applyBorder="1" applyFill="1" applyFont="1">
      <alignment horizontal="center" shrinkToFit="0" vertical="center" wrapText="1"/>
    </xf>
    <xf borderId="1" fillId="9" fontId="23" numFmtId="0" xfId="0" applyAlignment="1" applyBorder="1" applyFont="1">
      <alignment horizontal="center" shrinkToFit="0" vertical="center" wrapText="1"/>
    </xf>
    <xf borderId="1" fillId="9" fontId="23" numFmtId="0" xfId="0" applyAlignment="1" applyBorder="1" applyFont="1">
      <alignment horizontal="center" readingOrder="0" shrinkToFit="0" vertical="center" wrapText="1"/>
    </xf>
    <xf borderId="1" fillId="9" fontId="23" numFmtId="0" xfId="0" applyAlignment="1" applyBorder="1" applyFont="1">
      <alignment horizontal="center" shrinkToFit="0" vertical="center" wrapText="1"/>
    </xf>
    <xf borderId="14" fillId="9" fontId="23" numFmtId="49" xfId="0" applyAlignment="1" applyBorder="1" applyFont="1" applyNumberFormat="1">
      <alignment horizontal="center" readingOrder="0" shrinkToFit="0" vertical="center" wrapText="1"/>
    </xf>
    <xf borderId="0" fillId="0" fontId="24" numFmtId="0" xfId="0" applyFont="1"/>
    <xf borderId="0" fillId="0" fontId="24" numFmtId="0" xfId="0" applyAlignment="1" applyFont="1">
      <alignment horizontal="center"/>
    </xf>
    <xf borderId="0" fillId="10" fontId="24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0" t="s">
        <v>14</v>
      </c>
      <c r="G2" s="11" t="s">
        <v>15</v>
      </c>
      <c r="H2" s="9" t="s">
        <v>11</v>
      </c>
      <c r="I2" s="12" t="s">
        <v>16</v>
      </c>
      <c r="J2" s="9" t="s">
        <v>14</v>
      </c>
      <c r="K2" s="13" t="s">
        <v>17</v>
      </c>
      <c r="L2" s="9" t="s">
        <v>11</v>
      </c>
      <c r="M2" s="13" t="s">
        <v>18</v>
      </c>
      <c r="N2" s="9" t="s">
        <v>11</v>
      </c>
      <c r="O2" s="13" t="s">
        <v>19</v>
      </c>
      <c r="P2" s="9" t="s">
        <v>11</v>
      </c>
      <c r="Q2" s="13" t="s">
        <v>20</v>
      </c>
      <c r="R2" s="9" t="s">
        <v>14</v>
      </c>
      <c r="S2" s="14" t="s">
        <v>21</v>
      </c>
      <c r="T2" s="15" t="s">
        <v>22</v>
      </c>
      <c r="U2" s="15"/>
      <c r="V2" s="16" t="s">
        <v>23</v>
      </c>
    </row>
    <row r="3" ht="15.75" customHeight="1">
      <c r="A3" s="7">
        <v>2.0</v>
      </c>
      <c r="B3" s="17" t="s">
        <v>10</v>
      </c>
      <c r="C3" s="18" t="s">
        <v>11</v>
      </c>
      <c r="D3" s="17" t="s">
        <v>12</v>
      </c>
      <c r="E3" s="19" t="s">
        <v>13</v>
      </c>
      <c r="F3" s="19" t="s">
        <v>14</v>
      </c>
      <c r="G3" s="20" t="s">
        <v>15</v>
      </c>
      <c r="H3" s="18" t="s">
        <v>11</v>
      </c>
      <c r="I3" s="21" t="s">
        <v>16</v>
      </c>
      <c r="J3" s="18" t="s">
        <v>14</v>
      </c>
      <c r="K3" s="22" t="s">
        <v>17</v>
      </c>
      <c r="L3" s="18" t="s">
        <v>11</v>
      </c>
      <c r="M3" s="23" t="s">
        <v>18</v>
      </c>
      <c r="N3" s="18" t="s">
        <v>11</v>
      </c>
      <c r="O3" s="23" t="s">
        <v>19</v>
      </c>
      <c r="P3" s="18" t="s">
        <v>11</v>
      </c>
      <c r="Q3" s="23" t="s">
        <v>20</v>
      </c>
      <c r="R3" s="18" t="s">
        <v>14</v>
      </c>
      <c r="S3" s="24" t="s">
        <v>21</v>
      </c>
      <c r="T3" s="25" t="s">
        <v>24</v>
      </c>
      <c r="U3" s="25"/>
      <c r="V3" s="26" t="s">
        <v>23</v>
      </c>
    </row>
    <row r="4" ht="15.75" customHeight="1">
      <c r="A4" s="7">
        <v>3.0</v>
      </c>
      <c r="B4" s="8" t="s">
        <v>10</v>
      </c>
      <c r="C4" s="9" t="s">
        <v>11</v>
      </c>
      <c r="D4" s="8" t="s">
        <v>12</v>
      </c>
      <c r="E4" s="10" t="s">
        <v>13</v>
      </c>
      <c r="F4" s="10" t="s">
        <v>14</v>
      </c>
      <c r="G4" s="11" t="s">
        <v>15</v>
      </c>
      <c r="H4" s="9" t="s">
        <v>11</v>
      </c>
      <c r="I4" s="12" t="s">
        <v>25</v>
      </c>
      <c r="J4" s="9" t="s">
        <v>14</v>
      </c>
      <c r="K4" s="13" t="s">
        <v>17</v>
      </c>
      <c r="L4" s="9" t="s">
        <v>11</v>
      </c>
      <c r="M4" s="13" t="s">
        <v>18</v>
      </c>
      <c r="N4" s="9" t="s">
        <v>11</v>
      </c>
      <c r="O4" s="13" t="s">
        <v>19</v>
      </c>
      <c r="P4" s="9" t="s">
        <v>11</v>
      </c>
      <c r="Q4" s="13" t="s">
        <v>20</v>
      </c>
      <c r="R4" s="9" t="s">
        <v>14</v>
      </c>
      <c r="S4" s="15" t="s">
        <v>21</v>
      </c>
      <c r="T4" s="27" t="s">
        <v>22</v>
      </c>
      <c r="U4" s="27"/>
      <c r="V4" s="16" t="s">
        <v>23</v>
      </c>
    </row>
    <row r="5" ht="15.75" customHeight="1">
      <c r="A5" s="7">
        <v>4.0</v>
      </c>
      <c r="B5" s="17" t="s">
        <v>10</v>
      </c>
      <c r="C5" s="18" t="s">
        <v>11</v>
      </c>
      <c r="D5" s="17" t="s">
        <v>12</v>
      </c>
      <c r="E5" s="19" t="s">
        <v>13</v>
      </c>
      <c r="F5" s="19" t="s">
        <v>14</v>
      </c>
      <c r="G5" s="20" t="s">
        <v>15</v>
      </c>
      <c r="H5" s="18" t="s">
        <v>11</v>
      </c>
      <c r="I5" s="21" t="s">
        <v>25</v>
      </c>
      <c r="J5" s="18" t="s">
        <v>14</v>
      </c>
      <c r="K5" s="22" t="s">
        <v>17</v>
      </c>
      <c r="L5" s="18" t="s">
        <v>11</v>
      </c>
      <c r="M5" s="23" t="s">
        <v>18</v>
      </c>
      <c r="N5" s="18" t="s">
        <v>11</v>
      </c>
      <c r="O5" s="23" t="s">
        <v>19</v>
      </c>
      <c r="P5" s="18" t="s">
        <v>11</v>
      </c>
      <c r="Q5" s="23" t="s">
        <v>20</v>
      </c>
      <c r="R5" s="18" t="s">
        <v>14</v>
      </c>
      <c r="S5" s="25" t="s">
        <v>21</v>
      </c>
      <c r="T5" s="28" t="s">
        <v>24</v>
      </c>
      <c r="U5" s="28"/>
      <c r="V5" s="26" t="s">
        <v>23</v>
      </c>
    </row>
    <row r="6" ht="15.75" customHeight="1">
      <c r="A6" s="7">
        <v>5.0</v>
      </c>
      <c r="B6" s="8" t="s">
        <v>10</v>
      </c>
      <c r="C6" s="9" t="s">
        <v>11</v>
      </c>
      <c r="D6" s="8" t="s">
        <v>12</v>
      </c>
      <c r="E6" s="10" t="s">
        <v>13</v>
      </c>
      <c r="F6" s="10" t="s">
        <v>14</v>
      </c>
      <c r="G6" s="11" t="s">
        <v>15</v>
      </c>
      <c r="H6" s="9" t="s">
        <v>11</v>
      </c>
      <c r="I6" s="12" t="s">
        <v>25</v>
      </c>
      <c r="J6" s="9" t="s">
        <v>14</v>
      </c>
      <c r="K6" s="13" t="s">
        <v>17</v>
      </c>
      <c r="L6" s="9" t="s">
        <v>11</v>
      </c>
      <c r="M6" s="13" t="s">
        <v>18</v>
      </c>
      <c r="N6" s="9" t="s">
        <v>11</v>
      </c>
      <c r="O6" s="13" t="s">
        <v>19</v>
      </c>
      <c r="P6" s="9" t="s">
        <v>11</v>
      </c>
      <c r="Q6" s="13" t="s">
        <v>20</v>
      </c>
      <c r="R6" s="9" t="s">
        <v>14</v>
      </c>
      <c r="S6" s="15" t="s">
        <v>21</v>
      </c>
      <c r="T6" s="27" t="s">
        <v>26</v>
      </c>
      <c r="U6" s="27"/>
      <c r="V6" s="16" t="s">
        <v>23</v>
      </c>
    </row>
    <row r="7" ht="15.75" customHeight="1">
      <c r="A7" s="7">
        <v>6.0</v>
      </c>
      <c r="B7" s="17" t="s">
        <v>10</v>
      </c>
      <c r="C7" s="18" t="s">
        <v>11</v>
      </c>
      <c r="D7" s="17" t="s">
        <v>12</v>
      </c>
      <c r="E7" s="19" t="s">
        <v>13</v>
      </c>
      <c r="F7" s="19" t="s">
        <v>14</v>
      </c>
      <c r="G7" s="20" t="s">
        <v>15</v>
      </c>
      <c r="H7" s="18" t="s">
        <v>11</v>
      </c>
      <c r="I7" s="21" t="s">
        <v>25</v>
      </c>
      <c r="J7" s="18" t="s">
        <v>14</v>
      </c>
      <c r="K7" s="22" t="s">
        <v>17</v>
      </c>
      <c r="L7" s="18" t="s">
        <v>11</v>
      </c>
      <c r="M7" s="23" t="s">
        <v>18</v>
      </c>
      <c r="N7" s="18" t="s">
        <v>11</v>
      </c>
      <c r="O7" s="23" t="s">
        <v>19</v>
      </c>
      <c r="P7" s="18" t="s">
        <v>11</v>
      </c>
      <c r="Q7" s="23" t="s">
        <v>20</v>
      </c>
      <c r="R7" s="18" t="s">
        <v>14</v>
      </c>
      <c r="S7" s="25" t="s">
        <v>21</v>
      </c>
      <c r="T7" s="28" t="s">
        <v>27</v>
      </c>
      <c r="U7" s="28"/>
      <c r="V7" s="26" t="s">
        <v>23</v>
      </c>
    </row>
    <row r="8" ht="15.75" customHeight="1">
      <c r="A8" s="7">
        <v>7.0</v>
      </c>
      <c r="B8" s="8" t="s">
        <v>10</v>
      </c>
      <c r="C8" s="9" t="s">
        <v>11</v>
      </c>
      <c r="D8" s="8" t="s">
        <v>12</v>
      </c>
      <c r="E8" s="10" t="s">
        <v>13</v>
      </c>
      <c r="F8" s="10" t="s">
        <v>14</v>
      </c>
      <c r="G8" s="11" t="s">
        <v>15</v>
      </c>
      <c r="H8" s="9" t="s">
        <v>11</v>
      </c>
      <c r="I8" s="12" t="s">
        <v>25</v>
      </c>
      <c r="J8" s="9" t="s">
        <v>14</v>
      </c>
      <c r="K8" s="13" t="s">
        <v>17</v>
      </c>
      <c r="L8" s="9" t="s">
        <v>11</v>
      </c>
      <c r="M8" s="13" t="s">
        <v>18</v>
      </c>
      <c r="N8" s="9" t="s">
        <v>11</v>
      </c>
      <c r="O8" s="13" t="s">
        <v>19</v>
      </c>
      <c r="P8" s="9" t="s">
        <v>11</v>
      </c>
      <c r="Q8" s="13" t="s">
        <v>20</v>
      </c>
      <c r="R8" s="9" t="s">
        <v>14</v>
      </c>
      <c r="S8" s="15" t="s">
        <v>21</v>
      </c>
      <c r="T8" s="27" t="s">
        <v>28</v>
      </c>
      <c r="U8" s="27"/>
      <c r="V8" s="16" t="s">
        <v>23</v>
      </c>
    </row>
    <row r="9" ht="15.75" customHeight="1">
      <c r="A9" s="7">
        <v>8.0</v>
      </c>
      <c r="B9" s="17" t="s">
        <v>10</v>
      </c>
      <c r="C9" s="18" t="s">
        <v>11</v>
      </c>
      <c r="D9" s="17" t="s">
        <v>12</v>
      </c>
      <c r="E9" s="19" t="s">
        <v>13</v>
      </c>
      <c r="F9" s="19" t="s">
        <v>14</v>
      </c>
      <c r="G9" s="20" t="s">
        <v>15</v>
      </c>
      <c r="H9" s="18" t="s">
        <v>11</v>
      </c>
      <c r="I9" s="21" t="s">
        <v>25</v>
      </c>
      <c r="J9" s="18" t="s">
        <v>14</v>
      </c>
      <c r="K9" s="22" t="s">
        <v>17</v>
      </c>
      <c r="L9" s="18" t="s">
        <v>11</v>
      </c>
      <c r="M9" s="23" t="s">
        <v>18</v>
      </c>
      <c r="N9" s="18" t="s">
        <v>11</v>
      </c>
      <c r="O9" s="23" t="s">
        <v>19</v>
      </c>
      <c r="P9" s="18" t="s">
        <v>11</v>
      </c>
      <c r="Q9" s="23" t="s">
        <v>20</v>
      </c>
      <c r="R9" s="18" t="s">
        <v>14</v>
      </c>
      <c r="S9" s="25" t="s">
        <v>21</v>
      </c>
      <c r="T9" s="28" t="s">
        <v>29</v>
      </c>
      <c r="U9" s="28"/>
      <c r="V9" s="26" t="s">
        <v>23</v>
      </c>
    </row>
    <row r="10" ht="15.75" customHeight="1">
      <c r="A10" s="7">
        <v>9.0</v>
      </c>
      <c r="B10" s="8" t="s">
        <v>10</v>
      </c>
      <c r="C10" s="9" t="s">
        <v>11</v>
      </c>
      <c r="D10" s="8" t="s">
        <v>12</v>
      </c>
      <c r="E10" s="10" t="s">
        <v>13</v>
      </c>
      <c r="F10" s="10" t="s">
        <v>14</v>
      </c>
      <c r="G10" s="11" t="s">
        <v>15</v>
      </c>
      <c r="H10" s="9" t="s">
        <v>11</v>
      </c>
      <c r="I10" s="12" t="s">
        <v>25</v>
      </c>
      <c r="J10" s="9" t="s">
        <v>14</v>
      </c>
      <c r="K10" s="13" t="s">
        <v>17</v>
      </c>
      <c r="L10" s="9" t="s">
        <v>11</v>
      </c>
      <c r="M10" s="13" t="s">
        <v>18</v>
      </c>
      <c r="N10" s="9" t="s">
        <v>11</v>
      </c>
      <c r="O10" s="13" t="s">
        <v>19</v>
      </c>
      <c r="P10" s="9" t="s">
        <v>11</v>
      </c>
      <c r="Q10" s="13" t="s">
        <v>20</v>
      </c>
      <c r="R10" s="9" t="s">
        <v>14</v>
      </c>
      <c r="S10" s="15" t="s">
        <v>21</v>
      </c>
      <c r="T10" s="27" t="s">
        <v>30</v>
      </c>
      <c r="U10" s="27"/>
      <c r="V10" s="16" t="s">
        <v>23</v>
      </c>
    </row>
    <row r="11" ht="15.75" customHeight="1">
      <c r="A11" s="7">
        <v>10.0</v>
      </c>
      <c r="B11" s="17" t="s">
        <v>10</v>
      </c>
      <c r="C11" s="18" t="s">
        <v>11</v>
      </c>
      <c r="D11" s="17" t="s">
        <v>12</v>
      </c>
      <c r="E11" s="19" t="s">
        <v>13</v>
      </c>
      <c r="F11" s="19" t="s">
        <v>14</v>
      </c>
      <c r="G11" s="20" t="s">
        <v>15</v>
      </c>
      <c r="H11" s="18" t="s">
        <v>11</v>
      </c>
      <c r="I11" s="21" t="s">
        <v>25</v>
      </c>
      <c r="J11" s="18" t="s">
        <v>14</v>
      </c>
      <c r="K11" s="22" t="s">
        <v>17</v>
      </c>
      <c r="L11" s="18" t="s">
        <v>11</v>
      </c>
      <c r="M11" s="23" t="s">
        <v>18</v>
      </c>
      <c r="N11" s="18" t="s">
        <v>11</v>
      </c>
      <c r="O11" s="23" t="s">
        <v>19</v>
      </c>
      <c r="P11" s="18" t="s">
        <v>11</v>
      </c>
      <c r="Q11" s="23" t="s">
        <v>20</v>
      </c>
      <c r="R11" s="18" t="s">
        <v>14</v>
      </c>
      <c r="S11" s="25" t="s">
        <v>21</v>
      </c>
      <c r="T11" s="28" t="s">
        <v>31</v>
      </c>
      <c r="U11" s="28"/>
      <c r="V11" s="26" t="s">
        <v>23</v>
      </c>
    </row>
    <row r="12" ht="15.75" customHeight="1">
      <c r="A12" s="7">
        <v>11.0</v>
      </c>
      <c r="B12" s="8" t="s">
        <v>10</v>
      </c>
      <c r="C12" s="9" t="s">
        <v>11</v>
      </c>
      <c r="D12" s="8" t="s">
        <v>12</v>
      </c>
      <c r="E12" s="10" t="s">
        <v>13</v>
      </c>
      <c r="F12" s="10" t="s">
        <v>14</v>
      </c>
      <c r="G12" s="11" t="s">
        <v>15</v>
      </c>
      <c r="H12" s="9" t="s">
        <v>11</v>
      </c>
      <c r="I12" s="12" t="s">
        <v>25</v>
      </c>
      <c r="J12" s="9" t="s">
        <v>14</v>
      </c>
      <c r="K12" s="13" t="s">
        <v>17</v>
      </c>
      <c r="L12" s="9" t="s">
        <v>11</v>
      </c>
      <c r="M12" s="13" t="s">
        <v>18</v>
      </c>
      <c r="N12" s="9" t="s">
        <v>11</v>
      </c>
      <c r="O12" s="13" t="s">
        <v>19</v>
      </c>
      <c r="P12" s="9" t="s">
        <v>11</v>
      </c>
      <c r="Q12" s="13" t="s">
        <v>20</v>
      </c>
      <c r="R12" s="9" t="s">
        <v>14</v>
      </c>
      <c r="S12" s="15" t="s">
        <v>21</v>
      </c>
      <c r="T12" s="27" t="s">
        <v>32</v>
      </c>
      <c r="U12" s="27"/>
      <c r="V12" s="16" t="s">
        <v>23</v>
      </c>
    </row>
    <row r="13" ht="15.75" customHeight="1">
      <c r="A13" s="7">
        <v>12.0</v>
      </c>
      <c r="B13" s="17" t="s">
        <v>10</v>
      </c>
      <c r="C13" s="18" t="s">
        <v>11</v>
      </c>
      <c r="D13" s="17" t="s">
        <v>12</v>
      </c>
      <c r="E13" s="19" t="s">
        <v>13</v>
      </c>
      <c r="F13" s="19" t="s">
        <v>14</v>
      </c>
      <c r="G13" s="20" t="s">
        <v>15</v>
      </c>
      <c r="H13" s="18" t="s">
        <v>11</v>
      </c>
      <c r="I13" s="21" t="s">
        <v>25</v>
      </c>
      <c r="J13" s="18" t="s">
        <v>14</v>
      </c>
      <c r="K13" s="22" t="s">
        <v>17</v>
      </c>
      <c r="L13" s="18" t="s">
        <v>11</v>
      </c>
      <c r="M13" s="23" t="s">
        <v>18</v>
      </c>
      <c r="N13" s="18" t="s">
        <v>11</v>
      </c>
      <c r="O13" s="23" t="s">
        <v>19</v>
      </c>
      <c r="P13" s="18" t="s">
        <v>11</v>
      </c>
      <c r="Q13" s="23" t="s">
        <v>20</v>
      </c>
      <c r="R13" s="18" t="s">
        <v>14</v>
      </c>
      <c r="S13" s="25" t="s">
        <v>21</v>
      </c>
      <c r="T13" s="28" t="s">
        <v>33</v>
      </c>
      <c r="U13" s="28"/>
      <c r="V13" s="26" t="s">
        <v>23</v>
      </c>
    </row>
    <row r="14" ht="15.75" customHeight="1">
      <c r="A14" s="7">
        <v>13.0</v>
      </c>
      <c r="B14" s="8" t="s">
        <v>10</v>
      </c>
      <c r="C14" s="9" t="s">
        <v>11</v>
      </c>
      <c r="D14" s="8" t="s">
        <v>12</v>
      </c>
      <c r="E14" s="10" t="s">
        <v>13</v>
      </c>
      <c r="F14" s="10" t="s">
        <v>14</v>
      </c>
      <c r="G14" s="11" t="s">
        <v>15</v>
      </c>
      <c r="H14" s="9" t="s">
        <v>11</v>
      </c>
      <c r="I14" s="12" t="s">
        <v>25</v>
      </c>
      <c r="J14" s="9" t="s">
        <v>14</v>
      </c>
      <c r="K14" s="13" t="s">
        <v>17</v>
      </c>
      <c r="L14" s="9" t="s">
        <v>11</v>
      </c>
      <c r="M14" s="13" t="s">
        <v>18</v>
      </c>
      <c r="N14" s="9" t="s">
        <v>11</v>
      </c>
      <c r="O14" s="13" t="s">
        <v>19</v>
      </c>
      <c r="P14" s="9" t="s">
        <v>11</v>
      </c>
      <c r="Q14" s="13" t="s">
        <v>20</v>
      </c>
      <c r="R14" s="9" t="s">
        <v>14</v>
      </c>
      <c r="S14" s="15" t="s">
        <v>21</v>
      </c>
      <c r="T14" s="27" t="s">
        <v>34</v>
      </c>
      <c r="U14" s="27"/>
      <c r="V14" s="16" t="s">
        <v>23</v>
      </c>
    </row>
    <row r="15" ht="15.75" customHeight="1">
      <c r="A15" s="7">
        <v>14.0</v>
      </c>
      <c r="B15" s="17" t="s">
        <v>10</v>
      </c>
      <c r="C15" s="18" t="s">
        <v>11</v>
      </c>
      <c r="D15" s="17" t="s">
        <v>12</v>
      </c>
      <c r="E15" s="19" t="s">
        <v>13</v>
      </c>
      <c r="F15" s="19" t="s">
        <v>14</v>
      </c>
      <c r="G15" s="20" t="s">
        <v>15</v>
      </c>
      <c r="H15" s="18" t="s">
        <v>11</v>
      </c>
      <c r="I15" s="21" t="s">
        <v>25</v>
      </c>
      <c r="J15" s="18" t="s">
        <v>14</v>
      </c>
      <c r="K15" s="22" t="s">
        <v>17</v>
      </c>
      <c r="L15" s="18" t="s">
        <v>11</v>
      </c>
      <c r="M15" s="23" t="s">
        <v>18</v>
      </c>
      <c r="N15" s="18" t="s">
        <v>11</v>
      </c>
      <c r="O15" s="23" t="s">
        <v>19</v>
      </c>
      <c r="P15" s="18" t="s">
        <v>11</v>
      </c>
      <c r="Q15" s="23" t="s">
        <v>20</v>
      </c>
      <c r="R15" s="18" t="s">
        <v>14</v>
      </c>
      <c r="S15" s="25" t="s">
        <v>21</v>
      </c>
      <c r="T15" s="28" t="s">
        <v>35</v>
      </c>
      <c r="U15" s="28"/>
      <c r="V15" s="26" t="s">
        <v>23</v>
      </c>
    </row>
    <row r="16" ht="15.75" customHeight="1">
      <c r="A16" s="7">
        <v>15.0</v>
      </c>
      <c r="B16" s="8" t="s">
        <v>10</v>
      </c>
      <c r="C16" s="9" t="s">
        <v>11</v>
      </c>
      <c r="D16" s="8" t="s">
        <v>12</v>
      </c>
      <c r="E16" s="10" t="s">
        <v>13</v>
      </c>
      <c r="F16" s="10" t="s">
        <v>14</v>
      </c>
      <c r="G16" s="11" t="s">
        <v>15</v>
      </c>
      <c r="H16" s="9" t="s">
        <v>11</v>
      </c>
      <c r="I16" s="12" t="s">
        <v>25</v>
      </c>
      <c r="J16" s="9" t="s">
        <v>14</v>
      </c>
      <c r="K16" s="13" t="s">
        <v>17</v>
      </c>
      <c r="L16" s="9" t="s">
        <v>11</v>
      </c>
      <c r="M16" s="13" t="s">
        <v>18</v>
      </c>
      <c r="N16" s="9" t="s">
        <v>11</v>
      </c>
      <c r="O16" s="13" t="s">
        <v>19</v>
      </c>
      <c r="P16" s="9" t="s">
        <v>11</v>
      </c>
      <c r="Q16" s="13" t="s">
        <v>20</v>
      </c>
      <c r="R16" s="9" t="s">
        <v>14</v>
      </c>
      <c r="S16" s="15" t="s">
        <v>21</v>
      </c>
      <c r="T16" s="27" t="s">
        <v>36</v>
      </c>
      <c r="U16" s="27"/>
      <c r="V16" s="16" t="s">
        <v>23</v>
      </c>
    </row>
    <row r="17" ht="15.75" customHeight="1">
      <c r="A17" s="7">
        <v>16.0</v>
      </c>
      <c r="B17" s="17" t="s">
        <v>10</v>
      </c>
      <c r="C17" s="18" t="s">
        <v>11</v>
      </c>
      <c r="D17" s="17" t="s">
        <v>12</v>
      </c>
      <c r="E17" s="19" t="s">
        <v>13</v>
      </c>
      <c r="F17" s="19" t="s">
        <v>14</v>
      </c>
      <c r="G17" s="20" t="s">
        <v>15</v>
      </c>
      <c r="H17" s="18" t="s">
        <v>11</v>
      </c>
      <c r="I17" s="21" t="s">
        <v>25</v>
      </c>
      <c r="J17" s="18" t="s">
        <v>14</v>
      </c>
      <c r="K17" s="22" t="s">
        <v>17</v>
      </c>
      <c r="L17" s="18" t="s">
        <v>11</v>
      </c>
      <c r="M17" s="23" t="s">
        <v>18</v>
      </c>
      <c r="N17" s="18" t="s">
        <v>11</v>
      </c>
      <c r="O17" s="23" t="s">
        <v>19</v>
      </c>
      <c r="P17" s="18" t="s">
        <v>11</v>
      </c>
      <c r="Q17" s="23" t="s">
        <v>20</v>
      </c>
      <c r="R17" s="18" t="s">
        <v>14</v>
      </c>
      <c r="S17" s="25" t="s">
        <v>21</v>
      </c>
      <c r="T17" s="28" t="s">
        <v>37</v>
      </c>
      <c r="U17" s="28"/>
      <c r="V17" s="26" t="s">
        <v>23</v>
      </c>
    </row>
    <row r="18" ht="15.75" customHeight="1">
      <c r="A18" s="7">
        <v>17.0</v>
      </c>
      <c r="B18" s="8" t="s">
        <v>10</v>
      </c>
      <c r="C18" s="9" t="s">
        <v>11</v>
      </c>
      <c r="D18" s="8" t="s">
        <v>12</v>
      </c>
      <c r="E18" s="10" t="s">
        <v>13</v>
      </c>
      <c r="F18" s="10" t="s">
        <v>14</v>
      </c>
      <c r="G18" s="11" t="s">
        <v>15</v>
      </c>
      <c r="H18" s="9" t="s">
        <v>11</v>
      </c>
      <c r="I18" s="12" t="s">
        <v>25</v>
      </c>
      <c r="J18" s="9" t="s">
        <v>14</v>
      </c>
      <c r="K18" s="13" t="s">
        <v>17</v>
      </c>
      <c r="L18" s="9" t="s">
        <v>11</v>
      </c>
      <c r="M18" s="13" t="s">
        <v>18</v>
      </c>
      <c r="N18" s="9" t="s">
        <v>11</v>
      </c>
      <c r="O18" s="13" t="s">
        <v>19</v>
      </c>
      <c r="P18" s="9" t="s">
        <v>11</v>
      </c>
      <c r="Q18" s="13" t="s">
        <v>20</v>
      </c>
      <c r="R18" s="9" t="s">
        <v>14</v>
      </c>
      <c r="S18" s="15" t="s">
        <v>21</v>
      </c>
      <c r="T18" s="27" t="s">
        <v>38</v>
      </c>
      <c r="U18" s="27"/>
      <c r="V18" s="16" t="s">
        <v>23</v>
      </c>
    </row>
    <row r="19" ht="15.75" customHeight="1">
      <c r="A19" s="7">
        <v>18.0</v>
      </c>
      <c r="B19" s="17" t="s">
        <v>10</v>
      </c>
      <c r="C19" s="18" t="s">
        <v>11</v>
      </c>
      <c r="D19" s="17" t="s">
        <v>12</v>
      </c>
      <c r="E19" s="19" t="s">
        <v>13</v>
      </c>
      <c r="F19" s="19" t="s">
        <v>14</v>
      </c>
      <c r="G19" s="20" t="s">
        <v>15</v>
      </c>
      <c r="H19" s="18" t="s">
        <v>11</v>
      </c>
      <c r="I19" s="21" t="s">
        <v>25</v>
      </c>
      <c r="J19" s="18" t="s">
        <v>14</v>
      </c>
      <c r="K19" s="22" t="s">
        <v>17</v>
      </c>
      <c r="L19" s="18" t="s">
        <v>11</v>
      </c>
      <c r="M19" s="23" t="s">
        <v>18</v>
      </c>
      <c r="N19" s="18" t="s">
        <v>11</v>
      </c>
      <c r="O19" s="23" t="s">
        <v>19</v>
      </c>
      <c r="P19" s="18" t="s">
        <v>11</v>
      </c>
      <c r="Q19" s="23" t="s">
        <v>20</v>
      </c>
      <c r="R19" s="18" t="s">
        <v>14</v>
      </c>
      <c r="S19" s="25" t="s">
        <v>21</v>
      </c>
      <c r="T19" s="28" t="s">
        <v>39</v>
      </c>
      <c r="U19" s="28"/>
      <c r="V19" s="26" t="s">
        <v>23</v>
      </c>
    </row>
    <row r="20" ht="15.75" customHeight="1">
      <c r="A20" s="7">
        <v>19.0</v>
      </c>
      <c r="B20" s="8" t="s">
        <v>10</v>
      </c>
      <c r="C20" s="9" t="s">
        <v>11</v>
      </c>
      <c r="D20" s="8" t="s">
        <v>12</v>
      </c>
      <c r="E20" s="10" t="s">
        <v>13</v>
      </c>
      <c r="F20" s="10" t="s">
        <v>14</v>
      </c>
      <c r="G20" s="11" t="s">
        <v>15</v>
      </c>
      <c r="H20" s="9" t="s">
        <v>11</v>
      </c>
      <c r="I20" s="12" t="s">
        <v>25</v>
      </c>
      <c r="J20" s="9" t="s">
        <v>14</v>
      </c>
      <c r="K20" s="13" t="s">
        <v>17</v>
      </c>
      <c r="L20" s="9" t="s">
        <v>11</v>
      </c>
      <c r="M20" s="13" t="s">
        <v>18</v>
      </c>
      <c r="N20" s="9" t="s">
        <v>11</v>
      </c>
      <c r="O20" s="13" t="s">
        <v>19</v>
      </c>
      <c r="P20" s="9" t="s">
        <v>11</v>
      </c>
      <c r="Q20" s="13" t="s">
        <v>20</v>
      </c>
      <c r="R20" s="9" t="s">
        <v>14</v>
      </c>
      <c r="S20" s="15" t="s">
        <v>21</v>
      </c>
      <c r="T20" s="27" t="s">
        <v>40</v>
      </c>
      <c r="U20" s="27"/>
      <c r="V20" s="16" t="s">
        <v>23</v>
      </c>
    </row>
    <row r="21" ht="15.75" customHeight="1">
      <c r="A21" s="7">
        <v>20.0</v>
      </c>
      <c r="B21" s="17" t="s">
        <v>10</v>
      </c>
      <c r="C21" s="18" t="s">
        <v>11</v>
      </c>
      <c r="D21" s="17" t="s">
        <v>12</v>
      </c>
      <c r="E21" s="19" t="s">
        <v>13</v>
      </c>
      <c r="F21" s="19" t="s">
        <v>14</v>
      </c>
      <c r="G21" s="20" t="s">
        <v>15</v>
      </c>
      <c r="H21" s="18" t="s">
        <v>11</v>
      </c>
      <c r="I21" s="21" t="s">
        <v>25</v>
      </c>
      <c r="J21" s="18" t="s">
        <v>14</v>
      </c>
      <c r="K21" s="22" t="s">
        <v>17</v>
      </c>
      <c r="L21" s="18" t="s">
        <v>11</v>
      </c>
      <c r="M21" s="23" t="s">
        <v>18</v>
      </c>
      <c r="N21" s="18" t="s">
        <v>11</v>
      </c>
      <c r="O21" s="23" t="s">
        <v>19</v>
      </c>
      <c r="P21" s="18" t="s">
        <v>11</v>
      </c>
      <c r="Q21" s="23" t="s">
        <v>20</v>
      </c>
      <c r="R21" s="18" t="s">
        <v>14</v>
      </c>
      <c r="S21" s="25" t="s">
        <v>21</v>
      </c>
      <c r="T21" s="28" t="s">
        <v>41</v>
      </c>
      <c r="U21" s="28"/>
      <c r="V21" s="26" t="s">
        <v>23</v>
      </c>
    </row>
    <row r="22" ht="15.75" customHeight="1">
      <c r="A22" s="7">
        <v>21.0</v>
      </c>
      <c r="B22" s="8" t="s">
        <v>10</v>
      </c>
      <c r="C22" s="9" t="s">
        <v>11</v>
      </c>
      <c r="D22" s="8" t="s">
        <v>12</v>
      </c>
      <c r="E22" s="10" t="s">
        <v>13</v>
      </c>
      <c r="F22" s="10" t="s">
        <v>14</v>
      </c>
      <c r="G22" s="11" t="s">
        <v>15</v>
      </c>
      <c r="H22" s="9" t="s">
        <v>11</v>
      </c>
      <c r="I22" s="12" t="s">
        <v>25</v>
      </c>
      <c r="J22" s="9" t="s">
        <v>14</v>
      </c>
      <c r="K22" s="13" t="s">
        <v>17</v>
      </c>
      <c r="L22" s="9" t="s">
        <v>11</v>
      </c>
      <c r="M22" s="13" t="s">
        <v>18</v>
      </c>
      <c r="N22" s="9" t="s">
        <v>11</v>
      </c>
      <c r="O22" s="13" t="s">
        <v>19</v>
      </c>
      <c r="P22" s="9" t="s">
        <v>11</v>
      </c>
      <c r="Q22" s="13" t="s">
        <v>20</v>
      </c>
      <c r="R22" s="9" t="s">
        <v>14</v>
      </c>
      <c r="S22" s="15" t="s">
        <v>21</v>
      </c>
      <c r="T22" s="27" t="s">
        <v>42</v>
      </c>
      <c r="U22" s="27"/>
      <c r="V22" s="16" t="s">
        <v>23</v>
      </c>
    </row>
    <row r="23" ht="15.75" customHeight="1">
      <c r="A23" s="7">
        <v>22.0</v>
      </c>
      <c r="B23" s="17" t="s">
        <v>10</v>
      </c>
      <c r="C23" s="18" t="s">
        <v>11</v>
      </c>
      <c r="D23" s="17" t="s">
        <v>12</v>
      </c>
      <c r="E23" s="19" t="s">
        <v>13</v>
      </c>
      <c r="F23" s="19" t="s">
        <v>14</v>
      </c>
      <c r="G23" s="20" t="s">
        <v>15</v>
      </c>
      <c r="H23" s="18" t="s">
        <v>11</v>
      </c>
      <c r="I23" s="21" t="s">
        <v>25</v>
      </c>
      <c r="J23" s="18" t="s">
        <v>14</v>
      </c>
      <c r="K23" s="22" t="s">
        <v>17</v>
      </c>
      <c r="L23" s="18" t="s">
        <v>11</v>
      </c>
      <c r="M23" s="23" t="s">
        <v>18</v>
      </c>
      <c r="N23" s="18" t="s">
        <v>11</v>
      </c>
      <c r="O23" s="23" t="s">
        <v>19</v>
      </c>
      <c r="P23" s="18" t="s">
        <v>11</v>
      </c>
      <c r="Q23" s="23" t="s">
        <v>20</v>
      </c>
      <c r="R23" s="18" t="s">
        <v>14</v>
      </c>
      <c r="S23" s="25" t="s">
        <v>21</v>
      </c>
      <c r="T23" s="28" t="s">
        <v>43</v>
      </c>
      <c r="U23" s="28"/>
      <c r="V23" s="26" t="s">
        <v>23</v>
      </c>
    </row>
    <row r="24" ht="15.75" customHeight="1">
      <c r="A24" s="7">
        <v>23.0</v>
      </c>
      <c r="B24" s="8" t="s">
        <v>10</v>
      </c>
      <c r="C24" s="9" t="s">
        <v>11</v>
      </c>
      <c r="D24" s="8" t="s">
        <v>12</v>
      </c>
      <c r="E24" s="10" t="s">
        <v>13</v>
      </c>
      <c r="F24" s="10" t="s">
        <v>14</v>
      </c>
      <c r="G24" s="11" t="s">
        <v>15</v>
      </c>
      <c r="H24" s="9" t="s">
        <v>11</v>
      </c>
      <c r="I24" s="12" t="s">
        <v>25</v>
      </c>
      <c r="J24" s="9" t="s">
        <v>14</v>
      </c>
      <c r="K24" s="13" t="s">
        <v>17</v>
      </c>
      <c r="L24" s="9" t="s">
        <v>11</v>
      </c>
      <c r="M24" s="13" t="s">
        <v>18</v>
      </c>
      <c r="N24" s="9" t="s">
        <v>11</v>
      </c>
      <c r="O24" s="13" t="s">
        <v>19</v>
      </c>
      <c r="P24" s="9" t="s">
        <v>11</v>
      </c>
      <c r="Q24" s="13" t="s">
        <v>20</v>
      </c>
      <c r="R24" s="9" t="s">
        <v>14</v>
      </c>
      <c r="S24" s="15" t="s">
        <v>21</v>
      </c>
      <c r="T24" s="27" t="s">
        <v>44</v>
      </c>
      <c r="U24" s="27"/>
      <c r="V24" s="16" t="s">
        <v>23</v>
      </c>
    </row>
    <row r="25" ht="15.75" customHeight="1">
      <c r="A25" s="7">
        <v>24.0</v>
      </c>
      <c r="B25" s="17" t="s">
        <v>10</v>
      </c>
      <c r="C25" s="18" t="s">
        <v>11</v>
      </c>
      <c r="D25" s="17" t="s">
        <v>12</v>
      </c>
      <c r="E25" s="19" t="s">
        <v>13</v>
      </c>
      <c r="F25" s="19" t="s">
        <v>14</v>
      </c>
      <c r="G25" s="20" t="s">
        <v>15</v>
      </c>
      <c r="H25" s="18" t="s">
        <v>11</v>
      </c>
      <c r="I25" s="21" t="s">
        <v>25</v>
      </c>
      <c r="J25" s="18" t="s">
        <v>14</v>
      </c>
      <c r="K25" s="22" t="s">
        <v>17</v>
      </c>
      <c r="L25" s="18" t="s">
        <v>11</v>
      </c>
      <c r="M25" s="23" t="s">
        <v>18</v>
      </c>
      <c r="N25" s="18" t="s">
        <v>11</v>
      </c>
      <c r="O25" s="23" t="s">
        <v>19</v>
      </c>
      <c r="P25" s="18" t="s">
        <v>11</v>
      </c>
      <c r="Q25" s="23" t="s">
        <v>20</v>
      </c>
      <c r="R25" s="18" t="s">
        <v>14</v>
      </c>
      <c r="S25" s="25" t="s">
        <v>21</v>
      </c>
      <c r="T25" s="28" t="s">
        <v>45</v>
      </c>
      <c r="U25" s="28"/>
      <c r="V25" s="26" t="s">
        <v>23</v>
      </c>
    </row>
    <row r="26" ht="15.75" customHeight="1">
      <c r="A26" s="7">
        <v>25.0</v>
      </c>
      <c r="B26" s="8" t="s">
        <v>10</v>
      </c>
      <c r="C26" s="9" t="s">
        <v>11</v>
      </c>
      <c r="D26" s="8" t="s">
        <v>12</v>
      </c>
      <c r="E26" s="10" t="s">
        <v>13</v>
      </c>
      <c r="F26" s="10" t="s">
        <v>14</v>
      </c>
      <c r="G26" s="11" t="s">
        <v>15</v>
      </c>
      <c r="H26" s="9" t="s">
        <v>11</v>
      </c>
      <c r="I26" s="12" t="s">
        <v>25</v>
      </c>
      <c r="J26" s="9" t="s">
        <v>14</v>
      </c>
      <c r="K26" s="13" t="s">
        <v>17</v>
      </c>
      <c r="L26" s="9" t="s">
        <v>11</v>
      </c>
      <c r="M26" s="13" t="s">
        <v>18</v>
      </c>
      <c r="N26" s="9" t="s">
        <v>11</v>
      </c>
      <c r="O26" s="13" t="s">
        <v>19</v>
      </c>
      <c r="P26" s="9" t="s">
        <v>11</v>
      </c>
      <c r="Q26" s="13" t="s">
        <v>20</v>
      </c>
      <c r="R26" s="9" t="s">
        <v>14</v>
      </c>
      <c r="S26" s="15" t="s">
        <v>21</v>
      </c>
      <c r="T26" s="27" t="s">
        <v>46</v>
      </c>
      <c r="U26" s="27"/>
      <c r="V26" s="16" t="s">
        <v>23</v>
      </c>
    </row>
    <row r="27" ht="15.75" customHeight="1">
      <c r="A27" s="7">
        <v>26.0</v>
      </c>
      <c r="B27" s="17" t="s">
        <v>10</v>
      </c>
      <c r="C27" s="18" t="s">
        <v>11</v>
      </c>
      <c r="D27" s="17" t="s">
        <v>12</v>
      </c>
      <c r="E27" s="19" t="s">
        <v>13</v>
      </c>
      <c r="F27" s="19" t="s">
        <v>14</v>
      </c>
      <c r="G27" s="20" t="s">
        <v>15</v>
      </c>
      <c r="H27" s="18" t="s">
        <v>11</v>
      </c>
      <c r="I27" s="21" t="s">
        <v>25</v>
      </c>
      <c r="J27" s="18" t="s">
        <v>14</v>
      </c>
      <c r="K27" s="22" t="s">
        <v>17</v>
      </c>
      <c r="L27" s="18" t="s">
        <v>11</v>
      </c>
      <c r="M27" s="23" t="s">
        <v>18</v>
      </c>
      <c r="N27" s="18" t="s">
        <v>11</v>
      </c>
      <c r="O27" s="23" t="s">
        <v>19</v>
      </c>
      <c r="P27" s="18" t="s">
        <v>11</v>
      </c>
      <c r="Q27" s="23" t="s">
        <v>20</v>
      </c>
      <c r="R27" s="18" t="s">
        <v>14</v>
      </c>
      <c r="S27" s="25" t="s">
        <v>21</v>
      </c>
      <c r="T27" s="28" t="s">
        <v>47</v>
      </c>
      <c r="U27" s="28"/>
      <c r="V27" s="26" t="s">
        <v>23</v>
      </c>
    </row>
    <row r="28" ht="15.75" customHeight="1">
      <c r="A28" s="7">
        <v>27.0</v>
      </c>
      <c r="B28" s="8" t="s">
        <v>10</v>
      </c>
      <c r="C28" s="9" t="s">
        <v>11</v>
      </c>
      <c r="D28" s="8" t="s">
        <v>12</v>
      </c>
      <c r="E28" s="10" t="s">
        <v>13</v>
      </c>
      <c r="F28" s="10" t="s">
        <v>14</v>
      </c>
      <c r="G28" s="11" t="s">
        <v>15</v>
      </c>
      <c r="H28" s="9" t="s">
        <v>11</v>
      </c>
      <c r="I28" s="12" t="s">
        <v>25</v>
      </c>
      <c r="J28" s="9" t="s">
        <v>14</v>
      </c>
      <c r="K28" s="13" t="s">
        <v>17</v>
      </c>
      <c r="L28" s="9" t="s">
        <v>11</v>
      </c>
      <c r="M28" s="13" t="s">
        <v>18</v>
      </c>
      <c r="N28" s="9" t="s">
        <v>11</v>
      </c>
      <c r="O28" s="13" t="s">
        <v>19</v>
      </c>
      <c r="P28" s="9" t="s">
        <v>11</v>
      </c>
      <c r="Q28" s="13" t="s">
        <v>20</v>
      </c>
      <c r="R28" s="9" t="s">
        <v>14</v>
      </c>
      <c r="S28" s="15" t="s">
        <v>21</v>
      </c>
      <c r="T28" s="27" t="s">
        <v>48</v>
      </c>
      <c r="U28" s="27"/>
      <c r="V28" s="16" t="s">
        <v>23</v>
      </c>
    </row>
    <row r="29" ht="15.75" customHeight="1">
      <c r="A29" s="7">
        <v>28.0</v>
      </c>
      <c r="B29" s="17" t="s">
        <v>10</v>
      </c>
      <c r="C29" s="18" t="s">
        <v>11</v>
      </c>
      <c r="D29" s="17" t="s">
        <v>12</v>
      </c>
      <c r="E29" s="19" t="s">
        <v>13</v>
      </c>
      <c r="F29" s="19" t="s">
        <v>14</v>
      </c>
      <c r="G29" s="20" t="s">
        <v>15</v>
      </c>
      <c r="H29" s="18" t="s">
        <v>11</v>
      </c>
      <c r="I29" s="21" t="s">
        <v>25</v>
      </c>
      <c r="J29" s="18" t="s">
        <v>14</v>
      </c>
      <c r="K29" s="22" t="s">
        <v>17</v>
      </c>
      <c r="L29" s="18" t="s">
        <v>11</v>
      </c>
      <c r="M29" s="23" t="s">
        <v>18</v>
      </c>
      <c r="N29" s="18" t="s">
        <v>11</v>
      </c>
      <c r="O29" s="23" t="s">
        <v>19</v>
      </c>
      <c r="P29" s="18" t="s">
        <v>11</v>
      </c>
      <c r="Q29" s="23" t="s">
        <v>20</v>
      </c>
      <c r="R29" s="18" t="s">
        <v>14</v>
      </c>
      <c r="S29" s="25" t="s">
        <v>21</v>
      </c>
      <c r="T29" s="28" t="s">
        <v>49</v>
      </c>
      <c r="U29" s="28"/>
      <c r="V29" s="26" t="s">
        <v>23</v>
      </c>
    </row>
    <row r="30" ht="15.75" customHeight="1">
      <c r="A30" s="7">
        <v>29.0</v>
      </c>
      <c r="B30" s="8" t="s">
        <v>10</v>
      </c>
      <c r="C30" s="9" t="s">
        <v>11</v>
      </c>
      <c r="D30" s="8" t="s">
        <v>12</v>
      </c>
      <c r="E30" s="10" t="s">
        <v>13</v>
      </c>
      <c r="F30" s="10" t="s">
        <v>14</v>
      </c>
      <c r="G30" s="11" t="s">
        <v>15</v>
      </c>
      <c r="H30" s="9" t="s">
        <v>11</v>
      </c>
      <c r="I30" s="12" t="s">
        <v>25</v>
      </c>
      <c r="J30" s="9" t="s">
        <v>14</v>
      </c>
      <c r="K30" s="13" t="s">
        <v>17</v>
      </c>
      <c r="L30" s="9" t="s">
        <v>11</v>
      </c>
      <c r="M30" s="13" t="s">
        <v>18</v>
      </c>
      <c r="N30" s="9" t="s">
        <v>11</v>
      </c>
      <c r="O30" s="13" t="s">
        <v>19</v>
      </c>
      <c r="P30" s="9" t="s">
        <v>11</v>
      </c>
      <c r="Q30" s="13" t="s">
        <v>20</v>
      </c>
      <c r="R30" s="9" t="s">
        <v>14</v>
      </c>
      <c r="S30" s="15" t="s">
        <v>21</v>
      </c>
      <c r="T30" s="27" t="s">
        <v>50</v>
      </c>
      <c r="U30" s="27"/>
      <c r="V30" s="16" t="s">
        <v>23</v>
      </c>
    </row>
    <row r="31" ht="15.75" customHeight="1">
      <c r="A31" s="7">
        <v>30.0</v>
      </c>
      <c r="B31" s="17" t="s">
        <v>10</v>
      </c>
      <c r="C31" s="18" t="s">
        <v>11</v>
      </c>
      <c r="D31" s="17" t="s">
        <v>12</v>
      </c>
      <c r="E31" s="19" t="s">
        <v>13</v>
      </c>
      <c r="F31" s="19" t="s">
        <v>14</v>
      </c>
      <c r="G31" s="20" t="s">
        <v>15</v>
      </c>
      <c r="H31" s="18" t="s">
        <v>11</v>
      </c>
      <c r="I31" s="21" t="s">
        <v>25</v>
      </c>
      <c r="J31" s="18" t="s">
        <v>14</v>
      </c>
      <c r="K31" s="22" t="s">
        <v>17</v>
      </c>
      <c r="L31" s="18" t="s">
        <v>11</v>
      </c>
      <c r="M31" s="23" t="s">
        <v>18</v>
      </c>
      <c r="N31" s="18" t="s">
        <v>11</v>
      </c>
      <c r="O31" s="23" t="s">
        <v>19</v>
      </c>
      <c r="P31" s="18" t="s">
        <v>11</v>
      </c>
      <c r="Q31" s="23" t="s">
        <v>20</v>
      </c>
      <c r="R31" s="18" t="s">
        <v>14</v>
      </c>
      <c r="S31" s="25" t="s">
        <v>21</v>
      </c>
      <c r="T31" s="28" t="s">
        <v>51</v>
      </c>
      <c r="U31" s="28"/>
      <c r="V31" s="26" t="s">
        <v>23</v>
      </c>
    </row>
    <row r="32" ht="15.75" customHeight="1">
      <c r="A32" s="7">
        <v>31.0</v>
      </c>
      <c r="B32" s="8" t="s">
        <v>10</v>
      </c>
      <c r="C32" s="9" t="s">
        <v>11</v>
      </c>
      <c r="D32" s="8" t="s">
        <v>12</v>
      </c>
      <c r="E32" s="10" t="s">
        <v>13</v>
      </c>
      <c r="F32" s="10" t="s">
        <v>14</v>
      </c>
      <c r="G32" s="11" t="s">
        <v>15</v>
      </c>
      <c r="H32" s="9" t="s">
        <v>11</v>
      </c>
      <c r="I32" s="12" t="s">
        <v>25</v>
      </c>
      <c r="J32" s="9" t="s">
        <v>14</v>
      </c>
      <c r="K32" s="13" t="s">
        <v>17</v>
      </c>
      <c r="L32" s="9" t="s">
        <v>11</v>
      </c>
      <c r="M32" s="13" t="s">
        <v>18</v>
      </c>
      <c r="N32" s="9" t="s">
        <v>11</v>
      </c>
      <c r="O32" s="13" t="s">
        <v>19</v>
      </c>
      <c r="P32" s="9" t="s">
        <v>11</v>
      </c>
      <c r="Q32" s="13" t="s">
        <v>20</v>
      </c>
      <c r="R32" s="9" t="s">
        <v>14</v>
      </c>
      <c r="S32" s="15" t="s">
        <v>21</v>
      </c>
      <c r="T32" s="27" t="s">
        <v>52</v>
      </c>
      <c r="U32" s="27"/>
      <c r="V32" s="16" t="s">
        <v>23</v>
      </c>
    </row>
    <row r="33" ht="15.75" customHeight="1">
      <c r="A33" s="7">
        <v>32.0</v>
      </c>
      <c r="B33" s="17" t="s">
        <v>10</v>
      </c>
      <c r="C33" s="18" t="s">
        <v>11</v>
      </c>
      <c r="D33" s="17" t="s">
        <v>12</v>
      </c>
      <c r="E33" s="19" t="s">
        <v>13</v>
      </c>
      <c r="F33" s="19" t="s">
        <v>14</v>
      </c>
      <c r="G33" s="20" t="s">
        <v>15</v>
      </c>
      <c r="H33" s="18" t="s">
        <v>11</v>
      </c>
      <c r="I33" s="21" t="s">
        <v>25</v>
      </c>
      <c r="J33" s="18" t="s">
        <v>14</v>
      </c>
      <c r="K33" s="22" t="s">
        <v>17</v>
      </c>
      <c r="L33" s="18" t="s">
        <v>11</v>
      </c>
      <c r="M33" s="23" t="s">
        <v>18</v>
      </c>
      <c r="N33" s="18" t="s">
        <v>11</v>
      </c>
      <c r="O33" s="23" t="s">
        <v>19</v>
      </c>
      <c r="P33" s="18" t="s">
        <v>11</v>
      </c>
      <c r="Q33" s="23" t="s">
        <v>20</v>
      </c>
      <c r="R33" s="18" t="s">
        <v>14</v>
      </c>
      <c r="S33" s="25" t="s">
        <v>21</v>
      </c>
      <c r="T33" s="28" t="s">
        <v>53</v>
      </c>
      <c r="U33" s="28"/>
      <c r="V33" s="26" t="s">
        <v>23</v>
      </c>
    </row>
    <row r="34" ht="15.75" customHeight="1">
      <c r="A34" s="29">
        <v>34.0</v>
      </c>
      <c r="B34" s="17" t="s">
        <v>10</v>
      </c>
      <c r="C34" s="18" t="s">
        <v>11</v>
      </c>
      <c r="D34" s="17" t="s">
        <v>12</v>
      </c>
      <c r="E34" s="19" t="s">
        <v>13</v>
      </c>
      <c r="F34" s="19" t="s">
        <v>14</v>
      </c>
      <c r="G34" s="20" t="s">
        <v>15</v>
      </c>
      <c r="H34" s="18" t="s">
        <v>11</v>
      </c>
      <c r="I34" s="21" t="s">
        <v>25</v>
      </c>
      <c r="J34" s="18" t="s">
        <v>14</v>
      </c>
      <c r="K34" s="13" t="s">
        <v>17</v>
      </c>
      <c r="L34" s="18" t="s">
        <v>11</v>
      </c>
      <c r="M34" s="23" t="s">
        <v>18</v>
      </c>
      <c r="N34" s="18" t="s">
        <v>11</v>
      </c>
      <c r="O34" s="23" t="s">
        <v>19</v>
      </c>
      <c r="P34" s="18" t="s">
        <v>11</v>
      </c>
      <c r="Q34" s="23" t="s">
        <v>20</v>
      </c>
      <c r="R34" s="18" t="s">
        <v>14</v>
      </c>
      <c r="S34" s="25" t="s">
        <v>21</v>
      </c>
      <c r="T34" s="28" t="s">
        <v>54</v>
      </c>
      <c r="U34" s="28"/>
      <c r="V34" s="26" t="s">
        <v>23</v>
      </c>
    </row>
    <row r="35" ht="15.75" customHeight="1">
      <c r="A35" s="7">
        <v>36.0</v>
      </c>
      <c r="B35" s="17" t="s">
        <v>10</v>
      </c>
      <c r="C35" s="18" t="s">
        <v>11</v>
      </c>
      <c r="D35" s="17" t="s">
        <v>12</v>
      </c>
      <c r="E35" s="19" t="s">
        <v>13</v>
      </c>
      <c r="F35" s="19" t="s">
        <v>14</v>
      </c>
      <c r="G35" s="20" t="s">
        <v>15</v>
      </c>
      <c r="H35" s="18" t="s">
        <v>11</v>
      </c>
      <c r="I35" s="30" t="s">
        <v>55</v>
      </c>
      <c r="J35" s="18" t="s">
        <v>14</v>
      </c>
      <c r="K35" s="22" t="s">
        <v>17</v>
      </c>
      <c r="L35" s="18" t="s">
        <v>11</v>
      </c>
      <c r="M35" s="23" t="s">
        <v>18</v>
      </c>
      <c r="N35" s="18" t="s">
        <v>11</v>
      </c>
      <c r="O35" s="23" t="s">
        <v>19</v>
      </c>
      <c r="P35" s="18" t="s">
        <v>11</v>
      </c>
      <c r="Q35" s="22" t="s">
        <v>56</v>
      </c>
      <c r="R35" s="18" t="s">
        <v>14</v>
      </c>
      <c r="S35" s="25" t="s">
        <v>21</v>
      </c>
      <c r="T35" s="28" t="s">
        <v>22</v>
      </c>
      <c r="U35" s="28" t="s">
        <v>22</v>
      </c>
      <c r="V35" s="26" t="s">
        <v>57</v>
      </c>
    </row>
    <row r="36" ht="15.75" customHeight="1">
      <c r="A36" s="29">
        <v>37.0</v>
      </c>
      <c r="B36" s="8" t="s">
        <v>10</v>
      </c>
      <c r="C36" s="9" t="s">
        <v>11</v>
      </c>
      <c r="D36" s="8" t="s">
        <v>12</v>
      </c>
      <c r="E36" s="10" t="s">
        <v>13</v>
      </c>
      <c r="F36" s="10" t="s">
        <v>14</v>
      </c>
      <c r="G36" s="11" t="s">
        <v>15</v>
      </c>
      <c r="H36" s="9" t="s">
        <v>11</v>
      </c>
      <c r="I36" s="12" t="s">
        <v>55</v>
      </c>
      <c r="J36" s="9" t="s">
        <v>14</v>
      </c>
      <c r="K36" s="13" t="s">
        <v>17</v>
      </c>
      <c r="L36" s="9" t="s">
        <v>11</v>
      </c>
      <c r="M36" s="13" t="s">
        <v>18</v>
      </c>
      <c r="N36" s="9" t="s">
        <v>11</v>
      </c>
      <c r="O36" s="13" t="s">
        <v>19</v>
      </c>
      <c r="P36" s="9" t="s">
        <v>11</v>
      </c>
      <c r="Q36" s="13" t="s">
        <v>56</v>
      </c>
      <c r="R36" s="9" t="s">
        <v>14</v>
      </c>
      <c r="S36" s="15" t="s">
        <v>21</v>
      </c>
      <c r="T36" s="27" t="s">
        <v>22</v>
      </c>
      <c r="U36" s="27" t="s">
        <v>24</v>
      </c>
      <c r="V36" s="16" t="s">
        <v>57</v>
      </c>
    </row>
    <row r="37" ht="15.75" customHeight="1">
      <c r="A37" s="29">
        <v>38.0</v>
      </c>
      <c r="B37" s="17" t="s">
        <v>10</v>
      </c>
      <c r="C37" s="18" t="s">
        <v>11</v>
      </c>
      <c r="D37" s="17" t="s">
        <v>12</v>
      </c>
      <c r="E37" s="19" t="s">
        <v>13</v>
      </c>
      <c r="F37" s="19" t="s">
        <v>14</v>
      </c>
      <c r="G37" s="20" t="s">
        <v>15</v>
      </c>
      <c r="H37" s="18" t="s">
        <v>11</v>
      </c>
      <c r="I37" s="30" t="s">
        <v>55</v>
      </c>
      <c r="J37" s="18" t="s">
        <v>14</v>
      </c>
      <c r="K37" s="22" t="s">
        <v>17</v>
      </c>
      <c r="L37" s="18" t="s">
        <v>11</v>
      </c>
      <c r="M37" s="23" t="s">
        <v>18</v>
      </c>
      <c r="N37" s="18" t="s">
        <v>11</v>
      </c>
      <c r="O37" s="23" t="s">
        <v>19</v>
      </c>
      <c r="P37" s="18" t="s">
        <v>11</v>
      </c>
      <c r="Q37" s="22" t="s">
        <v>56</v>
      </c>
      <c r="R37" s="18" t="s">
        <v>14</v>
      </c>
      <c r="S37" s="25" t="s">
        <v>21</v>
      </c>
      <c r="T37" s="28" t="s">
        <v>22</v>
      </c>
      <c r="U37" s="28" t="s">
        <v>26</v>
      </c>
      <c r="V37" s="26" t="s">
        <v>58</v>
      </c>
    </row>
    <row r="38" ht="15.75" customHeight="1">
      <c r="A38" s="7">
        <v>39.0</v>
      </c>
      <c r="B38" s="8" t="s">
        <v>10</v>
      </c>
      <c r="C38" s="9" t="s">
        <v>11</v>
      </c>
      <c r="D38" s="8" t="s">
        <v>12</v>
      </c>
      <c r="E38" s="10" t="s">
        <v>13</v>
      </c>
      <c r="F38" s="10" t="s">
        <v>14</v>
      </c>
      <c r="G38" s="11" t="s">
        <v>15</v>
      </c>
      <c r="H38" s="9" t="s">
        <v>11</v>
      </c>
      <c r="I38" s="12" t="s">
        <v>55</v>
      </c>
      <c r="J38" s="9" t="s">
        <v>14</v>
      </c>
      <c r="K38" s="13" t="s">
        <v>17</v>
      </c>
      <c r="L38" s="9" t="s">
        <v>11</v>
      </c>
      <c r="M38" s="13" t="s">
        <v>18</v>
      </c>
      <c r="N38" s="9" t="s">
        <v>11</v>
      </c>
      <c r="O38" s="13" t="s">
        <v>19</v>
      </c>
      <c r="P38" s="9" t="s">
        <v>11</v>
      </c>
      <c r="Q38" s="13" t="s">
        <v>56</v>
      </c>
      <c r="R38" s="9" t="s">
        <v>14</v>
      </c>
      <c r="S38" s="15" t="s">
        <v>21</v>
      </c>
      <c r="T38" s="27" t="s">
        <v>22</v>
      </c>
      <c r="U38" s="27" t="s">
        <v>27</v>
      </c>
      <c r="V38" s="16" t="s">
        <v>58</v>
      </c>
    </row>
    <row r="39" ht="15.75" customHeight="1">
      <c r="A39" s="29">
        <v>40.0</v>
      </c>
      <c r="B39" s="17" t="s">
        <v>10</v>
      </c>
      <c r="C39" s="18" t="s">
        <v>11</v>
      </c>
      <c r="D39" s="17" t="s">
        <v>12</v>
      </c>
      <c r="E39" s="19" t="s">
        <v>13</v>
      </c>
      <c r="F39" s="19" t="s">
        <v>14</v>
      </c>
      <c r="G39" s="20" t="s">
        <v>15</v>
      </c>
      <c r="H39" s="18" t="s">
        <v>11</v>
      </c>
      <c r="I39" s="30" t="s">
        <v>55</v>
      </c>
      <c r="J39" s="18" t="s">
        <v>14</v>
      </c>
      <c r="K39" s="22" t="s">
        <v>17</v>
      </c>
      <c r="L39" s="18" t="s">
        <v>11</v>
      </c>
      <c r="M39" s="23" t="s">
        <v>18</v>
      </c>
      <c r="N39" s="18" t="s">
        <v>11</v>
      </c>
      <c r="O39" s="23" t="s">
        <v>19</v>
      </c>
      <c r="P39" s="18" t="s">
        <v>11</v>
      </c>
      <c r="Q39" s="22" t="s">
        <v>56</v>
      </c>
      <c r="R39" s="18" t="s">
        <v>14</v>
      </c>
      <c r="S39" s="25" t="s">
        <v>21</v>
      </c>
      <c r="T39" s="28" t="s">
        <v>22</v>
      </c>
      <c r="U39" s="28" t="s">
        <v>28</v>
      </c>
      <c r="V39" s="26" t="s">
        <v>59</v>
      </c>
    </row>
    <row r="40" ht="15.75" customHeight="1">
      <c r="A40" s="29">
        <v>41.0</v>
      </c>
      <c r="B40" s="8" t="s">
        <v>10</v>
      </c>
      <c r="C40" s="9" t="s">
        <v>11</v>
      </c>
      <c r="D40" s="8" t="s">
        <v>12</v>
      </c>
      <c r="E40" s="10" t="s">
        <v>13</v>
      </c>
      <c r="F40" s="10" t="s">
        <v>14</v>
      </c>
      <c r="G40" s="11" t="s">
        <v>15</v>
      </c>
      <c r="H40" s="9" t="s">
        <v>11</v>
      </c>
      <c r="I40" s="12" t="s">
        <v>60</v>
      </c>
      <c r="J40" s="9" t="s">
        <v>14</v>
      </c>
      <c r="K40" s="13" t="s">
        <v>17</v>
      </c>
      <c r="L40" s="9" t="s">
        <v>11</v>
      </c>
      <c r="M40" s="31" t="s">
        <v>18</v>
      </c>
      <c r="N40" s="9" t="s">
        <v>11</v>
      </c>
      <c r="O40" s="31" t="s">
        <v>19</v>
      </c>
      <c r="P40" s="9" t="s">
        <v>11</v>
      </c>
      <c r="Q40" s="13" t="s">
        <v>56</v>
      </c>
      <c r="R40" s="9" t="s">
        <v>14</v>
      </c>
      <c r="S40" s="15" t="s">
        <v>21</v>
      </c>
      <c r="T40" s="27" t="s">
        <v>22</v>
      </c>
      <c r="U40" s="27" t="s">
        <v>29</v>
      </c>
      <c r="V40" s="16" t="s">
        <v>59</v>
      </c>
    </row>
    <row r="41" ht="15.75" customHeight="1">
      <c r="A41" s="7">
        <v>42.0</v>
      </c>
      <c r="B41" s="32" t="s">
        <v>10</v>
      </c>
      <c r="C41" s="33" t="s">
        <v>11</v>
      </c>
      <c r="D41" s="32" t="s">
        <v>12</v>
      </c>
      <c r="E41" s="34" t="s">
        <v>13</v>
      </c>
      <c r="F41" s="34" t="s">
        <v>14</v>
      </c>
      <c r="G41" s="35" t="s">
        <v>15</v>
      </c>
      <c r="H41" s="33" t="s">
        <v>11</v>
      </c>
      <c r="I41" s="30" t="s">
        <v>60</v>
      </c>
      <c r="J41" s="33" t="s">
        <v>14</v>
      </c>
      <c r="K41" s="22" t="s">
        <v>17</v>
      </c>
      <c r="L41" s="33" t="s">
        <v>11</v>
      </c>
      <c r="M41" s="36" t="s">
        <v>18</v>
      </c>
      <c r="N41" s="33" t="s">
        <v>11</v>
      </c>
      <c r="O41" s="36" t="s">
        <v>19</v>
      </c>
      <c r="P41" s="33" t="s">
        <v>11</v>
      </c>
      <c r="Q41" s="37" t="s">
        <v>56</v>
      </c>
      <c r="R41" s="33" t="s">
        <v>14</v>
      </c>
      <c r="S41" s="38" t="s">
        <v>21</v>
      </c>
      <c r="T41" s="39" t="s">
        <v>22</v>
      </c>
      <c r="U41" s="39" t="s">
        <v>22</v>
      </c>
      <c r="V41" s="24" t="s">
        <v>61</v>
      </c>
    </row>
    <row r="42" ht="15.75" customHeight="1">
      <c r="A42" s="29">
        <v>43.0</v>
      </c>
      <c r="B42" s="8" t="s">
        <v>10</v>
      </c>
      <c r="C42" s="9" t="s">
        <v>11</v>
      </c>
      <c r="D42" s="8" t="s">
        <v>12</v>
      </c>
      <c r="E42" s="10" t="s">
        <v>13</v>
      </c>
      <c r="F42" s="10" t="s">
        <v>14</v>
      </c>
      <c r="G42" s="11" t="s">
        <v>15</v>
      </c>
      <c r="H42" s="9" t="s">
        <v>11</v>
      </c>
      <c r="I42" s="12" t="s">
        <v>60</v>
      </c>
      <c r="J42" s="9" t="s">
        <v>14</v>
      </c>
      <c r="K42" s="13" t="s">
        <v>17</v>
      </c>
      <c r="L42" s="9" t="s">
        <v>11</v>
      </c>
      <c r="M42" s="31" t="s">
        <v>18</v>
      </c>
      <c r="N42" s="9" t="s">
        <v>11</v>
      </c>
      <c r="O42" s="31" t="s">
        <v>19</v>
      </c>
      <c r="P42" s="9" t="s">
        <v>11</v>
      </c>
      <c r="Q42" s="13" t="s">
        <v>56</v>
      </c>
      <c r="R42" s="9" t="s">
        <v>14</v>
      </c>
      <c r="S42" s="15" t="s">
        <v>21</v>
      </c>
      <c r="T42" s="27" t="s">
        <v>22</v>
      </c>
      <c r="U42" s="27" t="s">
        <v>24</v>
      </c>
      <c r="V42" s="14" t="s">
        <v>62</v>
      </c>
    </row>
    <row r="43" ht="15.75" customHeight="1">
      <c r="A43" s="29">
        <v>44.0</v>
      </c>
      <c r="B43" s="32" t="s">
        <v>10</v>
      </c>
      <c r="C43" s="33" t="s">
        <v>11</v>
      </c>
      <c r="D43" s="32" t="s">
        <v>12</v>
      </c>
      <c r="E43" s="34" t="s">
        <v>13</v>
      </c>
      <c r="F43" s="34" t="s">
        <v>14</v>
      </c>
      <c r="G43" s="35" t="s">
        <v>15</v>
      </c>
      <c r="H43" s="33" t="s">
        <v>11</v>
      </c>
      <c r="I43" s="30" t="s">
        <v>60</v>
      </c>
      <c r="J43" s="33" t="s">
        <v>14</v>
      </c>
      <c r="K43" s="22" t="s">
        <v>17</v>
      </c>
      <c r="L43" s="33" t="s">
        <v>11</v>
      </c>
      <c r="M43" s="36" t="s">
        <v>18</v>
      </c>
      <c r="N43" s="33" t="s">
        <v>11</v>
      </c>
      <c r="O43" s="36" t="s">
        <v>19</v>
      </c>
      <c r="P43" s="33" t="s">
        <v>11</v>
      </c>
      <c r="Q43" s="37" t="s">
        <v>56</v>
      </c>
      <c r="R43" s="33" t="s">
        <v>14</v>
      </c>
      <c r="S43" s="38" t="s">
        <v>21</v>
      </c>
      <c r="T43" s="39" t="s">
        <v>22</v>
      </c>
      <c r="U43" s="39" t="s">
        <v>26</v>
      </c>
      <c r="V43" s="24" t="s">
        <v>63</v>
      </c>
    </row>
    <row r="44" ht="15.75" customHeight="1">
      <c r="A44" s="7">
        <v>45.0</v>
      </c>
      <c r="B44" s="8" t="s">
        <v>10</v>
      </c>
      <c r="C44" s="9" t="s">
        <v>11</v>
      </c>
      <c r="D44" s="8" t="s">
        <v>12</v>
      </c>
      <c r="E44" s="10" t="s">
        <v>13</v>
      </c>
      <c r="F44" s="10" t="s">
        <v>14</v>
      </c>
      <c r="G44" s="11" t="s">
        <v>15</v>
      </c>
      <c r="H44" s="9" t="s">
        <v>11</v>
      </c>
      <c r="I44" s="12" t="s">
        <v>60</v>
      </c>
      <c r="J44" s="9" t="s">
        <v>14</v>
      </c>
      <c r="K44" s="13" t="s">
        <v>17</v>
      </c>
      <c r="L44" s="9" t="s">
        <v>11</v>
      </c>
      <c r="M44" s="31" t="s">
        <v>18</v>
      </c>
      <c r="N44" s="9" t="s">
        <v>11</v>
      </c>
      <c r="O44" s="31" t="s">
        <v>19</v>
      </c>
      <c r="P44" s="9" t="s">
        <v>11</v>
      </c>
      <c r="Q44" s="13" t="s">
        <v>56</v>
      </c>
      <c r="R44" s="9" t="s">
        <v>14</v>
      </c>
      <c r="S44" s="15" t="s">
        <v>21</v>
      </c>
      <c r="T44" s="27" t="s">
        <v>22</v>
      </c>
      <c r="U44" s="27" t="s">
        <v>27</v>
      </c>
      <c r="V44" s="14" t="s">
        <v>61</v>
      </c>
    </row>
    <row r="45" ht="15.75" customHeight="1">
      <c r="A45" s="29">
        <v>46.0</v>
      </c>
      <c r="B45" s="32" t="s">
        <v>10</v>
      </c>
      <c r="C45" s="33" t="s">
        <v>11</v>
      </c>
      <c r="D45" s="32" t="s">
        <v>12</v>
      </c>
      <c r="E45" s="34" t="s">
        <v>13</v>
      </c>
      <c r="F45" s="34" t="s">
        <v>14</v>
      </c>
      <c r="G45" s="35" t="s">
        <v>15</v>
      </c>
      <c r="H45" s="33" t="s">
        <v>11</v>
      </c>
      <c r="I45" s="30" t="s">
        <v>60</v>
      </c>
      <c r="J45" s="33" t="s">
        <v>14</v>
      </c>
      <c r="K45" s="22" t="s">
        <v>17</v>
      </c>
      <c r="L45" s="33" t="s">
        <v>11</v>
      </c>
      <c r="M45" s="36" t="s">
        <v>18</v>
      </c>
      <c r="N45" s="33" t="s">
        <v>11</v>
      </c>
      <c r="O45" s="36" t="s">
        <v>19</v>
      </c>
      <c r="P45" s="33" t="s">
        <v>11</v>
      </c>
      <c r="Q45" s="37" t="s">
        <v>56</v>
      </c>
      <c r="R45" s="33" t="s">
        <v>14</v>
      </c>
      <c r="S45" s="38" t="s">
        <v>21</v>
      </c>
      <c r="T45" s="39" t="s">
        <v>22</v>
      </c>
      <c r="U45" s="39" t="s">
        <v>28</v>
      </c>
      <c r="V45" s="24" t="s">
        <v>63</v>
      </c>
    </row>
    <row r="46" ht="15.75" customHeight="1">
      <c r="A46" s="29">
        <v>47.0</v>
      </c>
      <c r="B46" s="8" t="s">
        <v>10</v>
      </c>
      <c r="C46" s="9" t="s">
        <v>11</v>
      </c>
      <c r="D46" s="8" t="s">
        <v>12</v>
      </c>
      <c r="E46" s="10" t="s">
        <v>13</v>
      </c>
      <c r="F46" s="10" t="s">
        <v>14</v>
      </c>
      <c r="G46" s="11" t="s">
        <v>15</v>
      </c>
      <c r="H46" s="9" t="s">
        <v>11</v>
      </c>
      <c r="I46" s="12" t="s">
        <v>60</v>
      </c>
      <c r="J46" s="9" t="s">
        <v>14</v>
      </c>
      <c r="K46" s="13" t="s">
        <v>17</v>
      </c>
      <c r="L46" s="9" t="s">
        <v>11</v>
      </c>
      <c r="M46" s="31" t="s">
        <v>18</v>
      </c>
      <c r="N46" s="9" t="s">
        <v>11</v>
      </c>
      <c r="O46" s="31" t="s">
        <v>19</v>
      </c>
      <c r="P46" s="9" t="s">
        <v>11</v>
      </c>
      <c r="Q46" s="13" t="s">
        <v>56</v>
      </c>
      <c r="R46" s="9" t="s">
        <v>14</v>
      </c>
      <c r="S46" s="15" t="s">
        <v>21</v>
      </c>
      <c r="T46" s="27" t="s">
        <v>22</v>
      </c>
      <c r="U46" s="27" t="s">
        <v>29</v>
      </c>
      <c r="V46" s="14" t="s">
        <v>63</v>
      </c>
    </row>
    <row r="47" ht="15.75" customHeight="1">
      <c r="A47" s="7">
        <v>48.0</v>
      </c>
      <c r="B47" s="32" t="s">
        <v>10</v>
      </c>
      <c r="C47" s="33" t="s">
        <v>11</v>
      </c>
      <c r="D47" s="32" t="s">
        <v>12</v>
      </c>
      <c r="E47" s="34" t="s">
        <v>13</v>
      </c>
      <c r="F47" s="34" t="s">
        <v>14</v>
      </c>
      <c r="G47" s="35" t="s">
        <v>15</v>
      </c>
      <c r="H47" s="33" t="s">
        <v>11</v>
      </c>
      <c r="I47" s="30" t="s">
        <v>60</v>
      </c>
      <c r="J47" s="33" t="s">
        <v>14</v>
      </c>
      <c r="K47" s="22" t="s">
        <v>17</v>
      </c>
      <c r="L47" s="33" t="s">
        <v>11</v>
      </c>
      <c r="M47" s="36" t="s">
        <v>18</v>
      </c>
      <c r="N47" s="33" t="s">
        <v>11</v>
      </c>
      <c r="O47" s="36" t="s">
        <v>19</v>
      </c>
      <c r="P47" s="33" t="s">
        <v>11</v>
      </c>
      <c r="Q47" s="37" t="s">
        <v>56</v>
      </c>
      <c r="R47" s="33" t="s">
        <v>14</v>
      </c>
      <c r="S47" s="38" t="s">
        <v>21</v>
      </c>
      <c r="T47" s="39" t="s">
        <v>22</v>
      </c>
      <c r="U47" s="39" t="s">
        <v>30</v>
      </c>
      <c r="V47" s="24" t="s">
        <v>63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46" t="str">
        <f t="shared" ref="A2:A32" si="1">MID(K2, LEN(K2)-6, 3)</f>
        <v>001</v>
      </c>
      <c r="B2" s="47" t="s">
        <v>83</v>
      </c>
      <c r="C2" s="48" t="s">
        <v>84</v>
      </c>
      <c r="D2" s="49">
        <v>38550.0</v>
      </c>
      <c r="E2" s="50">
        <v>0.0014351851851851852</v>
      </c>
      <c r="F2" s="51" t="s">
        <v>85</v>
      </c>
      <c r="G2" s="52" t="s">
        <v>86</v>
      </c>
      <c r="H2" s="53" t="s">
        <v>87</v>
      </c>
      <c r="I2" s="54" t="s">
        <v>88</v>
      </c>
      <c r="J2" s="53" t="s">
        <v>89</v>
      </c>
      <c r="K2" s="55" t="str">
        <f>TEXTJOIN("", TRUE, Geral!B4:V4)</f>
        <v>BR-SPGPDVE_NOTICIAS-DEMOLICAO-CSDTCARANDIRU_AVS-NOT-NDT-DT1_0001-001.mp4</v>
      </c>
      <c r="L2" s="56" t="s">
        <v>90</v>
      </c>
      <c r="M2" s="47" t="s">
        <v>91</v>
      </c>
      <c r="N2" s="57" t="s">
        <v>92</v>
      </c>
      <c r="O2" s="54" t="s">
        <v>93</v>
      </c>
      <c r="P2" s="58" t="s">
        <v>94</v>
      </c>
      <c r="Q2" s="51" t="s">
        <v>95</v>
      </c>
      <c r="R2" s="59" t="str">
        <f>"Figura n – ["&amp;B2&amp;"]"&amp;CHAR(10)&amp;"Fonte: BANDEIRANTES, "&amp;TEXT(D2,"yyyy")&amp;"."</f>
        <v>Figura n – [Trecho de reportagem da Rede Bandeirantes, veiculada no programa Primeiro Jornal em 2005.]
Fonte: BANDEIRANTES, 2005.</v>
      </c>
      <c r="S2" s="59" t="str">
        <f>"BANDEIRANTES. ["&amp;B2&amp;"]. "&amp;G2&amp;". "&amp;TEXT(D2,"dd")&amp;" "&amp;LOWER(TEXT(D2,"mmm"))&amp;" "&amp;TEXT(D2,"yyyy")&amp;". "&amp;F2&amp;". Disponível em: &lt;link do dataverse&gt;. Acesso em: 21 mai. 2026."</f>
        <v>BANDEIRANTES. [Trecho de reportagem da Rede Bandeirantes, veiculada no programa Primeiro Jornal em 2005.]. São Paulo, Brasil. 17 jul. 2005. Originalmente DVD (suporte físico óptico). Com tratamento, tornou-se arquivo eletrônico (MP4) em suporte digital/nato-digital. Disponível em: &lt;link do dataverse&gt;. Acesso em: 21 mai. 2026.</v>
      </c>
      <c r="T2" s="58" t="s">
        <v>96</v>
      </c>
    </row>
    <row r="3" ht="128.25" customHeight="1">
      <c r="A3" s="46" t="str">
        <f t="shared" si="1"/>
        <v>002</v>
      </c>
      <c r="B3" s="60" t="s">
        <v>97</v>
      </c>
      <c r="C3" s="61" t="s">
        <v>84</v>
      </c>
      <c r="D3" s="62">
        <v>38550.0</v>
      </c>
      <c r="E3" s="63">
        <v>0.006736111111111111</v>
      </c>
      <c r="F3" s="51" t="s">
        <v>85</v>
      </c>
      <c r="G3" s="64" t="s">
        <v>86</v>
      </c>
      <c r="H3" s="53" t="s">
        <v>87</v>
      </c>
      <c r="I3" s="54" t="s">
        <v>88</v>
      </c>
      <c r="J3" s="53" t="s">
        <v>89</v>
      </c>
      <c r="K3" s="55" t="str">
        <f>TEXTJOIN("", TRUE, Geral!B5:V5)</f>
        <v>BR-SPGPDVE_NOTICIAS-DEMOLICAO-CSDTCARANDIRU_AVS-NOT-NDT-DT1_0001-002.mp4</v>
      </c>
      <c r="L3" s="65" t="str">
        <f>Demolicao!$L$2</f>
        <v>Verificar com a professora Maíra</v>
      </c>
      <c r="M3" s="60" t="s">
        <v>98</v>
      </c>
      <c r="N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" s="54" t="s">
        <v>93</v>
      </c>
      <c r="P3" s="58" t="s">
        <v>94</v>
      </c>
      <c r="Q3" s="51" t="s">
        <v>95</v>
      </c>
      <c r="R3" s="59" t="str">
        <f t="shared" ref="R3:R6" si="2">"Figura n – ["&amp;B3&amp;"]"&amp;CHAR(10)&amp;"Fonte: TV CULTURA, "&amp;TEXT(D3,"yyyy")&amp;"."</f>
        <v>Figura n – [Trecho de reportagem da TV Cultura, veiculada sobre o Carandiru em 2005.]
Fonte: TV CULTURA, 2005.</v>
      </c>
      <c r="S3" s="59" t="str">
        <f t="shared" ref="S3:S6" si="3">"TV CULTURA. ["&amp;B3&amp;"]. "&amp;G3&amp;". "&amp;TEXT(D3,"dd")&amp;" "&amp;LOWER(TEXT(D3,"mmm"))&amp;" "&amp;TEXT(D3,"yyyy")&amp;". "&amp;F3&amp;". Disponível em: &lt;link do dataverse&gt;. Acesso em: 21 mai. 2026."</f>
        <v>TV CULTURA. [Trecho de reportagem da TV Cultura, veiculada sobre o Carandiru em 2005.]. São Paulo, Brasil. 17 jul. 2005. Originalmente DVD (suporte físico óptico). Com tratamento, tornou-se arquivo eletrônico (MP4) em suporte digital/nato-digital. Disponível em: &lt;link do dataverse&gt;. Acesso em: 21 mai. 2026.</v>
      </c>
      <c r="T3" s="58" t="s">
        <v>96</v>
      </c>
    </row>
    <row r="4" ht="128.25" customHeight="1">
      <c r="A4" s="46" t="str">
        <f t="shared" si="1"/>
        <v>003</v>
      </c>
      <c r="B4" s="60" t="s">
        <v>99</v>
      </c>
      <c r="C4" s="61" t="s">
        <v>84</v>
      </c>
      <c r="D4" s="49">
        <v>38550.0</v>
      </c>
      <c r="E4" s="63">
        <v>8.680555555555555E-4</v>
      </c>
      <c r="F4" s="51" t="s">
        <v>85</v>
      </c>
      <c r="G4" s="64" t="s">
        <v>86</v>
      </c>
      <c r="H4" s="53" t="s">
        <v>87</v>
      </c>
      <c r="I4" s="54" t="s">
        <v>88</v>
      </c>
      <c r="J4" s="53" t="s">
        <v>89</v>
      </c>
      <c r="K4" s="55" t="str">
        <f>TEXTJOIN("", TRUE, Geral!B6:V6)</f>
        <v>BR-SPGPDVE_NOTICIAS-DEMOLICAO-CSDTCARANDIRU_AVS-NOT-NDT-DT1_0001-003.mp4</v>
      </c>
      <c r="L4" s="65" t="str">
        <f>Demolicao!$L$2</f>
        <v>Verificar com a professora Maíra</v>
      </c>
      <c r="M4" s="60" t="s">
        <v>100</v>
      </c>
      <c r="N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4" s="54" t="s">
        <v>93</v>
      </c>
      <c r="P4" s="58" t="s">
        <v>94</v>
      </c>
      <c r="Q4" s="51" t="s">
        <v>95</v>
      </c>
      <c r="R4" s="59" t="str">
        <f t="shared" si="2"/>
        <v>Figura n – [Trecho de reportagem da TV Cultura, veiculada no programa Jornal da Cultura em 2005.]
Fonte: TV CULTURA, 2005.</v>
      </c>
      <c r="S4" s="59" t="str">
        <f t="shared" si="3"/>
        <v>TV CULTURA. [Trecho de reportagem da TV Cultura, veiculada no programa Jornal da Cultura em 2005.]. São Paulo, Brasil. 17 jul. 2005. Originalmente DVD (suporte físico óptico). Com tratamento, tornou-se arquivo eletrônico (MP4) em suporte digital/nato-digital. Disponível em: &lt;link do dataverse&gt;. Acesso em: 21 mai. 2026.</v>
      </c>
      <c r="T4" s="58" t="s">
        <v>96</v>
      </c>
    </row>
    <row r="5" ht="128.25" customHeight="1">
      <c r="A5" s="46" t="str">
        <f t="shared" si="1"/>
        <v>004</v>
      </c>
      <c r="B5" s="60" t="s">
        <v>101</v>
      </c>
      <c r="C5" s="61" t="s">
        <v>84</v>
      </c>
      <c r="D5" s="62">
        <v>38550.0</v>
      </c>
      <c r="E5" s="63">
        <v>0.0014467592592592592</v>
      </c>
      <c r="F5" s="51" t="s">
        <v>85</v>
      </c>
      <c r="G5" s="52" t="s">
        <v>86</v>
      </c>
      <c r="H5" s="53" t="s">
        <v>87</v>
      </c>
      <c r="I5" s="54" t="s">
        <v>88</v>
      </c>
      <c r="J5" s="53" t="s">
        <v>89</v>
      </c>
      <c r="K5" s="55" t="str">
        <f>TEXTJOIN("", TRUE, Geral!B7:V7)</f>
        <v>BR-SPGPDVE_NOTICIAS-DEMOLICAO-CSDTCARANDIRU_AVS-NOT-NDT-DT1_0001-004.mp4</v>
      </c>
      <c r="L5" s="65" t="str">
        <f>Demolicao!$L$2</f>
        <v>Verificar com a professora Maíra</v>
      </c>
      <c r="M5" s="60" t="s">
        <v>102</v>
      </c>
      <c r="N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5" s="54" t="s">
        <v>93</v>
      </c>
      <c r="P5" s="58" t="s">
        <v>94</v>
      </c>
      <c r="Q5" s="51" t="s">
        <v>95</v>
      </c>
      <c r="R5" s="59" t="str">
        <f t="shared" si="2"/>
        <v>Figura n – [Trecho de reportagem da TV Cultura, veiculada no programa Diário Paulista em 2005.]
Fonte: TV CULTURA, 2005.</v>
      </c>
      <c r="S5" s="59" t="str">
        <f t="shared" si="3"/>
        <v>TV CULTURA. [Trecho de reportagem da TV Cultura, veiculada no programa Diário Paulista em 2005.]. São Paulo, Brasil. 17 jul. 2005. Originalmente DVD (suporte físico óptico). Com tratamento, tornou-se arquivo eletrônico (MP4) em suporte digital/nato-digital. Disponível em: &lt;link do dataverse&gt;. Acesso em: 21 mai. 2026.</v>
      </c>
      <c r="T5" s="58" t="s">
        <v>96</v>
      </c>
    </row>
    <row r="6" ht="128.25" customHeight="1">
      <c r="A6" s="46" t="str">
        <f t="shared" si="1"/>
        <v>005</v>
      </c>
      <c r="B6" s="60" t="s">
        <v>103</v>
      </c>
      <c r="C6" s="61" t="s">
        <v>84</v>
      </c>
      <c r="D6" s="49">
        <v>38550.0</v>
      </c>
      <c r="E6" s="63">
        <v>0.0014583333333333334</v>
      </c>
      <c r="F6" s="51" t="s">
        <v>85</v>
      </c>
      <c r="G6" s="64" t="s">
        <v>86</v>
      </c>
      <c r="H6" s="53" t="s">
        <v>87</v>
      </c>
      <c r="I6" s="54" t="s">
        <v>88</v>
      </c>
      <c r="J6" s="53" t="s">
        <v>89</v>
      </c>
      <c r="K6" s="55" t="str">
        <f>TEXTJOIN("", TRUE, Geral!B8:V8)</f>
        <v>BR-SPGPDVE_NOTICIAS-DEMOLICAO-CSDTCARANDIRU_AVS-NOT-NDT-DT1_0001-005.mp4</v>
      </c>
      <c r="L6" s="65" t="str">
        <f>Demolicao!$L$2</f>
        <v>Verificar com a professora Maíra</v>
      </c>
      <c r="M6" s="60" t="s">
        <v>104</v>
      </c>
      <c r="N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6" s="54" t="s">
        <v>93</v>
      </c>
      <c r="P6" s="58" t="s">
        <v>94</v>
      </c>
      <c r="Q6" s="51" t="s">
        <v>95</v>
      </c>
      <c r="R6" s="59" t="str">
        <f t="shared" si="2"/>
        <v>Figura n – [Trecho de reportagem da TV Cultura, veiculada no programa Jornal da Cultura (Edição de Sábado) em 2005.]
Fonte: TV CULTURA, 2005.</v>
      </c>
      <c r="S6" s="59" t="str">
        <f t="shared" si="3"/>
        <v>TV CULTURA. [Trecho de reportagem da TV Cultura, veiculada no programa Jornal da Cultura (Edição de Sábado) em 2005.]. São Paulo, Brasil. 17 jul. 2005. Originalmente DVD (suporte físico óptico). Com tratamento, tornou-se arquivo eletrônico (MP4) em suporte digital/nato-digital. Disponível em: &lt;link do dataverse&gt;. Acesso em: 21 mai. 2026.</v>
      </c>
      <c r="T6" s="58" t="s">
        <v>96</v>
      </c>
    </row>
    <row r="7" ht="128.25" customHeight="1">
      <c r="A7" s="46" t="str">
        <f t="shared" si="1"/>
        <v>006</v>
      </c>
      <c r="B7" s="60" t="s">
        <v>105</v>
      </c>
      <c r="C7" s="61" t="s">
        <v>84</v>
      </c>
      <c r="D7" s="62">
        <v>38550.0</v>
      </c>
      <c r="E7" s="63">
        <v>0.0027199074074074074</v>
      </c>
      <c r="F7" s="51" t="s">
        <v>85</v>
      </c>
      <c r="G7" s="64" t="s">
        <v>86</v>
      </c>
      <c r="H7" s="53" t="s">
        <v>87</v>
      </c>
      <c r="I7" s="54" t="s">
        <v>88</v>
      </c>
      <c r="J7" s="53" t="s">
        <v>89</v>
      </c>
      <c r="K7" s="55" t="str">
        <f>TEXTJOIN("", TRUE, Geral!B9:V9)</f>
        <v>BR-SPGPDVE_NOTICIAS-DEMOLICAO-CSDTCARANDIRU_AVS-NOT-NDT-DT1_0001-006.mp4</v>
      </c>
      <c r="L7" s="65" t="str">
        <f>Demolicao!$L$2</f>
        <v>Verificar com a professora Maíra</v>
      </c>
      <c r="M7" s="60" t="s">
        <v>106</v>
      </c>
      <c r="N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7" s="54" t="s">
        <v>93</v>
      </c>
      <c r="P7" s="58" t="s">
        <v>94</v>
      </c>
      <c r="Q7" s="51" t="s">
        <v>95</v>
      </c>
      <c r="R7" s="59" t="str">
        <f t="shared" ref="R7:R8" si="4">"Figura n – ["&amp;B7&amp;"]"&amp;CHAR(10)&amp;"Fonte: TV GAZETA, "&amp;TEXT(D7,"yyyy")&amp;"."</f>
        <v>Figura n – [Trecho de reportagem da TV Gazeta, veiculada no programa Jornal da Gazeta em 2005.]
Fonte: TV GAZETA, 2005.</v>
      </c>
      <c r="S7" s="59" t="str">
        <f t="shared" ref="S7:S8" si="5">"TC GAZETA. ["&amp;B7&amp;"]. "&amp;G7&amp;". "&amp;TEXT(D7,"dd")&amp;" "&amp;LOWER(TEXT(D7,"mmm"))&amp;" "&amp;TEXT(D7,"yyyy")&amp;". "&amp;F7&amp;". Disponível em: &lt;link do dataverse&gt;. Acesso em: 21 mai. 2026."</f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7" s="58" t="s">
        <v>96</v>
      </c>
    </row>
    <row r="8" ht="128.25" customHeight="1">
      <c r="A8" s="46" t="str">
        <f t="shared" si="1"/>
        <v>007</v>
      </c>
      <c r="B8" s="60" t="s">
        <v>105</v>
      </c>
      <c r="C8" s="61" t="s">
        <v>84</v>
      </c>
      <c r="D8" s="49">
        <v>38550.0</v>
      </c>
      <c r="E8" s="63">
        <v>4.050925925925926E-4</v>
      </c>
      <c r="F8" s="51" t="s">
        <v>85</v>
      </c>
      <c r="G8" s="52" t="s">
        <v>86</v>
      </c>
      <c r="H8" s="53" t="s">
        <v>87</v>
      </c>
      <c r="I8" s="54" t="s">
        <v>88</v>
      </c>
      <c r="J8" s="53" t="s">
        <v>89</v>
      </c>
      <c r="K8" s="55" t="str">
        <f>TEXTJOIN("", TRUE, Geral!B10:V10)</f>
        <v>BR-SPGPDVE_NOTICIAS-DEMOLICAO-CSDTCARANDIRU_AVS-NOT-NDT-DT1_0001-007.mp4</v>
      </c>
      <c r="L8" s="65" t="str">
        <f>Demolicao!$L$2</f>
        <v>Verificar com a professora Maíra</v>
      </c>
      <c r="M8" s="60" t="s">
        <v>107</v>
      </c>
      <c r="N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8" s="54" t="s">
        <v>93</v>
      </c>
      <c r="P8" s="58" t="s">
        <v>94</v>
      </c>
      <c r="Q8" s="51" t="s">
        <v>95</v>
      </c>
      <c r="R8" s="59" t="str">
        <f t="shared" si="4"/>
        <v>Figura n – [Trecho de reportagem da TV Gazeta, veiculada no programa Jornal da Gazeta em 2005.]
Fonte: TV GAZETA, 2005.</v>
      </c>
      <c r="S8" s="59" t="str">
        <f t="shared" si="5"/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8" s="58" t="s">
        <v>96</v>
      </c>
    </row>
    <row r="9" ht="128.25" customHeight="1">
      <c r="A9" s="46" t="str">
        <f t="shared" si="1"/>
        <v>008</v>
      </c>
      <c r="B9" s="60" t="s">
        <v>108</v>
      </c>
      <c r="C9" s="61" t="s">
        <v>84</v>
      </c>
      <c r="D9" s="62">
        <v>38550.0</v>
      </c>
      <c r="E9" s="63">
        <v>0.0028125</v>
      </c>
      <c r="F9" s="51" t="s">
        <v>85</v>
      </c>
      <c r="G9" s="64" t="s">
        <v>86</v>
      </c>
      <c r="H9" s="53" t="s">
        <v>87</v>
      </c>
      <c r="I9" s="54" t="s">
        <v>88</v>
      </c>
      <c r="J9" s="53" t="s">
        <v>89</v>
      </c>
      <c r="K9" s="55" t="str">
        <f>TEXTJOIN("", TRUE, Geral!B11:V11)</f>
        <v>BR-SPGPDVE_NOTICIAS-DEMOLICAO-CSDTCARANDIRU_AVS-NOT-NDT-DT1_0001-008.mp4</v>
      </c>
      <c r="L9" s="65" t="str">
        <f>Demolicao!$L$2</f>
        <v>Verificar com a professora Maíra</v>
      </c>
      <c r="M9" s="60" t="s">
        <v>109</v>
      </c>
      <c r="N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9" s="54" t="s">
        <v>93</v>
      </c>
      <c r="P9" s="58" t="s">
        <v>94</v>
      </c>
      <c r="Q9" s="51" t="s">
        <v>95</v>
      </c>
      <c r="R9" s="59" t="str">
        <f>"Figura n – ["&amp;B9&amp;"]"&amp;CHAR(10)&amp;"Fonte: GLOBO, "&amp;TEXT(D9,"yyyy")&amp;"."</f>
        <v>Figura n – [Trecho de reportagem da Rede Globo, veiculada no programa SPTV em 2005.]
Fonte: GLOBO, 2005.</v>
      </c>
      <c r="S9" s="59" t="str">
        <f>"GLOBO. ["&amp;B9&amp;"]. "&amp;G9&amp;". "&amp;TEXT(D9,"dd")&amp;" "&amp;LOWER(TEXT(D9,"mmm"))&amp;" "&amp;TEXT(D9,"yyyy")&amp;". "&amp;F9&amp;". Disponível em: &lt;link do dataverse&gt;. Acesso em: 21 mai. 2026."</f>
        <v>GLOBO. [Trecho de reportagem da Rede Globo, veiculada no programa SPTV em 2005.]. São Paulo, Brasil. 17 jul. 2005. Originalmente DVD (suporte físico óptico). Com tratamento, tornou-se arquivo eletrônico (MP4) em suporte digital/nato-digital. Disponível em: &lt;link do dataverse&gt;. Acesso em: 21 mai. 2026.</v>
      </c>
      <c r="T9" s="58" t="s">
        <v>96</v>
      </c>
    </row>
    <row r="10" ht="128.25" customHeight="1">
      <c r="A10" s="46" t="str">
        <f t="shared" si="1"/>
        <v>009</v>
      </c>
      <c r="B10" s="60" t="s">
        <v>110</v>
      </c>
      <c r="C10" s="61" t="s">
        <v>84</v>
      </c>
      <c r="D10" s="49">
        <v>38550.0</v>
      </c>
      <c r="E10" s="63">
        <v>0.0021180555555555558</v>
      </c>
      <c r="F10" s="51" t="s">
        <v>85</v>
      </c>
      <c r="G10" s="64" t="s">
        <v>86</v>
      </c>
      <c r="H10" s="53" t="s">
        <v>87</v>
      </c>
      <c r="I10" s="54" t="s">
        <v>88</v>
      </c>
      <c r="J10" s="53" t="s">
        <v>89</v>
      </c>
      <c r="K10" s="55" t="str">
        <f>TEXTJOIN("", TRUE, Geral!B12:V12)</f>
        <v>BR-SPGPDVE_NOTICIAS-DEMOLICAO-CSDTCARANDIRU_AVS-NOT-NDT-DT1_0001-009.mp4</v>
      </c>
      <c r="L10" s="65" t="str">
        <f>Demolicao!$L$2</f>
        <v>Verificar com a professora Maíra</v>
      </c>
      <c r="M10" s="60" t="s">
        <v>111</v>
      </c>
      <c r="N1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0" s="54" t="s">
        <v>93</v>
      </c>
      <c r="P10" s="58" t="s">
        <v>94</v>
      </c>
      <c r="Q10" s="51" t="s">
        <v>95</v>
      </c>
      <c r="R10" s="59" t="str">
        <f>"Figura n – ["&amp;B10&amp;"]"&amp;CHAR(10)&amp;"Fonte: GLOBO NEWS, "&amp;TEXT(D10,"yyyy")&amp;"."</f>
        <v>Figura n – [Trecho de reportagem da GloboNews, veiculada no programa Em Cima da Hora em 2005.]
Fonte: GLOBO NEWS, 2005.</v>
      </c>
      <c r="S10" s="59" t="str">
        <f>"GLOBO NEWS. ["&amp;B10&amp;"]. "&amp;G10&amp;". "&amp;TEXT(D10,"dd")&amp;" "&amp;LOWER(TEXT(D10,"mmm"))&amp;" "&amp;TEXT(D10,"yyyy")&amp;". "&amp;F10&amp;". Disponível em: &lt;link do dataverse&gt;. Acesso em: 21 mai. 2026."</f>
        <v>GLOBO NEWS. [Trecho de reportagem da GloboNews, veiculada no programa Em Cima da Hora em 2005.]. São Paulo, Brasil. 17 jul. 2005. Originalmente DVD (suporte físico óptico). Com tratamento, tornou-se arquivo eletrônico (MP4) em suporte digital/nato-digital. Disponível em: &lt;link do dataverse&gt;. Acesso em: 21 mai. 2026.</v>
      </c>
      <c r="T10" s="58" t="s">
        <v>96</v>
      </c>
    </row>
    <row r="11" ht="128.25" customHeight="1">
      <c r="A11" s="46" t="str">
        <f t="shared" si="1"/>
        <v>010</v>
      </c>
      <c r="B11" s="60" t="s">
        <v>112</v>
      </c>
      <c r="C11" s="61" t="s">
        <v>84</v>
      </c>
      <c r="D11" s="62">
        <v>38550.0</v>
      </c>
      <c r="E11" s="63">
        <v>5.324074074074074E-4</v>
      </c>
      <c r="F11" s="51" t="s">
        <v>85</v>
      </c>
      <c r="G11" s="52" t="s">
        <v>86</v>
      </c>
      <c r="H11" s="53" t="s">
        <v>87</v>
      </c>
      <c r="I11" s="54" t="s">
        <v>88</v>
      </c>
      <c r="J11" s="53" t="s">
        <v>89</v>
      </c>
      <c r="K11" s="55" t="str">
        <f>TEXTJOIN("", TRUE, Geral!B13:V13)</f>
        <v>BR-SPGPDVE_NOTICIAS-DEMOLICAO-CSDTCARANDIRU_AVS-NOT-NDT-DT1_0001-010.mp4</v>
      </c>
      <c r="L11" s="65" t="str">
        <f>Demolicao!$L$2</f>
        <v>Verificar com a professora Maíra</v>
      </c>
      <c r="M11" s="60" t="s">
        <v>113</v>
      </c>
      <c r="N1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1" s="54" t="s">
        <v>93</v>
      </c>
      <c r="P11" s="58" t="s">
        <v>94</v>
      </c>
      <c r="Q11" s="51" t="s">
        <v>95</v>
      </c>
      <c r="R11" s="59" t="str">
        <f t="shared" ref="R11:R13" si="6">"Figura n – ["&amp;B11&amp;"]"&amp;CHAR(10)&amp;"Fonte: GLOBO, "&amp;TEXT(D11,"yyyy")&amp;"."</f>
        <v>Figura n – [Trecho de reportagem da Rede Globo, veiculada no programa Fantástico em 2005.]
Fonte: GLOBO, 2005.</v>
      </c>
      <c r="S11" s="59" t="str">
        <f t="shared" ref="S11:S13" si="7">"GLOBO. ["&amp;B11&amp;"]. "&amp;G11&amp;". "&amp;TEXT(D11,"dd")&amp;" "&amp;LOWER(TEXT(D11,"mmm"))&amp;" "&amp;TEXT(D11,"yyyy")&amp;". "&amp;F11&amp;". Disponível em: &lt;link do dataverse&gt;. Acesso em: 21 mai. 2026."</f>
        <v>GLOBO. [Trecho de reportagem da Rede Globo, veiculada no programa Fantástico em 2005.]. São Paulo, Brasil. 17 jul. 2005. Originalmente DVD (suporte físico óptico). Com tratamento, tornou-se arquivo eletrônico (MP4) em suporte digital/nato-digital. Disponível em: &lt;link do dataverse&gt;. Acesso em: 21 mai. 2026.</v>
      </c>
      <c r="T11" s="58" t="s">
        <v>96</v>
      </c>
    </row>
    <row r="12" ht="128.25" customHeight="1">
      <c r="A12" s="46" t="str">
        <f t="shared" si="1"/>
        <v>011</v>
      </c>
      <c r="B12" s="60" t="s">
        <v>114</v>
      </c>
      <c r="C12" s="61" t="s">
        <v>84</v>
      </c>
      <c r="D12" s="49">
        <v>38550.0</v>
      </c>
      <c r="E12" s="63">
        <v>0.004594907407407408</v>
      </c>
      <c r="F12" s="51" t="s">
        <v>85</v>
      </c>
      <c r="G12" s="64" t="s">
        <v>86</v>
      </c>
      <c r="H12" s="53" t="s">
        <v>87</v>
      </c>
      <c r="I12" s="54" t="s">
        <v>88</v>
      </c>
      <c r="J12" s="53" t="s">
        <v>89</v>
      </c>
      <c r="K12" s="55" t="str">
        <f>TEXTJOIN("", TRUE, Geral!B14:V14)</f>
        <v>BR-SPGPDVE_NOTICIAS-DEMOLICAO-CSDTCARANDIRU_AVS-NOT-NDT-DT1_0001-011.mp4</v>
      </c>
      <c r="L12" s="65" t="str">
        <f>Demolicao!$L$2</f>
        <v>Verificar com a professora Maíra</v>
      </c>
      <c r="M12" s="60" t="s">
        <v>115</v>
      </c>
      <c r="N1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2" s="54" t="s">
        <v>93</v>
      </c>
      <c r="P12" s="58" t="s">
        <v>94</v>
      </c>
      <c r="Q12" s="51" t="s">
        <v>95</v>
      </c>
      <c r="R12" s="59" t="str">
        <f t="shared" si="6"/>
        <v>Figura n – [Trecho de reportagem da Rede Globo, veiculada no programa Bom Dia São Paulo [Parte 1] em 2005.]
Fonte: GLOBO, 2005.</v>
      </c>
      <c r="S12" s="59" t="str">
        <f t="shared" si="7"/>
        <v>GLOBO. [Trecho de reportagem da Rede Globo, veiculada no programa Bom Dia São Paulo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2" s="58" t="s">
        <v>96</v>
      </c>
    </row>
    <row r="13" ht="128.25" customHeight="1">
      <c r="A13" s="46" t="str">
        <f t="shared" si="1"/>
        <v>012</v>
      </c>
      <c r="B13" s="60" t="s">
        <v>116</v>
      </c>
      <c r="C13" s="61" t="s">
        <v>84</v>
      </c>
      <c r="D13" s="62">
        <v>38550.0</v>
      </c>
      <c r="E13" s="63">
        <v>5.439814814814814E-4</v>
      </c>
      <c r="F13" s="51" t="s">
        <v>85</v>
      </c>
      <c r="G13" s="64" t="s">
        <v>86</v>
      </c>
      <c r="H13" s="53" t="s">
        <v>87</v>
      </c>
      <c r="I13" s="54" t="s">
        <v>88</v>
      </c>
      <c r="J13" s="53" t="s">
        <v>89</v>
      </c>
      <c r="K13" s="55" t="str">
        <f>TEXTJOIN("", TRUE, Geral!B15:V15)</f>
        <v>BR-SPGPDVE_NOTICIAS-DEMOLICAO-CSDTCARANDIRU_AVS-NOT-NDT-DT1_0001-012.mp4</v>
      </c>
      <c r="L13" s="65" t="str">
        <f>Demolicao!$L$2</f>
        <v>Verificar com a professora Maíra</v>
      </c>
      <c r="M13" s="60" t="s">
        <v>117</v>
      </c>
      <c r="N1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3" s="54" t="s">
        <v>93</v>
      </c>
      <c r="P13" s="58" t="s">
        <v>94</v>
      </c>
      <c r="Q13" s="51" t="s">
        <v>95</v>
      </c>
      <c r="R13" s="59" t="str">
        <f t="shared" si="6"/>
        <v>Figura n – [Trecho de reportagem da Rede Globo, veiculada no programa Bom Dia São Paulo [Parte 2] em 2005.]
Fonte: GLOBO, 2005.</v>
      </c>
      <c r="S13" s="59" t="str">
        <f t="shared" si="7"/>
        <v>GLOBO. [Trecho de reportagem da Rede Globo, veiculada no programa Bom Dia São Paulo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13" s="58" t="s">
        <v>96</v>
      </c>
    </row>
    <row r="14" ht="128.25" customHeight="1">
      <c r="A14" s="46" t="str">
        <f t="shared" si="1"/>
        <v>013</v>
      </c>
      <c r="B14" s="60" t="s">
        <v>118</v>
      </c>
      <c r="C14" s="61" t="s">
        <v>84</v>
      </c>
      <c r="D14" s="49">
        <v>38550.0</v>
      </c>
      <c r="E14" s="63">
        <v>0.0038194444444444443</v>
      </c>
      <c r="F14" s="51" t="s">
        <v>85</v>
      </c>
      <c r="G14" s="52" t="s">
        <v>86</v>
      </c>
      <c r="H14" s="53" t="s">
        <v>87</v>
      </c>
      <c r="I14" s="54" t="s">
        <v>88</v>
      </c>
      <c r="J14" s="53" t="s">
        <v>89</v>
      </c>
      <c r="K14" s="55" t="str">
        <f>TEXTJOIN("", TRUE, Geral!B16:V16)</f>
        <v>BR-SPGPDVE_NOTICIAS-DEMOLICAO-CSDTCARANDIRU_AVS-NOT-NDT-DT1_0001-013.mp4</v>
      </c>
      <c r="L14" s="65" t="str">
        <f>Demolicao!$L$2</f>
        <v>Verificar com a professora Maíra</v>
      </c>
      <c r="M14" s="60" t="s">
        <v>118</v>
      </c>
      <c r="N1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4" s="54" t="s">
        <v>93</v>
      </c>
      <c r="P14" s="58" t="s">
        <v>94</v>
      </c>
      <c r="Q14" s="51" t="s">
        <v>95</v>
      </c>
      <c r="R14" s="59" t="str">
        <f t="shared" ref="R14:R20" si="8">"Figura n – ["&amp;B14&amp;"]"&amp;CHAR(10)&amp;"Fonte: RECORD, "&amp;TEXT(D14,"yyyy")&amp;"."</f>
        <v>Figura n – [Vinheta da Rede Record, veiculada no programa São Paulo no Ar em 2005.]
Fonte: RECORD, 2005.</v>
      </c>
      <c r="S14" s="59" t="str">
        <f t="shared" ref="S14:S20" si="9">"RECORD. ["&amp;B14&amp;"]. "&amp;G14&amp;". "&amp;TEXT(D14,"dd")&amp;" "&amp;LOWER(TEXT(D14,"mmm"))&amp;" "&amp;TEXT(D14,"yyyy")&amp;". "&amp;F14&amp;". Disponível em: &lt;link do dataverse&gt;. Acesso em: 21 mai. 2026."</f>
        <v>RECORD. [Vinheta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4" s="58" t="s">
        <v>96</v>
      </c>
    </row>
    <row r="15" ht="128.25" customHeight="1">
      <c r="A15" s="46" t="str">
        <f t="shared" si="1"/>
        <v>014</v>
      </c>
      <c r="B15" s="60" t="s">
        <v>119</v>
      </c>
      <c r="C15" s="61" t="s">
        <v>84</v>
      </c>
      <c r="D15" s="62">
        <v>38550.0</v>
      </c>
      <c r="E15" s="63">
        <v>0.0022222222222222222</v>
      </c>
      <c r="F15" s="51" t="s">
        <v>85</v>
      </c>
      <c r="G15" s="64" t="s">
        <v>86</v>
      </c>
      <c r="H15" s="53" t="s">
        <v>87</v>
      </c>
      <c r="I15" s="54" t="s">
        <v>88</v>
      </c>
      <c r="J15" s="53" t="s">
        <v>89</v>
      </c>
      <c r="K15" s="55" t="str">
        <f>TEXTJOIN("", TRUE, Geral!B17:V17)</f>
        <v>BR-SPGPDVE_NOTICIAS-DEMOLICAO-CSDTCARANDIRU_AVS-NOT-NDT-DT1_0001-014.mp4</v>
      </c>
      <c r="L15" s="65" t="str">
        <f>Demolicao!$L$2</f>
        <v>Verificar com a professora Maíra</v>
      </c>
      <c r="M15" s="60" t="s">
        <v>120</v>
      </c>
      <c r="N1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5" s="54" t="s">
        <v>93</v>
      </c>
      <c r="P15" s="58" t="s">
        <v>94</v>
      </c>
      <c r="Q15" s="51" t="s">
        <v>95</v>
      </c>
      <c r="R15" s="59" t="str">
        <f t="shared" si="8"/>
        <v>Figura n – [Trecho de reportagem da Rede Record, veiculada no programa Fala Brasil [Parte 1] em 2005.]
Fonte: RECORD, 2005.</v>
      </c>
      <c r="S15" s="59" t="str">
        <f t="shared" si="9"/>
        <v>RECORD. [Trecho de reportagem da Rede Record, veiculada no programa Fala Brasil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5" s="58" t="s">
        <v>96</v>
      </c>
    </row>
    <row r="16" ht="128.25" customHeight="1">
      <c r="A16" s="46" t="str">
        <f t="shared" si="1"/>
        <v>015</v>
      </c>
      <c r="B16" s="60" t="s">
        <v>121</v>
      </c>
      <c r="C16" s="61" t="s">
        <v>84</v>
      </c>
      <c r="D16" s="49">
        <v>38550.0</v>
      </c>
      <c r="E16" s="63">
        <v>0.0019675925925925924</v>
      </c>
      <c r="F16" s="51" t="s">
        <v>85</v>
      </c>
      <c r="G16" s="64" t="s">
        <v>86</v>
      </c>
      <c r="H16" s="53" t="s">
        <v>87</v>
      </c>
      <c r="I16" s="54" t="s">
        <v>88</v>
      </c>
      <c r="J16" s="53" t="s">
        <v>89</v>
      </c>
      <c r="K16" s="55" t="str">
        <f>TEXTJOIN("", TRUE, Geral!B18:V18)</f>
        <v>BR-SPGPDVE_NOTICIAS-DEMOLICAO-CSDTCARANDIRU_AVS-NOT-NDT-DT1_0001-015.mp4</v>
      </c>
      <c r="L16" s="65" t="str">
        <f>Demolicao!$L$2</f>
        <v>Verificar com a professora Maíra</v>
      </c>
      <c r="M16" s="60" t="s">
        <v>122</v>
      </c>
      <c r="N1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6" s="54" t="s">
        <v>93</v>
      </c>
      <c r="P16" s="58" t="s">
        <v>94</v>
      </c>
      <c r="Q16" s="51" t="s">
        <v>95</v>
      </c>
      <c r="R16" s="59" t="str">
        <f t="shared" si="8"/>
        <v>Figura n – [Trecho de reportagem da Rede Record, veiculada no programa Edição de Notícias em 2005.]
Fonte: RECORD, 2005.</v>
      </c>
      <c r="S16" s="59" t="str">
        <f t="shared" si="9"/>
        <v>RECORD. [Trecho de reportagem da Rede Record, veiculada no programa Edição de Notícias em 2005.]. São Paulo, Brasil. 17 jul. 2005. Originalmente DVD (suporte físico óptico). Com tratamento, tornou-se arquivo eletrônico (MP4) em suporte digital/nato-digital. Disponível em: &lt;link do dataverse&gt;. Acesso em: 21 mai. 2026.</v>
      </c>
      <c r="T16" s="58" t="s">
        <v>96</v>
      </c>
    </row>
    <row r="17" ht="128.25" customHeight="1">
      <c r="A17" s="46" t="str">
        <f t="shared" si="1"/>
        <v>016</v>
      </c>
      <c r="B17" s="60" t="s">
        <v>123</v>
      </c>
      <c r="C17" s="61" t="s">
        <v>84</v>
      </c>
      <c r="D17" s="62">
        <v>38550.0</v>
      </c>
      <c r="E17" s="63">
        <v>8.564814814814815E-4</v>
      </c>
      <c r="F17" s="51" t="s">
        <v>85</v>
      </c>
      <c r="G17" s="52" t="s">
        <v>86</v>
      </c>
      <c r="H17" s="53" t="s">
        <v>87</v>
      </c>
      <c r="I17" s="54" t="s">
        <v>88</v>
      </c>
      <c r="J17" s="53" t="s">
        <v>89</v>
      </c>
      <c r="K17" s="55" t="str">
        <f>TEXTJOIN("", TRUE, Geral!B19:V19)</f>
        <v>BR-SPGPDVE_NOTICIAS-DEMOLICAO-CSDTCARANDIRU_AVS-NOT-NDT-DT1_0001-016.mp4</v>
      </c>
      <c r="L17" s="65" t="str">
        <f>Demolicao!$L$2</f>
        <v>Verificar com a professora Maíra</v>
      </c>
      <c r="M17" s="60" t="s">
        <v>124</v>
      </c>
      <c r="N1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7" s="54" t="s">
        <v>93</v>
      </c>
      <c r="P17" s="58" t="s">
        <v>94</v>
      </c>
      <c r="Q17" s="51" t="s">
        <v>95</v>
      </c>
      <c r="R17" s="59" t="str">
        <f t="shared" si="8"/>
        <v>Figura n – [Trecho de reportagem da Rede Record, veiculada no programa Jornal da Record em 2005.]
Fonte: RECORD, 2005.</v>
      </c>
      <c r="S17" s="59" t="str">
        <f t="shared" si="9"/>
        <v>RECORD. [Trecho de reportagem da Rede Record, veiculada no programa Jornal da Record em 2005.]. São Paulo, Brasil. 17 jul. 2005. Originalmente DVD (suporte físico óptico). Com tratamento, tornou-se arquivo eletrônico (MP4) em suporte digital/nato-digital. Disponível em: &lt;link do dataverse&gt;. Acesso em: 21 mai. 2026.</v>
      </c>
      <c r="T17" s="58" t="s">
        <v>96</v>
      </c>
    </row>
    <row r="18" ht="128.25" customHeight="1">
      <c r="A18" s="46" t="str">
        <f t="shared" si="1"/>
        <v>017</v>
      </c>
      <c r="B18" s="60" t="s">
        <v>125</v>
      </c>
      <c r="C18" s="61" t="s">
        <v>84</v>
      </c>
      <c r="D18" s="49">
        <v>38550.0</v>
      </c>
      <c r="E18" s="63">
        <v>7.060185185185185E-4</v>
      </c>
      <c r="F18" s="51" t="s">
        <v>85</v>
      </c>
      <c r="G18" s="64" t="s">
        <v>86</v>
      </c>
      <c r="H18" s="53" t="s">
        <v>87</v>
      </c>
      <c r="I18" s="54" t="s">
        <v>88</v>
      </c>
      <c r="J18" s="53" t="s">
        <v>89</v>
      </c>
      <c r="K18" s="55" t="str">
        <f>TEXTJOIN("", TRUE, Geral!B20:V20)</f>
        <v>BR-SPGPDVE_NOTICIAS-DEMOLICAO-CSDTCARANDIRU_AVS-NOT-NDT-DT1_0001-017.mp4</v>
      </c>
      <c r="L18" s="65" t="str">
        <f>Demolicao!$L$2</f>
        <v>Verificar com a professora Maíra</v>
      </c>
      <c r="M18" s="60" t="s">
        <v>126</v>
      </c>
      <c r="N1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8" s="54" t="s">
        <v>93</v>
      </c>
      <c r="P18" s="58" t="s">
        <v>94</v>
      </c>
      <c r="Q18" s="51" t="s">
        <v>95</v>
      </c>
      <c r="R18" s="59" t="str">
        <f t="shared" si="8"/>
        <v>Figura n – [Trecho de reportagem da Rede Record, veiculada no programa Domingo Espetacular em 2005.]
Fonte: RECORD, 2005.</v>
      </c>
      <c r="S18" s="59" t="str">
        <f t="shared" si="9"/>
        <v>RECORD. [Trecho de reportagem da Rede Record, veiculada no programa Domingo Espetacular em 2005.]. São Paulo, Brasil. 17 jul. 2005. Originalmente DVD (suporte físico óptico). Com tratamento, tornou-se arquivo eletrônico (MP4) em suporte digital/nato-digital. Disponível em: &lt;link do dataverse&gt;. Acesso em: 21 mai. 2026.</v>
      </c>
      <c r="T18" s="58" t="s">
        <v>96</v>
      </c>
    </row>
    <row r="19" ht="128.25" customHeight="1">
      <c r="A19" s="46" t="str">
        <f t="shared" si="1"/>
        <v>018</v>
      </c>
      <c r="B19" s="60" t="s">
        <v>127</v>
      </c>
      <c r="C19" s="61" t="s">
        <v>84</v>
      </c>
      <c r="D19" s="62">
        <v>38550.0</v>
      </c>
      <c r="E19" s="63">
        <v>0.003425925925925926</v>
      </c>
      <c r="F19" s="51" t="s">
        <v>85</v>
      </c>
      <c r="G19" s="64" t="s">
        <v>86</v>
      </c>
      <c r="H19" s="53" t="s">
        <v>87</v>
      </c>
      <c r="I19" s="54" t="s">
        <v>88</v>
      </c>
      <c r="J19" s="53" t="s">
        <v>89</v>
      </c>
      <c r="K19" s="55" t="str">
        <f>TEXTJOIN("", TRUE, Geral!B21:V21)</f>
        <v>BR-SPGPDVE_NOTICIAS-DEMOLICAO-CSDTCARANDIRU_AVS-NOT-NDT-DT1_0001-018.mp4</v>
      </c>
      <c r="L19" s="65" t="str">
        <f>Demolicao!$L$2</f>
        <v>Verificar com a professora Maíra</v>
      </c>
      <c r="M19" s="60" t="s">
        <v>128</v>
      </c>
      <c r="N1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9" s="54" t="s">
        <v>93</v>
      </c>
      <c r="P19" s="58" t="s">
        <v>94</v>
      </c>
      <c r="Q19" s="51" t="s">
        <v>95</v>
      </c>
      <c r="R19" s="59" t="str">
        <f t="shared" si="8"/>
        <v>Figura n – [Trecho de reportagem da Rede Record, veiculada no programa São Paulo no Ar em 2005.]
Fonte: RECORD, 2005.</v>
      </c>
      <c r="S19" s="59" t="str">
        <f t="shared" si="9"/>
        <v>RECORD. [Trecho de reportagem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9" s="58" t="s">
        <v>96</v>
      </c>
    </row>
    <row r="20" ht="128.25" customHeight="1">
      <c r="A20" s="46" t="str">
        <f t="shared" si="1"/>
        <v>019</v>
      </c>
      <c r="B20" s="60" t="s">
        <v>129</v>
      </c>
      <c r="C20" s="61" t="s">
        <v>84</v>
      </c>
      <c r="D20" s="49">
        <v>38550.0</v>
      </c>
      <c r="E20" s="63">
        <v>0.004814814814814815</v>
      </c>
      <c r="F20" s="51" t="s">
        <v>85</v>
      </c>
      <c r="G20" s="52" t="s">
        <v>86</v>
      </c>
      <c r="H20" s="53" t="s">
        <v>87</v>
      </c>
      <c r="I20" s="54" t="s">
        <v>88</v>
      </c>
      <c r="J20" s="53" t="s">
        <v>89</v>
      </c>
      <c r="K20" s="55" t="str">
        <f>TEXTJOIN("", TRUE, Geral!B22:V22)</f>
        <v>BR-SPGPDVE_NOTICIAS-DEMOLICAO-CSDTCARANDIRU_AVS-NOT-NDT-DT1_0001-019.mp4</v>
      </c>
      <c r="L20" s="65" t="str">
        <f>Demolicao!$L$2</f>
        <v>Verificar com a professora Maíra</v>
      </c>
      <c r="M20" s="60" t="s">
        <v>130</v>
      </c>
      <c r="N2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0" s="54" t="s">
        <v>93</v>
      </c>
      <c r="P20" s="58" t="s">
        <v>94</v>
      </c>
      <c r="Q20" s="51" t="s">
        <v>95</v>
      </c>
      <c r="R20" s="59" t="str">
        <f t="shared" si="8"/>
        <v>Figura n – [Trecho de reportagem da Rede Record, veiculada no programa Fala Brasil [Parte 2] em 2005.]
Fonte: RECORD, 2005.</v>
      </c>
      <c r="S20" s="59" t="str">
        <f t="shared" si="9"/>
        <v>RECORD. [Trecho de reportagem da Rede Record, veiculada no programa Fala Brasil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0" s="58" t="s">
        <v>96</v>
      </c>
    </row>
    <row r="21" ht="128.25" customHeight="1">
      <c r="A21" s="46" t="str">
        <f t="shared" si="1"/>
        <v>020</v>
      </c>
      <c r="B21" s="60" t="s">
        <v>131</v>
      </c>
      <c r="C21" s="61" t="s">
        <v>84</v>
      </c>
      <c r="D21" s="62">
        <v>38550.0</v>
      </c>
      <c r="E21" s="63">
        <v>0.0010300925925925926</v>
      </c>
      <c r="F21" s="51" t="s">
        <v>85</v>
      </c>
      <c r="G21" s="64" t="s">
        <v>86</v>
      </c>
      <c r="H21" s="53" t="s">
        <v>87</v>
      </c>
      <c r="I21" s="54" t="s">
        <v>88</v>
      </c>
      <c r="J21" s="53" t="s">
        <v>89</v>
      </c>
      <c r="K21" s="55" t="str">
        <f>TEXTJOIN("", TRUE, Geral!B23:V23)</f>
        <v>BR-SPGPDVE_NOTICIAS-DEMOLICAO-CSDTCARANDIRU_AVS-NOT-NDT-DT1_0001-020.mp4</v>
      </c>
      <c r="L21" s="65" t="str">
        <f>Demolicao!$L$2</f>
        <v>Verificar com a professora Maíra</v>
      </c>
      <c r="M21" s="60" t="s">
        <v>132</v>
      </c>
      <c r="N2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1" s="54" t="s">
        <v>93</v>
      </c>
      <c r="P21" s="58" t="s">
        <v>94</v>
      </c>
      <c r="Q21" s="51" t="s">
        <v>95</v>
      </c>
      <c r="R21" s="59" t="str">
        <f t="shared" ref="R21:R25" si="10">"Figura n – ["&amp;B21&amp;"]"&amp;CHAR(10)&amp;"Fonte: REDE TV, "&amp;TEXT(D21,"yyyy")&amp;"."</f>
        <v>Figura n – [Trecho de reportagem da RedeTV!, veiculada no programa Esporte Notícias [Parte 1] em 2005.]
Fonte: REDE TV, 2005.</v>
      </c>
      <c r="S21" s="59" t="str">
        <f t="shared" ref="S21:S25" si="11">"REDE TV!. ["&amp;B21&amp;"]. "&amp;G21&amp;". "&amp;TEXT(D21,"dd")&amp;" "&amp;LOWER(TEXT(D21,"mmm"))&amp;" "&amp;TEXT(D21,"yyyy")&amp;". "&amp;F21&amp;". Disponível em: &lt;link do dataverse&gt;. Acesso em: 21 mai. 2026."</f>
        <v>REDE TV!. [Trecho de reportagem da RedeTV!, veiculada no programa Esporte Notícias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1" s="58" t="s">
        <v>96</v>
      </c>
    </row>
    <row r="22" ht="128.25" customHeight="1">
      <c r="A22" s="46" t="str">
        <f t="shared" si="1"/>
        <v>021</v>
      </c>
      <c r="B22" s="60" t="s">
        <v>133</v>
      </c>
      <c r="C22" s="61" t="s">
        <v>84</v>
      </c>
      <c r="D22" s="49">
        <v>38550.0</v>
      </c>
      <c r="E22" s="63">
        <v>0.0017939814814814815</v>
      </c>
      <c r="F22" s="51" t="s">
        <v>85</v>
      </c>
      <c r="G22" s="64" t="s">
        <v>86</v>
      </c>
      <c r="H22" s="53" t="s">
        <v>87</v>
      </c>
      <c r="I22" s="54" t="s">
        <v>88</v>
      </c>
      <c r="J22" s="53" t="s">
        <v>89</v>
      </c>
      <c r="K22" s="55" t="str">
        <f>TEXTJOIN("", TRUE, Geral!B24:V24)</f>
        <v>BR-SPGPDVE_NOTICIAS-DEMOLICAO-CSDTCARANDIRU_AVS-NOT-NDT-DT1_0001-021.mp4</v>
      </c>
      <c r="L22" s="65" t="str">
        <f>Demolicao!$L$2</f>
        <v>Verificar com a professora Maíra</v>
      </c>
      <c r="M22" s="60" t="s">
        <v>134</v>
      </c>
      <c r="N2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2" s="54" t="s">
        <v>93</v>
      </c>
      <c r="P22" s="58" t="s">
        <v>94</v>
      </c>
      <c r="Q22" s="51" t="s">
        <v>95</v>
      </c>
      <c r="R22" s="59" t="str">
        <f t="shared" si="10"/>
        <v>Figura n – [Trecho de reportagem da RedeTV!, veiculada no programa Jornal da TV em 2005.]
Fonte: REDE TV, 2005.</v>
      </c>
      <c r="S22" s="59" t="str">
        <f t="shared" si="11"/>
        <v>REDE TV!. [Trecho de reportagem da RedeTV!, veiculada no programa Jornal da TV em 2005.]. São Paulo, Brasil. 17 jul. 2005. Originalmente DVD (suporte físico óptico). Com tratamento, tornou-se arquivo eletrônico (MP4) em suporte digital/nato-digital. Disponível em: &lt;link do dataverse&gt;. Acesso em: 21 mai. 2026.</v>
      </c>
      <c r="T22" s="58" t="s">
        <v>96</v>
      </c>
    </row>
    <row r="23" ht="128.25" customHeight="1">
      <c r="A23" s="46" t="str">
        <f t="shared" si="1"/>
        <v>022</v>
      </c>
      <c r="B23" s="60" t="s">
        <v>135</v>
      </c>
      <c r="C23" s="61" t="s">
        <v>84</v>
      </c>
      <c r="D23" s="62">
        <v>38550.0</v>
      </c>
      <c r="E23" s="63">
        <v>0.001400462962962963</v>
      </c>
      <c r="F23" s="51" t="s">
        <v>85</v>
      </c>
      <c r="G23" s="52" t="s">
        <v>86</v>
      </c>
      <c r="H23" s="53" t="s">
        <v>87</v>
      </c>
      <c r="I23" s="54" t="s">
        <v>88</v>
      </c>
      <c r="J23" s="53" t="s">
        <v>89</v>
      </c>
      <c r="K23" s="55" t="str">
        <f>TEXTJOIN("", TRUE, Geral!B25:V25)</f>
        <v>BR-SPGPDVE_NOTICIAS-DEMOLICAO-CSDTCARANDIRU_AVS-NOT-NDT-DT1_0001-022.mp4</v>
      </c>
      <c r="L23" s="65" t="str">
        <f>Demolicao!$L$2</f>
        <v>Verificar com a professora Maíra</v>
      </c>
      <c r="M23" s="60" t="s">
        <v>136</v>
      </c>
      <c r="N2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3" s="54" t="s">
        <v>93</v>
      </c>
      <c r="P23" s="58" t="s">
        <v>94</v>
      </c>
      <c r="Q23" s="51" t="s">
        <v>95</v>
      </c>
      <c r="R23" s="59" t="str">
        <f t="shared" si="10"/>
        <v>Figura n – [Trecho de reportagem da RedeTV!, veiculada no programa Leitura Dinâmica em 2005.]
Fonte: REDE TV, 2005.</v>
      </c>
      <c r="S23" s="59" t="str">
        <f t="shared" si="11"/>
        <v>REDE TV!. [Trecho de reportagem da RedeTV!, veiculada no programa Leitura Dinâmica em 2005.]. São Paulo, Brasil. 17 jul. 2005. Originalmente DVD (suporte físico óptico). Com tratamento, tornou-se arquivo eletrônico (MP4) em suporte digital/nato-digital. Disponível em: &lt;link do dataverse&gt;. Acesso em: 21 mai. 2026.</v>
      </c>
      <c r="T23" s="58" t="s">
        <v>96</v>
      </c>
    </row>
    <row r="24" ht="128.25" customHeight="1">
      <c r="A24" s="46" t="str">
        <f t="shared" si="1"/>
        <v>023</v>
      </c>
      <c r="B24" s="60" t="s">
        <v>137</v>
      </c>
      <c r="C24" s="61" t="s">
        <v>84</v>
      </c>
      <c r="D24" s="49">
        <v>38550.0</v>
      </c>
      <c r="E24" s="63">
        <v>9.027777777777777E-4</v>
      </c>
      <c r="F24" s="51" t="s">
        <v>85</v>
      </c>
      <c r="G24" s="64" t="s">
        <v>86</v>
      </c>
      <c r="H24" s="53" t="s">
        <v>87</v>
      </c>
      <c r="I24" s="54" t="s">
        <v>88</v>
      </c>
      <c r="J24" s="53" t="s">
        <v>89</v>
      </c>
      <c r="K24" s="55" t="str">
        <f>TEXTJOIN("", TRUE, Geral!B26:V26)</f>
        <v>BR-SPGPDVE_NOTICIAS-DEMOLICAO-CSDTCARANDIRU_AVS-NOT-NDT-DT1_0001-023.mp4</v>
      </c>
      <c r="L24" s="65" t="str">
        <f>Demolicao!$L$2</f>
        <v>Verificar com a professora Maíra</v>
      </c>
      <c r="M24" s="60" t="s">
        <v>138</v>
      </c>
      <c r="N2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4" s="54" t="s">
        <v>93</v>
      </c>
      <c r="P24" s="58" t="s">
        <v>94</v>
      </c>
      <c r="Q24" s="51" t="s">
        <v>95</v>
      </c>
      <c r="R24" s="59" t="str">
        <f t="shared" si="10"/>
        <v>Figura n – [Trecho de reportagem da RedeTV!, veiculada no programa Notícias do Brasil em 2005.]
Fonte: REDE TV, 2005.</v>
      </c>
      <c r="S24" s="59" t="str">
        <f t="shared" si="11"/>
        <v>REDE TV!. [Trecho de reportagem da RedeTV!, veiculada no programa Notícias do Brasil em 2005.]. São Paulo, Brasil. 17 jul. 2005. Originalmente DVD (suporte físico óptico). Com tratamento, tornou-se arquivo eletrônico (MP4) em suporte digital/nato-digital. Disponível em: &lt;link do dataverse&gt;. Acesso em: 21 mai. 2026.</v>
      </c>
      <c r="T24" s="58" t="s">
        <v>96</v>
      </c>
    </row>
    <row r="25" ht="128.25" customHeight="1">
      <c r="A25" s="46" t="str">
        <f t="shared" si="1"/>
        <v>024</v>
      </c>
      <c r="B25" s="60" t="s">
        <v>139</v>
      </c>
      <c r="C25" s="61" t="s">
        <v>84</v>
      </c>
      <c r="D25" s="62">
        <v>38550.0</v>
      </c>
      <c r="E25" s="63">
        <v>0.001261574074074074</v>
      </c>
      <c r="F25" s="51" t="s">
        <v>85</v>
      </c>
      <c r="G25" s="64" t="s">
        <v>86</v>
      </c>
      <c r="H25" s="53" t="s">
        <v>87</v>
      </c>
      <c r="I25" s="54" t="s">
        <v>88</v>
      </c>
      <c r="J25" s="53" t="s">
        <v>89</v>
      </c>
      <c r="K25" s="55" t="str">
        <f>TEXTJOIN("", TRUE, Geral!B27:V27)</f>
        <v>BR-SPGPDVE_NOTICIAS-DEMOLICAO-CSDTCARANDIRU_AVS-NOT-NDT-DT1_0001-024.mp4</v>
      </c>
      <c r="L25" s="65" t="str">
        <f>Demolicao!$L$2</f>
        <v>Verificar com a professora Maíra</v>
      </c>
      <c r="M25" s="60" t="s">
        <v>140</v>
      </c>
      <c r="N2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5" s="54" t="s">
        <v>93</v>
      </c>
      <c r="P25" s="58" t="s">
        <v>94</v>
      </c>
      <c r="Q25" s="51" t="s">
        <v>95</v>
      </c>
      <c r="R25" s="59" t="str">
        <f t="shared" si="10"/>
        <v>Figura n – [Trecho de reportagem da RedeTV!, veiculada no programa Esporte Notícias [Parte 2] em 2005.]
Fonte: REDE TV, 2005.</v>
      </c>
      <c r="S25" s="59" t="str">
        <f t="shared" si="11"/>
        <v>REDE TV!. [Trecho de reportagem da RedeTV!, veiculada no programa Esporte Notícias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5" s="58" t="s">
        <v>96</v>
      </c>
    </row>
    <row r="26" ht="128.25" customHeight="1">
      <c r="A26" s="46" t="str">
        <f t="shared" si="1"/>
        <v>025</v>
      </c>
      <c r="B26" s="60" t="s">
        <v>141</v>
      </c>
      <c r="C26" s="61" t="s">
        <v>84</v>
      </c>
      <c r="D26" s="49">
        <v>38550.0</v>
      </c>
      <c r="E26" s="63">
        <v>3.4722222222222224E-4</v>
      </c>
      <c r="F26" s="51" t="s">
        <v>85</v>
      </c>
      <c r="G26" s="52" t="s">
        <v>86</v>
      </c>
      <c r="H26" s="53" t="s">
        <v>87</v>
      </c>
      <c r="I26" s="54" t="s">
        <v>88</v>
      </c>
      <c r="J26" s="53" t="s">
        <v>89</v>
      </c>
      <c r="K26" s="55" t="str">
        <f>TEXTJOIN("", TRUE, Geral!B28:V28)</f>
        <v>BR-SPGPDVE_NOTICIAS-DEMOLICAO-CSDTCARANDIRU_AVS-NOT-NDT-DT1_0001-025.mp4</v>
      </c>
      <c r="L26" s="65" t="str">
        <f>Demolicao!$L$2</f>
        <v>Verificar com a professora Maíra</v>
      </c>
      <c r="M26" s="60" t="s">
        <v>142</v>
      </c>
      <c r="N2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6" s="54" t="s">
        <v>93</v>
      </c>
      <c r="P26" s="58" t="s">
        <v>94</v>
      </c>
      <c r="Q26" s="51" t="s">
        <v>95</v>
      </c>
      <c r="R26" s="59" t="str">
        <f t="shared" ref="R26:R28" si="12">"Figura n – ["&amp;B26&amp;"]"&amp;CHAR(10)&amp;"Fonte: SBT, "&amp;TEXT(D26,"yyyy")&amp;"."</f>
        <v>Figura n – [Trecho de reportagem do SBT, veiculada no programa Jornal do SBT [Parte 1] em 2005.]
Fonte: SBT, 2005.</v>
      </c>
      <c r="S26" s="59" t="str">
        <f t="shared" ref="S26:S28" si="13">"SBT. ["&amp;B26&amp;"]. "&amp;G26&amp;". "&amp;TEXT(D26,"dd")&amp;" "&amp;LOWER(TEXT(D26,"mmm"))&amp;" "&amp;TEXT(D26,"yyyy")&amp;". "&amp;F26&amp;". Disponível em: &lt;link do dataverse&gt;. Acesso em: 21 mai. 2026."</f>
        <v>SBT. [Trecho de reportagem do SBT, veiculada no programa Jornal do SBT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6" s="58" t="s">
        <v>96</v>
      </c>
    </row>
    <row r="27" ht="128.25" customHeight="1">
      <c r="A27" s="46" t="str">
        <f t="shared" si="1"/>
        <v>026</v>
      </c>
      <c r="B27" s="60" t="s">
        <v>143</v>
      </c>
      <c r="C27" s="61" t="s">
        <v>84</v>
      </c>
      <c r="D27" s="62">
        <v>38550.0</v>
      </c>
      <c r="E27" s="63">
        <v>0.009814814814814814</v>
      </c>
      <c r="F27" s="51" t="s">
        <v>85</v>
      </c>
      <c r="G27" s="64" t="s">
        <v>86</v>
      </c>
      <c r="H27" s="53" t="s">
        <v>87</v>
      </c>
      <c r="I27" s="54" t="s">
        <v>88</v>
      </c>
      <c r="J27" s="53" t="s">
        <v>89</v>
      </c>
      <c r="K27" s="55" t="str">
        <f>TEXTJOIN("", TRUE, Geral!B29:V29)</f>
        <v>BR-SPGPDVE_NOTICIAS-DEMOLICAO-CSDTCARANDIRU_AVS-NOT-NDT-DT1_0001-026.mp4</v>
      </c>
      <c r="L27" s="65" t="str">
        <f>Demolicao!$L$2</f>
        <v>Verificar com a professora Maíra</v>
      </c>
      <c r="M27" s="60" t="s">
        <v>144</v>
      </c>
      <c r="N2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7" s="54" t="s">
        <v>93</v>
      </c>
      <c r="P27" s="58" t="s">
        <v>94</v>
      </c>
      <c r="Q27" s="51" t="s">
        <v>95</v>
      </c>
      <c r="R27" s="59" t="str">
        <f t="shared" si="12"/>
        <v>Figura n – [Trecho de reportagem do SBT, veiculada no programa Domingo Legal em 2005.]
Fonte: SBT, 2005.</v>
      </c>
      <c r="S27" s="59" t="str">
        <f t="shared" si="13"/>
        <v>SBT. [Trecho de reportagem do SBT, veiculada no programa Domingo Legal em 2005.]. São Paulo, Brasil. 17 jul. 2005. Originalmente DVD (suporte físico óptico). Com tratamento, tornou-se arquivo eletrônico (MP4) em suporte digital/nato-digital. Disponível em: &lt;link do dataverse&gt;. Acesso em: 21 mai. 2026.</v>
      </c>
      <c r="T27" s="58" t="s">
        <v>96</v>
      </c>
    </row>
    <row r="28" ht="128.25" customHeight="1">
      <c r="A28" s="46" t="str">
        <f t="shared" si="1"/>
        <v>027</v>
      </c>
      <c r="B28" s="60" t="s">
        <v>145</v>
      </c>
      <c r="C28" s="61" t="s">
        <v>84</v>
      </c>
      <c r="D28" s="49">
        <v>38550.0</v>
      </c>
      <c r="E28" s="63">
        <v>0.0012037037037037038</v>
      </c>
      <c r="F28" s="51" t="s">
        <v>85</v>
      </c>
      <c r="G28" s="64" t="s">
        <v>86</v>
      </c>
      <c r="H28" s="53" t="s">
        <v>87</v>
      </c>
      <c r="I28" s="54" t="s">
        <v>88</v>
      </c>
      <c r="J28" s="53" t="s">
        <v>89</v>
      </c>
      <c r="K28" s="55" t="str">
        <f>TEXTJOIN("", TRUE, Geral!B30:V30)</f>
        <v>BR-SPGPDVE_NOTICIAS-DEMOLICAO-CSDTCARANDIRU_AVS-NOT-NDT-DT1_0001-027.mp4</v>
      </c>
      <c r="L28" s="65" t="str">
        <f>Demolicao!$L$2</f>
        <v>Verificar com a professora Maíra</v>
      </c>
      <c r="M28" s="60" t="s">
        <v>146</v>
      </c>
      <c r="N2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8" s="54" t="s">
        <v>93</v>
      </c>
      <c r="P28" s="58" t="s">
        <v>94</v>
      </c>
      <c r="Q28" s="51" t="s">
        <v>95</v>
      </c>
      <c r="R28" s="59" t="str">
        <f t="shared" si="12"/>
        <v>Figura n – [Trecho de reportagem do SBT, veiculada no programa Jornal do SBT [Parte 2] em 2005.]
Fonte: SBT, 2005.</v>
      </c>
      <c r="S28" s="59" t="str">
        <f t="shared" si="13"/>
        <v>SBT. [Trecho de reportagem do SBT, veiculada no programa Jornal do SBT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8" s="58" t="s">
        <v>96</v>
      </c>
    </row>
    <row r="29" ht="128.25" customHeight="1">
      <c r="A29" s="46" t="str">
        <f t="shared" si="1"/>
        <v>028</v>
      </c>
      <c r="B29" s="60" t="s">
        <v>147</v>
      </c>
      <c r="C29" s="61" t="s">
        <v>84</v>
      </c>
      <c r="D29" s="62">
        <v>38550.0</v>
      </c>
      <c r="E29" s="63">
        <v>5.902777777777778E-4</v>
      </c>
      <c r="F29" s="51" t="s">
        <v>85</v>
      </c>
      <c r="G29" s="52" t="s">
        <v>86</v>
      </c>
      <c r="H29" s="53" t="s">
        <v>87</v>
      </c>
      <c r="I29" s="54" t="s">
        <v>88</v>
      </c>
      <c r="J29" s="53" t="s">
        <v>89</v>
      </c>
      <c r="K29" s="55" t="str">
        <f>TEXTJOIN("", TRUE, Geral!B31:V31)</f>
        <v>BR-SPGPDVE_NOTICIAS-DEMOLICAO-CSDTCARANDIRU_AVS-NOT-NDT-DT1_0001-028.mp4</v>
      </c>
      <c r="L29" s="65" t="str">
        <f>Demolicao!$L$2</f>
        <v>Verificar com a professora Maíra</v>
      </c>
      <c r="M29" s="60" t="s">
        <v>148</v>
      </c>
      <c r="N2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9" s="54" t="s">
        <v>93</v>
      </c>
      <c r="P29" s="58" t="s">
        <v>94</v>
      </c>
      <c r="Q29" s="51" t="s">
        <v>95</v>
      </c>
      <c r="R29" s="59" t="str">
        <f>"Figura n – ["&amp;B29&amp;"]"&amp;CHAR(10)&amp;"Fonte: Rede 21 Comunicações S.A., "&amp;TEXT(D29,"yyyy")&amp;"."</f>
        <v>Figura n – [Trecho de reportagem de emissora Canal 21 (Rede 21 Comunicações S.A.), veiculada no programa Jornal 21 em 2005.]
Fonte: Rede 21 Comunicações S.A., 2005.</v>
      </c>
      <c r="S29" s="59" t="str">
        <f>"REDE 21 COMUNICAÇÕES S.A. ["&amp;B29&amp;"]. "&amp;G29&amp;". "&amp;TEXT(D29,"dd")&amp;" "&amp;LOWER(TEXT(D29,"mmm"))&amp;" "&amp;TEXT(D29,"yyyy")&amp;". "&amp;F29&amp;". Disponível em: &lt;link do dataverse&gt;. Acesso em: 21 mai. 2026."</f>
        <v>REDE 21 COMUNICAÇÕES S.A. [Trecho de reportagem de emissora Canal 21 (Rede 21 Comunicações S.A.), veiculada no programa Jornal 21 em 2005.]. São Paulo, Brasil. 17 jul. 2005. Originalmente DVD (suporte físico óptico). Com tratamento, tornou-se arquivo eletrônico (MP4) em suporte digital/nato-digital. Disponível em: &lt;link do dataverse&gt;. Acesso em: 21 mai. 2026.</v>
      </c>
      <c r="T29" s="58" t="s">
        <v>96</v>
      </c>
    </row>
    <row r="30" ht="128.25" customHeight="1">
      <c r="A30" s="46" t="str">
        <f t="shared" si="1"/>
        <v>029</v>
      </c>
      <c r="B30" s="60" t="s">
        <v>149</v>
      </c>
      <c r="C30" s="61" t="s">
        <v>84</v>
      </c>
      <c r="D30" s="49">
        <v>38550.0</v>
      </c>
      <c r="E30" s="63">
        <v>0.002002314814814815</v>
      </c>
      <c r="F30" s="51" t="s">
        <v>85</v>
      </c>
      <c r="G30" s="64" t="s">
        <v>86</v>
      </c>
      <c r="H30" s="53" t="s">
        <v>87</v>
      </c>
      <c r="I30" s="54" t="s">
        <v>88</v>
      </c>
      <c r="J30" s="53" t="s">
        <v>89</v>
      </c>
      <c r="K30" s="55" t="str">
        <f>TEXTJOIN("", TRUE, Geral!B32:V32)</f>
        <v>BR-SPGPDVE_NOTICIAS-DEMOLICAO-CSDTCARANDIRU_AVS-NOT-NDT-DT1_0001-029.mp4</v>
      </c>
      <c r="L30" s="65" t="str">
        <f>Demolicao!$L$2</f>
        <v>Verificar com a professora Maíra</v>
      </c>
      <c r="M30" s="60" t="s">
        <v>149</v>
      </c>
      <c r="N3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0" s="54" t="s">
        <v>93</v>
      </c>
      <c r="P30" s="58" t="s">
        <v>94</v>
      </c>
      <c r="Q30" s="51" t="s">
        <v>95</v>
      </c>
      <c r="R30" s="59" t="str">
        <f>"Figura n – ["&amp;B30&amp;"]"&amp;CHAR(10)&amp;"Fonte: ARCHIVO DA IMAGEM &amp; DO SOM, "&amp;TEXT(D30,"yyyy")&amp;"."</f>
        <v>Figura n – [Vinheta de advertência do Arquivo de Imagem e Som, datada de 2005.]
Fonte: ARCHIVO DA IMAGEM &amp; DO SOM, 2005.</v>
      </c>
      <c r="S30" s="59" t="str">
        <f>"ARCHIVO DA IMAGEM &amp; DO SOM. ["&amp;B30&amp;"]. "&amp;G30&amp;". "&amp;TEXT(D30,"dd")&amp;" "&amp;LOWER(TEXT(D30,"mmm"))&amp;" "&amp;TEXT(D30,"yyyy")&amp;". "&amp;F30&amp;". Disponível em: &lt;link do dataverse&gt;. Acesso em: 21 mai. 2026."</f>
        <v>ARCHIVO DA IMAGEM &amp; DO SOM. [Vinheta de advertência do Arquivo de Imagem e Som,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0" s="58" t="s">
        <v>96</v>
      </c>
    </row>
    <row r="31" ht="128.25" customHeight="1">
      <c r="A31" s="46" t="str">
        <f t="shared" si="1"/>
        <v>030</v>
      </c>
      <c r="B31" s="60" t="s">
        <v>150</v>
      </c>
      <c r="C31" s="61" t="s">
        <v>84</v>
      </c>
      <c r="D31" s="62">
        <v>38550.0</v>
      </c>
      <c r="E31" s="63">
        <v>0.003414351851851852</v>
      </c>
      <c r="F31" s="51" t="s">
        <v>85</v>
      </c>
      <c r="G31" s="52" t="s">
        <v>86</v>
      </c>
      <c r="H31" s="53" t="s">
        <v>87</v>
      </c>
      <c r="I31" s="54" t="s">
        <v>88</v>
      </c>
      <c r="J31" s="53" t="s">
        <v>89</v>
      </c>
      <c r="K31" s="55" t="str">
        <f>TEXTJOIN("", TRUE, Geral!B33:V33)</f>
        <v>BR-SPGPDVE_NOTICIAS-DEMOLICAO-CSDTCARANDIRU_AVS-NOT-NDT-DT1_0001-030.mp4</v>
      </c>
      <c r="L31" s="65" t="str">
        <f>Demolicao!$L$2</f>
        <v>Verificar com a professora Maíra</v>
      </c>
      <c r="M31" s="60" t="s">
        <v>151</v>
      </c>
      <c r="N3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1" s="54" t="s">
        <v>93</v>
      </c>
      <c r="P31" s="58" t="s">
        <v>94</v>
      </c>
      <c r="Q31" s="51" t="s">
        <v>95</v>
      </c>
      <c r="R31" s="59" t="str">
        <f>"Figura n – ["&amp;B31&amp;"]"&amp;CHAR(10)&amp;"Fonte: AUTORIA DESCONHECIDO, "&amp;TEXT(D31,"yyyy")&amp;"."</f>
        <v>Figura n – [Trecho de reportagem sem identificação de autoria prévia (Clipe 4), datada de 2005.]
Fonte: AUTORIA DESCONHECIDO, 2005.</v>
      </c>
      <c r="S31" s="59" t="str">
        <f>"AUTORIA DESCONHECIDA. ["&amp;B31&amp;"]. "&amp;G31&amp;". "&amp;TEXT(D31,"dd")&amp;" "&amp;LOWER(TEXT(D31,"mmm"))&amp;" "&amp;TEXT(D31,"yyyy")&amp;". "&amp;F31&amp;". Disponível em: &lt;link do dataverse&gt;. Acesso em: 21 mai. 2026."</f>
        <v>AUTORIA DESCONHECIDA. [Trecho de reportagem sem identificação de autoria prévia (Clipe 4),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1" s="58" t="s">
        <v>96</v>
      </c>
    </row>
    <row r="32" ht="128.25" customHeight="1">
      <c r="A32" s="46" t="str">
        <f t="shared" si="1"/>
        <v>031</v>
      </c>
      <c r="B32" s="60" t="s">
        <v>152</v>
      </c>
      <c r="C32" s="61" t="s">
        <v>84</v>
      </c>
      <c r="D32" s="66" t="s">
        <v>153</v>
      </c>
      <c r="E32" s="63">
        <v>0.0018055555555555555</v>
      </c>
      <c r="F32" s="51" t="s">
        <v>85</v>
      </c>
      <c r="G32" s="52" t="s">
        <v>86</v>
      </c>
      <c r="H32" s="53" t="s">
        <v>87</v>
      </c>
      <c r="I32" s="54" t="s">
        <v>88</v>
      </c>
      <c r="J32" s="53" t="s">
        <v>89</v>
      </c>
      <c r="K32" s="55" t="str">
        <f>TEXTJOIN("", TRUE, Geral!B34:V34)</f>
        <v>BR-SPGPDVE_NOTICIAS-DEMOLICAO-CSDTCARANDIRU_AVS-NOT-NDT-DT1_0001-031.mp4</v>
      </c>
      <c r="L32" s="65" t="str">
        <f>Demolicao!$L$2</f>
        <v>Verificar com a professora Maíra</v>
      </c>
      <c r="M32" s="60" t="s">
        <v>154</v>
      </c>
      <c r="N3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2" s="54" t="s">
        <v>93</v>
      </c>
      <c r="P32" s="58" t="s">
        <v>94</v>
      </c>
      <c r="Q32" s="51" t="s">
        <v>95</v>
      </c>
      <c r="R32" s="59" t="str">
        <f>"Figura n – ["&amp;B32&amp;"]"&amp;CHAR(10)&amp;"Fonte: INDICAR NOME DA EMISSORA, "&amp;TEXT(D32,"yyyy")&amp;"."</f>
        <v>Figura n – [Trecho de reportagem com Manoel Jorge Diniz Dias para o programa SPTV na Globo.]
Fonte: INDICAR NOME DA EMISSORA, Sem data.</v>
      </c>
      <c r="S32" s="59" t="str">
        <f>"GRUPO DE PESQUISA EM DIREITO E VIOLÊNCIA DE ESTADO (GPDVE). ["&amp;B32&amp;"]. "&amp;G32&amp;". "&amp;TEXT(D32,"dd")&amp;" "&amp;LOWER(TEXT(D32,"mmm"))&amp;" "&amp;TEXT(D32,"yyyy")&amp;". "&amp;F32&amp;". Disponível em: &lt;link do dataverse&gt;. Acesso em: 21 mai. 2026."</f>
        <v>GRUPO DE PESQUISA EM DIREITO E VIOLÊNCIA DE ESTADO (GPDVE). [Trecho de reportagem com Manoel Jorge Diniz Dias para o programa SPTV na Globo.]. São Paulo, Brasil. Sem data sem data Sem data. Originalmente DVD (suporte físico óptico). Com tratamento, tornou-se arquivo eletrônico (MP4) em suporte digital/nato-digital. Disponível em: &lt;link do dataverse&gt;. Acesso em: 21 mai. 2026.</v>
      </c>
      <c r="T32" s="58" t="s">
        <v>155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4.63"/>
    <col customWidth="1" min="12" max="12" width="82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5.13"/>
  </cols>
  <sheetData>
    <row r="1" ht="44.25" customHeight="1">
      <c r="A1" s="67" t="s">
        <v>64</v>
      </c>
      <c r="B1" s="41" t="s">
        <v>65</v>
      </c>
      <c r="C1" s="68" t="s">
        <v>66</v>
      </c>
      <c r="D1" s="43" t="s">
        <v>156</v>
      </c>
      <c r="E1" s="68" t="s">
        <v>157</v>
      </c>
      <c r="F1" s="42" t="s">
        <v>69</v>
      </c>
      <c r="G1" s="68" t="s">
        <v>70</v>
      </c>
      <c r="H1" s="69" t="s">
        <v>71</v>
      </c>
      <c r="I1" s="68" t="s">
        <v>72</v>
      </c>
      <c r="J1" s="68" t="s">
        <v>73</v>
      </c>
      <c r="K1" s="42" t="s">
        <v>74</v>
      </c>
      <c r="L1" s="68" t="s">
        <v>75</v>
      </c>
      <c r="M1" s="44" t="s">
        <v>76</v>
      </c>
      <c r="N1" s="68" t="s">
        <v>77</v>
      </c>
      <c r="O1" s="42" t="s">
        <v>78</v>
      </c>
      <c r="P1" s="68" t="s">
        <v>79</v>
      </c>
      <c r="Q1" s="68" t="s">
        <v>7</v>
      </c>
      <c r="R1" s="69" t="s">
        <v>80</v>
      </c>
      <c r="S1" s="70" t="s">
        <v>81</v>
      </c>
      <c r="T1" s="42" t="s">
        <v>82</v>
      </c>
    </row>
    <row r="2" ht="126.0" customHeight="1">
      <c r="A2" s="71" t="str">
        <f t="shared" ref="A2:A3" si="1">MID(K2, LEN(K2)-5, 3)</f>
        <v>01.</v>
      </c>
      <c r="B2" s="60" t="s">
        <v>158</v>
      </c>
      <c r="C2" s="72" t="s">
        <v>84</v>
      </c>
      <c r="D2" s="73" t="s">
        <v>153</v>
      </c>
      <c r="E2" s="74">
        <v>0.008969907407407407</v>
      </c>
      <c r="F2" s="75" t="s">
        <v>159</v>
      </c>
      <c r="G2" s="52" t="s">
        <v>86</v>
      </c>
      <c r="H2" s="53" t="s">
        <v>87</v>
      </c>
      <c r="I2" s="76" t="s">
        <v>160</v>
      </c>
      <c r="J2" s="54" t="s">
        <v>89</v>
      </c>
      <c r="K2" s="55" t="str">
        <f>TEXTJOIN("", TRUE, Geral!B2:V2)</f>
        <v>BR-SPGPDVE_NOTICIAS-MASSACRE-CSDTCARANDIRU_AVS-NOT-NDT-DT1_0001-001.mp4</v>
      </c>
      <c r="L2" s="48" t="str">
        <f>Demolicao!$L$2</f>
        <v>Verificar com a professora Maíra</v>
      </c>
      <c r="M2" s="57" t="s">
        <v>161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59" t="str">
        <f t="shared" ref="R2:R3" si="2">"Figura n – ["&amp;B2&amp;"]"&amp;CHAR(10)&amp;"Fonte: INDICAR NOME DA EMISSORA, "&amp;TEXT(D2,"yyyy")&amp;"."</f>
        <v>Figura n – [Trecho de reportagem da Globo, veiculada no programa Globo Reporter. Apresentado por Alexandre Garcia.]
Fonte: INDICAR NOME DA EMISSORA, Sem data.</v>
      </c>
      <c r="S2" s="59" t="str">
        <f t="shared" ref="S2:S3" si="3">"GRUPO DE PESQUISA EM DIREITO E VIOLÊNCIA DE ESTADO (GPDVE). ["&amp;B2&amp;"]. "&amp;G2&amp;". "&amp;TEXT(D2,"dd")&amp;" "&amp;LOWER(TEXT(D2,"mmm"))&amp;" "&amp;TEXT(D2,"yyyy")&amp;". "&amp;F2&amp;". Disponível em: &lt;link do dataverse&gt;. Acesso em: 21 mai. 2026."</f>
        <v>GRUPO DE PESQUISA EM DIREITO E VIOLÊNCIA DE ESTADO (GPDVE). [Trecho de reportagem da Globo, veiculada no programa Globo Reporter. Apresentado por Alexandre Garcia.]. São Paulo, Brasil. Sem data sem data Sem data. Fotografia digitalizada; colorida; suporte em papel fotográfico. Disponível em: &lt;link do dataverse&gt;. Acesso em: 21 mai. 2026.</v>
      </c>
      <c r="T2" s="58" t="s">
        <v>162</v>
      </c>
    </row>
    <row r="3" ht="126.0" customHeight="1">
      <c r="A3" s="71" t="str">
        <f t="shared" si="1"/>
        <v>02.</v>
      </c>
      <c r="B3" s="60" t="s">
        <v>163</v>
      </c>
      <c r="C3" s="77" t="s">
        <v>84</v>
      </c>
      <c r="D3" s="73" t="s">
        <v>153</v>
      </c>
      <c r="E3" s="78">
        <v>0.008090277777777778</v>
      </c>
      <c r="F3" s="75" t="s">
        <v>159</v>
      </c>
      <c r="G3" s="64" t="s">
        <v>86</v>
      </c>
      <c r="H3" s="53" t="s">
        <v>87</v>
      </c>
      <c r="I3" s="76" t="s">
        <v>160</v>
      </c>
      <c r="J3" s="54" t="s">
        <v>89</v>
      </c>
      <c r="K3" s="55" t="str">
        <f>TEXTJOIN("", TRUE, Geral!B3:V3)</f>
        <v>BR-SPGPDVE_NOTICIAS-MASSACRE-CSDTCARANDIRU_AVS-NOT-NDT-DT1_0001-002.mp4</v>
      </c>
      <c r="L3" s="48" t="str">
        <f>Demolicao!$L$2</f>
        <v>Verificar com a professora Maíra</v>
      </c>
      <c r="M3" s="57" t="s">
        <v>161</v>
      </c>
      <c r="N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" s="54" t="s">
        <v>93</v>
      </c>
      <c r="P3" s="58" t="s">
        <v>94</v>
      </c>
      <c r="Q3" s="51" t="s">
        <v>95</v>
      </c>
      <c r="R3" s="59" t="str">
        <f t="shared" si="2"/>
        <v>Figura n – [Trecho de reportagem da Globo, veiculada no programa Globo Reporter. Apresentado por Celso de Freitas.]
Fonte: INDICAR NOME DA EMISSORA, Sem data.</v>
      </c>
      <c r="S3" s="59" t="str">
        <f t="shared" si="3"/>
        <v>GRUPO DE PESQUISA EM DIREITO E VIOLÊNCIA DE ESTADO (GPDVE). [Trecho de reportagem da Globo, veiculada no programa Globo Reporter. Apresentado por Celso de Freitas.]. São Paulo, Brasil. Sem data sem data Sem data. Fotografia digitalizada; colorida; suporte em papel fotográfico. Disponível em: &lt;link do dataverse&gt;. Acesso em: 21 mai. 2026.</v>
      </c>
      <c r="T3" s="48" t="str">
        <f>$T$2</f>
        <v>Este item pertencia à pasta intitulada "Carandiru - disco 2".</v>
      </c>
    </row>
    <row r="4" ht="15.75" customHeight="1">
      <c r="L4" s="79"/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46" t="str">
        <f>MID(K2, LEN(K2)-2, 3)</f>
        <v>001</v>
      </c>
      <c r="B2" s="47" t="s">
        <v>164</v>
      </c>
      <c r="C2" s="58" t="s">
        <v>165</v>
      </c>
      <c r="D2" s="80" t="s">
        <v>153</v>
      </c>
      <c r="E2" s="54" t="s">
        <v>166</v>
      </c>
      <c r="F2" s="51" t="s">
        <v>167</v>
      </c>
      <c r="G2" s="64" t="s">
        <v>86</v>
      </c>
      <c r="H2" s="53" t="s">
        <v>87</v>
      </c>
      <c r="I2" s="54" t="s">
        <v>88</v>
      </c>
      <c r="J2" s="54" t="s">
        <v>89</v>
      </c>
      <c r="K2" s="55" t="str">
        <f>TEXTJOIN("", TRUE, Geral!B35:T35)</f>
        <v>BR-SPGPDVE_NOTICIAS-ORIGINALDVD-CSDTCARANDIRU_AVS-NOT-NDT-DTX_0001-001</v>
      </c>
      <c r="L2" s="56" t="s">
        <v>90</v>
      </c>
      <c r="M2" s="47" t="s">
        <v>168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81" t="str">
        <f>"Figura n – ["&amp;B2&amp;"]"&amp;CHAR(10)&amp;"Fonte: GLOBO. Acervo: GPDVE. "&amp;TEXT(D2,"yyyy")&amp;"."</f>
        <v>Figura n – [Entrevista com Manoel]
Fonte: GLOBO. Acervo: GPDVE. Sem data.</v>
      </c>
      <c r="S2" s="59" t="str">
        <f>"GLOBO. ["&amp;B2&amp;"]. "&amp;G2&amp;". "&amp;TEXT(D2,"dd")&amp;" "&amp;LOWER(TEXT(D2,"mmm"))&amp;" "&amp;TEXT(D2,"yyyy")&amp;". "&amp;F2&amp;". Disponível em: &lt;link do dataverse&gt;. Acesso em: 21 mai. 2026."</f>
        <v>GLOBO. [Entrevista com Manoel]. São Paulo, Brasil. Sem data sem data Sem data. DVD (suporte físico óptico). Disponível em: &lt;link do dataverse&gt;. Acesso em: 21 mai. 2026.</v>
      </c>
      <c r="T2" s="58" t="s">
        <v>169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82" t="str">
        <f>MID(K2, LEN(K2)-2, 3)</f>
        <v>001</v>
      </c>
      <c r="B2" s="47" t="s">
        <v>170</v>
      </c>
      <c r="C2" s="58" t="s">
        <v>165</v>
      </c>
      <c r="D2" s="49">
        <v>38550.0</v>
      </c>
      <c r="E2" s="54" t="s">
        <v>166</v>
      </c>
      <c r="F2" s="51" t="s">
        <v>167</v>
      </c>
      <c r="G2" s="64" t="s">
        <v>86</v>
      </c>
      <c r="H2" s="53" t="s">
        <v>87</v>
      </c>
      <c r="I2" s="54" t="s">
        <v>171</v>
      </c>
      <c r="J2" s="54" t="s">
        <v>89</v>
      </c>
      <c r="K2" s="55" t="str">
        <f>TEXTJOIN("", TRUE, Geral!B41:T41)</f>
        <v>BR-SPGPDVE_NOTICIAS-ORIGINALDVD2-CSDTCARANDIRU_AVS-NOT-NDT-DTX_0001-001</v>
      </c>
      <c r="L2" s="56" t="s">
        <v>90</v>
      </c>
      <c r="M2" s="47" t="s">
        <v>172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59" t="str">
        <f>"Figura n – ["&amp;B2&amp;"]"&amp;CHAR(10)&amp;"Fonte: VÁRIOS AUTORES, "&amp;TEXT(D2,"yyyy")&amp;"."</f>
        <v>Figura n – [Cobertura jornalística da implosão dos pavilhões 2 e 5]
Fonte: VÁRIOS AUTORES, 2005.</v>
      </c>
      <c r="S2" s="59" t="str">
        <f>"VÁRIOS AUTORES. ["&amp;B2&amp;"]. "&amp;G2&amp;". "&amp;TEXT(D2,"dd")&amp;" "&amp;LOWER(TEXT(D2,"mmm"))&amp;" "&amp;TEXT(D2,"yyyy")&amp;". "&amp;F2&amp;". Disponível em: &lt;link do dataverse&gt;. Acesso em: 21 mai. 2026."</f>
        <v>VÁRIOS AUTORES. [Cobertura jornalística da implosão dos pavilhões 2 e 5]. São Paulo, Brasil. 17 jul. 2005. DVD (suporte físico óptico). Disponível em: &lt;link do dataverse&gt;. Acesso em: 21 mai. 2026.</v>
      </c>
      <c r="T2" s="58" t="s">
        <v>96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83"/>
      <c r="B1" s="84" t="s">
        <v>0</v>
      </c>
      <c r="C1" s="85" t="s">
        <v>1</v>
      </c>
      <c r="D1" s="85" t="s">
        <v>2</v>
      </c>
      <c r="E1" s="85" t="s">
        <v>173</v>
      </c>
      <c r="F1" s="85" t="s">
        <v>4</v>
      </c>
      <c r="G1" s="85" t="s">
        <v>5</v>
      </c>
      <c r="H1" s="85" t="s">
        <v>6</v>
      </c>
      <c r="I1" s="85" t="s">
        <v>7</v>
      </c>
      <c r="J1" s="85" t="s">
        <v>8</v>
      </c>
      <c r="K1" s="86" t="s">
        <v>9</v>
      </c>
      <c r="L1" s="87"/>
      <c r="M1" s="87"/>
      <c r="N1" s="87"/>
    </row>
    <row r="2" ht="34.5" customHeight="1">
      <c r="A2" s="88" t="s">
        <v>174</v>
      </c>
      <c r="B2" s="89" t="s">
        <v>175</v>
      </c>
      <c r="C2" s="88" t="s">
        <v>175</v>
      </c>
      <c r="D2" s="88" t="s">
        <v>175</v>
      </c>
      <c r="E2" s="88" t="s">
        <v>175</v>
      </c>
      <c r="F2" s="88" t="s">
        <v>176</v>
      </c>
      <c r="G2" s="88" t="s">
        <v>176</v>
      </c>
      <c r="H2" s="88" t="s">
        <v>176</v>
      </c>
      <c r="I2" s="88" t="s">
        <v>176</v>
      </c>
      <c r="J2" s="88" t="s">
        <v>176</v>
      </c>
      <c r="K2" s="90" t="s">
        <v>175</v>
      </c>
      <c r="L2" s="87"/>
      <c r="M2" s="87"/>
      <c r="N2" s="87"/>
    </row>
    <row r="3" ht="72.0" customHeight="1">
      <c r="A3" s="91" t="s">
        <v>177</v>
      </c>
      <c r="B3" s="89" t="s">
        <v>178</v>
      </c>
      <c r="C3" s="88" t="s">
        <v>179</v>
      </c>
      <c r="D3" s="88" t="s">
        <v>87</v>
      </c>
      <c r="E3" s="92" t="s">
        <v>180</v>
      </c>
      <c r="F3" s="92" t="s">
        <v>181</v>
      </c>
      <c r="G3" s="92" t="s">
        <v>94</v>
      </c>
      <c r="H3" s="92" t="s">
        <v>182</v>
      </c>
      <c r="I3" s="92" t="s">
        <v>183</v>
      </c>
      <c r="J3" s="93" t="s">
        <v>184</v>
      </c>
      <c r="K3" s="90" t="s">
        <v>185</v>
      </c>
      <c r="L3" s="87"/>
      <c r="M3" s="87"/>
      <c r="N3" s="87"/>
    </row>
    <row r="4" ht="58.5" customHeight="1">
      <c r="A4" s="94"/>
      <c r="B4" s="95" t="s">
        <v>10</v>
      </c>
      <c r="C4" s="96" t="s">
        <v>12</v>
      </c>
      <c r="D4" s="96" t="s">
        <v>13</v>
      </c>
      <c r="E4" s="97" t="s">
        <v>186</v>
      </c>
      <c r="F4" s="96" t="s">
        <v>25</v>
      </c>
      <c r="G4" s="97" t="s">
        <v>187</v>
      </c>
      <c r="H4" s="97" t="s">
        <v>18</v>
      </c>
      <c r="I4" s="97" t="s">
        <v>19</v>
      </c>
      <c r="J4" s="98" t="s">
        <v>188</v>
      </c>
      <c r="K4" s="99" t="s">
        <v>189</v>
      </c>
      <c r="L4" s="87"/>
      <c r="M4" s="87"/>
      <c r="N4" s="87"/>
    </row>
    <row r="5" ht="15.75" customHeight="1">
      <c r="A5" s="100"/>
      <c r="B5" s="100"/>
      <c r="C5" s="101"/>
      <c r="D5" s="101"/>
      <c r="E5" s="100"/>
      <c r="F5" s="100"/>
      <c r="G5" s="100"/>
      <c r="H5" s="100"/>
      <c r="I5" s="100"/>
      <c r="J5" s="100"/>
      <c r="K5" s="100"/>
      <c r="L5" s="100"/>
      <c r="M5" s="100"/>
      <c r="N5" s="100"/>
    </row>
    <row r="6" ht="15.75" customHeight="1">
      <c r="A6" s="100"/>
      <c r="B6" s="100"/>
      <c r="C6" s="101"/>
      <c r="D6" s="101"/>
      <c r="E6" s="100"/>
      <c r="F6" s="100"/>
      <c r="G6" s="100"/>
      <c r="H6" s="100"/>
      <c r="I6" s="100"/>
      <c r="J6" s="102" t="s">
        <v>190</v>
      </c>
      <c r="M6" s="100"/>
      <c r="N6" s="100"/>
    </row>
    <row r="7" ht="15.75" customHeight="1">
      <c r="A7" s="100"/>
      <c r="B7" s="100"/>
      <c r="C7" s="101"/>
      <c r="D7" s="101"/>
      <c r="E7" s="100"/>
      <c r="F7" s="100"/>
      <c r="G7" s="100"/>
      <c r="H7" s="100"/>
      <c r="I7" s="100"/>
      <c r="J7" s="100"/>
      <c r="K7" s="100"/>
      <c r="L7" s="100"/>
      <c r="M7" s="100"/>
      <c r="N7" s="100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